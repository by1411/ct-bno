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oltrontrade.sharepoint.com/sites/all/Shared Documents/Operations/BNMS/"/>
    </mc:Choice>
  </mc:AlternateContent>
  <xr:revisionPtr revIDLastSave="8229" documentId="1_{FEF84006-0B7F-3547-8A3A-89CD7031591D}" xr6:coauthVersionLast="47" xr6:coauthVersionMax="47" xr10:uidLastSave="{BFC4A342-BC7D-BB4E-9125-43803968EF61}"/>
  <bookViews>
    <workbookView xWindow="5240" yWindow="4220" windowWidth="37360" windowHeight="19300" tabRatio="814" activeTab="1" xr2:uid="{EBD73D83-7D3F-1C49-A119-554ED51F8C36}"/>
  </bookViews>
  <sheets>
    <sheet name="DB - Contracting Parties" sheetId="1" r:id="rId1"/>
    <sheet name="DB - Subscriptions" sheetId="31" r:id="rId2"/>
    <sheet name="Codes" sheetId="28" r:id="rId3"/>
    <sheet name="DB - Identities" sheetId="2" r:id="rId4"/>
    <sheet name="Graphs" sheetId="26" r:id="rId5"/>
    <sheet name="Billing Input -&gt;" sheetId="3" r:id="rId6"/>
    <sheet name="Input 1 - Billing Run" sheetId="18" r:id="rId7"/>
    <sheet name="Input 2 - Transactions" sheetId="6" r:id="rId8"/>
    <sheet name="Input 3 - BNO Members" sheetId="19" r:id="rId9"/>
    <sheet name="XXX- Input 5 - Event Summary" sheetId="29" r:id="rId10"/>
    <sheet name="CNF Sponsorship" sheetId="20" r:id="rId11"/>
    <sheet name="BNO Recon" sheetId="23" r:id="rId12"/>
    <sheet name="Billing Control" sheetId="9" r:id="rId13"/>
    <sheet name="Reports -&gt;" sheetId="7" r:id="rId14"/>
    <sheet name="Billing Working" sheetId="14" r:id="rId15"/>
    <sheet name="Billing Report" sheetId="8" r:id="rId16"/>
    <sheet name="Billing Summary Report" sheetId="16" r:id="rId17"/>
    <sheet name="Sales Report" sheetId="15" state="hidden" r:id="rId18"/>
    <sheet name="New Identity Report" sheetId="17" r:id="rId19"/>
    <sheet name="Identity Report" sheetId="11" r:id="rId20"/>
    <sheet name="Config -&gt;" sheetId="12" r:id="rId21"/>
    <sheet name="Static" sheetId="4" r:id="rId22"/>
    <sheet name="Pricing Sheet" sheetId="10" r:id="rId23"/>
    <sheet name="hubspot_extract" sheetId="30" r:id="rId24"/>
  </sheets>
  <definedNames>
    <definedName name="_xlnm._FilterDatabase" localSheetId="11" hidden="1">'BNO Recon'!$A$1:$AH$139</definedName>
    <definedName name="_xlnm._FilterDatabase" localSheetId="7" hidden="1">'Input 2 - Transactions'!$A$1:$J$436</definedName>
    <definedName name="amodel">Static!$C$1:$C$3</definedName>
    <definedName name="auto">Static!$I$1:$I$3</definedName>
    <definedName name="billing_working">'Billing Working'!$A:$N</definedName>
    <definedName name="c_parties" localSheetId="1">'DB - Subscriptions'!$B:$B</definedName>
    <definedName name="c_parties">'DB - Contracting Parties'!$B:$B</definedName>
    <definedName name="hosting_type">Static!$G$1:$G$3</definedName>
    <definedName name="identities" localSheetId="1">identities_t[#All]</definedName>
    <definedName name="identities">identities_t[#All]</definedName>
    <definedName name="identities_table" localSheetId="1">identities_t[#All]</definedName>
    <definedName name="identities_table">identities_t[#All]</definedName>
    <definedName name="month_ends">Static!$F:$F</definedName>
    <definedName name="month_starts">Static!$E:$E</definedName>
    <definedName name="_xlnm.Print_Area" localSheetId="15">'Billing Report'!$A$2:$F$50</definedName>
    <definedName name="_xlnm.Print_Area" localSheetId="16">'Billing Summary Report'!$B$1:$H$48</definedName>
    <definedName name="_xlnm.Print_Area" localSheetId="19">'Identity Report'!$A$1:$F$31</definedName>
    <definedName name="_xlnm.Print_Area" localSheetId="18">'New Identity Report'!$A$1:$E$65</definedName>
    <definedName name="_xlnm.Print_Area" localSheetId="17">'Sales Report'!$A$1:$G$41</definedName>
    <definedName name="special">Static!$H$2:$H$16</definedName>
    <definedName name="subscriptions" localSheetId="1">'DB - Subscriptions'!#REF!</definedName>
    <definedName name="subscriptions">'DB - Contracting Parties'!#REF!</definedName>
    <definedName name="Types">Static!$A:$A</definedName>
  </definedNames>
  <calcPr calcId="191029"/>
  <pivotCaches>
    <pivotCache cacheId="115" r:id="rId25"/>
    <pivotCache cacheId="125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 a="1"/>
  <c r="M3" i="1" s="1"/>
  <c r="M2" i="1" a="1"/>
  <c r="M2" i="1" s="1"/>
  <c r="M4" i="1" a="1"/>
  <c r="M4" i="1" s="1"/>
  <c r="M5" i="1" a="1"/>
  <c r="M5" i="1" s="1"/>
  <c r="M6" i="1" a="1"/>
  <c r="M6" i="1" s="1"/>
  <c r="M7" i="1" a="1"/>
  <c r="M7" i="1" s="1"/>
  <c r="M8" i="1" a="1"/>
  <c r="M8" i="1" s="1"/>
  <c r="M9" i="1" a="1"/>
  <c r="M9" i="1" s="1"/>
  <c r="M10" i="1" a="1"/>
  <c r="M10" i="1" s="1"/>
  <c r="M11" i="1" a="1"/>
  <c r="M11" i="1" s="1"/>
  <c r="M12" i="1" a="1"/>
  <c r="M12" i="1" s="1"/>
  <c r="M13" i="1" a="1"/>
  <c r="M13" i="1" s="1"/>
  <c r="M14" i="1" a="1"/>
  <c r="M14" i="1" s="1"/>
  <c r="M15" i="1" a="1"/>
  <c r="M15" i="1" s="1"/>
  <c r="M16" i="1" a="1"/>
  <c r="M16" i="1" s="1"/>
  <c r="M17" i="1" a="1"/>
  <c r="M17" i="1" s="1"/>
  <c r="M18" i="1" a="1"/>
  <c r="M18" i="1" s="1"/>
  <c r="M19" i="1" a="1"/>
  <c r="M19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27" i="1" a="1"/>
  <c r="M27" i="1" s="1"/>
  <c r="M28" i="1" a="1"/>
  <c r="M28" i="1" s="1"/>
  <c r="M29" i="1" a="1"/>
  <c r="M29" i="1" s="1"/>
  <c r="M30" i="1" a="1"/>
  <c r="M30" i="1" s="1"/>
  <c r="M31" i="1" a="1"/>
  <c r="M31" i="1" s="1"/>
  <c r="M32" i="1" a="1"/>
  <c r="M32" i="1" s="1"/>
  <c r="M33" i="1" a="1"/>
  <c r="M33" i="1" s="1"/>
  <c r="M34" i="1" a="1"/>
  <c r="M34" i="1" s="1"/>
  <c r="M35" i="1" a="1"/>
  <c r="M35" i="1" s="1"/>
  <c r="M36" i="1" a="1"/>
  <c r="M36" i="1" s="1"/>
  <c r="M37" i="1" a="1"/>
  <c r="M37" i="1" s="1"/>
  <c r="M38" i="1" a="1"/>
  <c r="M38" i="1" s="1"/>
  <c r="M39" i="1" a="1"/>
  <c r="M39" i="1" s="1"/>
  <c r="M40" i="1" a="1"/>
  <c r="M40" i="1" s="1"/>
  <c r="M41" i="1" a="1"/>
  <c r="M41" i="1" s="1"/>
  <c r="M42" i="1" a="1"/>
  <c r="M42" i="1" s="1"/>
  <c r="M43" i="1" a="1"/>
  <c r="M43" i="1" s="1"/>
  <c r="M44" i="1" a="1"/>
  <c r="M44" i="1" s="1"/>
  <c r="M45" i="1" a="1"/>
  <c r="M45" i="1" s="1"/>
  <c r="M46" i="1" a="1"/>
  <c r="M46" i="1" s="1"/>
  <c r="M47" i="1" a="1"/>
  <c r="M47" i="1" s="1"/>
  <c r="M48" i="1" a="1"/>
  <c r="M48" i="1" s="1"/>
  <c r="M49" i="1" a="1"/>
  <c r="M49" i="1" s="1"/>
  <c r="M50" i="1" a="1"/>
  <c r="M50" i="1" s="1"/>
  <c r="M51" i="1" a="1"/>
  <c r="M51" i="1" s="1"/>
  <c r="M52" i="1" a="1"/>
  <c r="M52" i="1" s="1"/>
  <c r="M53" i="1" a="1"/>
  <c r="M53" i="1" s="1"/>
  <c r="M54" i="1" a="1"/>
  <c r="M54" i="1" s="1"/>
  <c r="M55" i="1" a="1"/>
  <c r="M55" i="1" s="1"/>
  <c r="M56" i="1" a="1"/>
  <c r="M56" i="1" s="1"/>
  <c r="M57" i="1" a="1"/>
  <c r="M57" i="1" s="1"/>
  <c r="M58" i="1" a="1"/>
  <c r="M58" i="1" s="1"/>
  <c r="M59" i="1" a="1"/>
  <c r="M59" i="1" s="1"/>
  <c r="M60" i="1" a="1"/>
  <c r="M60" i="1" s="1"/>
  <c r="M61" i="1" a="1"/>
  <c r="M61" i="1" s="1"/>
  <c r="M62" i="1" a="1"/>
  <c r="M62" i="1" s="1"/>
  <c r="M63" i="1" a="1"/>
  <c r="M63" i="1" s="1"/>
  <c r="M64" i="1" a="1"/>
  <c r="M64" i="1" s="1"/>
  <c r="M65" i="1" a="1"/>
  <c r="M65" i="1" s="1"/>
  <c r="M66" i="1" a="1"/>
  <c r="M66" i="1" s="1"/>
  <c r="M67" i="1" a="1"/>
  <c r="M67" i="1" s="1"/>
  <c r="M68" i="1" a="1"/>
  <c r="M68" i="1" s="1"/>
  <c r="M69" i="1" a="1"/>
  <c r="M69" i="1" s="1"/>
  <c r="M70" i="1" a="1"/>
  <c r="M70" i="1" s="1"/>
  <c r="M71" i="1" a="1"/>
  <c r="M71" i="1" s="1"/>
  <c r="M72" i="1" a="1"/>
  <c r="M72" i="1" s="1"/>
  <c r="M73" i="1" a="1"/>
  <c r="M73" i="1" s="1"/>
  <c r="D46" i="26"/>
  <c r="E46" i="26"/>
  <c r="F46" i="26"/>
  <c r="G46" i="26"/>
  <c r="H46" i="26"/>
  <c r="C46" i="26"/>
  <c r="D45" i="26"/>
  <c r="E45" i="26"/>
  <c r="F45" i="26"/>
  <c r="G45" i="26"/>
  <c r="H45" i="26"/>
  <c r="C45" i="26"/>
  <c r="D43" i="26"/>
  <c r="E43" i="26"/>
  <c r="F43" i="26"/>
  <c r="G43" i="26"/>
  <c r="H43" i="26"/>
  <c r="C43" i="26"/>
  <c r="D42" i="26"/>
  <c r="E42" i="26"/>
  <c r="F42" i="26"/>
  <c r="G42" i="26"/>
  <c r="H42" i="26"/>
  <c r="C42" i="26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O62" i="31"/>
  <c r="O63" i="31"/>
  <c r="O64" i="31"/>
  <c r="O65" i="31"/>
  <c r="O66" i="31"/>
  <c r="O67" i="31"/>
  <c r="O68" i="31"/>
  <c r="O69" i="31"/>
  <c r="O70" i="31"/>
  <c r="O71" i="31"/>
  <c r="O72" i="31"/>
  <c r="O73" i="31"/>
  <c r="O4" i="31"/>
  <c r="O5" i="31"/>
  <c r="O6" i="31"/>
  <c r="O7" i="31"/>
  <c r="O8" i="31"/>
  <c r="O9" i="31"/>
  <c r="O10" i="31"/>
  <c r="O11" i="31"/>
  <c r="O12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" i="31"/>
  <c r="V17" i="31"/>
  <c r="V27" i="31"/>
  <c r="V60" i="31"/>
  <c r="V64" i="31"/>
  <c r="V73" i="31"/>
  <c r="U17" i="31" l="1"/>
  <c r="U27" i="31"/>
  <c r="U60" i="31"/>
  <c r="U64" i="31"/>
  <c r="U73" i="31"/>
  <c r="S17" i="31"/>
  <c r="T17" i="31" s="1"/>
  <c r="S27" i="31"/>
  <c r="T27" i="31" s="1"/>
  <c r="S60" i="31"/>
  <c r="T60" i="31" s="1"/>
  <c r="S64" i="31"/>
  <c r="T64" i="31" s="1"/>
  <c r="S73" i="31"/>
  <c r="T73" i="31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D31" i="2" s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D68" i="2" s="1"/>
  <c r="B69" i="2"/>
  <c r="B70" i="2"/>
  <c r="D70" i="2" s="1"/>
  <c r="B71" i="2"/>
  <c r="D71" i="2" s="1"/>
  <c r="B72" i="2"/>
  <c r="D72" i="2" s="1"/>
  <c r="B73" i="2"/>
  <c r="B74" i="2"/>
  <c r="B75" i="2"/>
  <c r="D75" i="2" s="1"/>
  <c r="B76" i="2"/>
  <c r="E76" i="2" s="1"/>
  <c r="B77" i="2"/>
  <c r="D77" i="2" s="1"/>
  <c r="B78" i="2"/>
  <c r="B79" i="2"/>
  <c r="D79" i="2" s="1"/>
  <c r="B80" i="2"/>
  <c r="D80" i="2" s="1"/>
  <c r="B81" i="2"/>
  <c r="B82" i="2"/>
  <c r="B83" i="2"/>
  <c r="B84" i="2"/>
  <c r="B85" i="2"/>
  <c r="B86" i="2"/>
  <c r="B87" i="2"/>
  <c r="B88" i="2"/>
  <c r="B89" i="2"/>
  <c r="C2" i="3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R60" i="31" s="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H80" i="2"/>
  <c r="N80" i="2"/>
  <c r="U80" i="2" s="1"/>
  <c r="H79" i="2"/>
  <c r="N79" i="2"/>
  <c r="U79" i="2" s="1"/>
  <c r="D78" i="2"/>
  <c r="H78" i="2"/>
  <c r="N78" i="2"/>
  <c r="U78" i="2" s="1"/>
  <c r="X78" i="2" s="1"/>
  <c r="N77" i="2"/>
  <c r="U77" i="2" s="1"/>
  <c r="H74" i="2"/>
  <c r="H75" i="2"/>
  <c r="H76" i="2"/>
  <c r="N76" i="2"/>
  <c r="U76" i="2" s="1"/>
  <c r="N75" i="2"/>
  <c r="U75" i="2" s="1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2" i="18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2" i="18"/>
  <c r="H31" i="2"/>
  <c r="N31" i="2"/>
  <c r="U31" i="2" s="1"/>
  <c r="X31" i="2" s="1"/>
  <c r="H69" i="2"/>
  <c r="R130" i="23"/>
  <c r="R131" i="23"/>
  <c r="R132" i="23"/>
  <c r="R133" i="23"/>
  <c r="R134" i="23"/>
  <c r="R135" i="23"/>
  <c r="R136" i="23"/>
  <c r="R137" i="23"/>
  <c r="R138" i="23"/>
  <c r="R139" i="23"/>
  <c r="R74" i="23"/>
  <c r="R75" i="23"/>
  <c r="R76" i="23"/>
  <c r="R77" i="23"/>
  <c r="R78" i="23"/>
  <c r="R79" i="23"/>
  <c r="R80" i="23"/>
  <c r="R81" i="23"/>
  <c r="R35" i="23"/>
  <c r="R36" i="23"/>
  <c r="R37" i="23"/>
  <c r="R38" i="23"/>
  <c r="R39" i="23"/>
  <c r="R40" i="23"/>
  <c r="R41" i="23"/>
  <c r="R42" i="23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3" i="23"/>
  <c r="R4" i="23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2" i="23"/>
  <c r="P130" i="23"/>
  <c r="P131" i="23"/>
  <c r="P132" i="23"/>
  <c r="P133" i="23"/>
  <c r="P134" i="23"/>
  <c r="P135" i="23"/>
  <c r="P136" i="23"/>
  <c r="P137" i="23"/>
  <c r="P138" i="23"/>
  <c r="P139" i="23"/>
  <c r="P74" i="23"/>
  <c r="P75" i="23"/>
  <c r="P76" i="23"/>
  <c r="P77" i="23"/>
  <c r="P78" i="23"/>
  <c r="P79" i="23"/>
  <c r="P80" i="23"/>
  <c r="P81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2" i="23"/>
  <c r="D74" i="2"/>
  <c r="N74" i="2"/>
  <c r="U74" i="2" s="1"/>
  <c r="X74" i="2" s="1"/>
  <c r="D73" i="2"/>
  <c r="N73" i="2"/>
  <c r="U73" i="2" s="1"/>
  <c r="X73" i="2" s="1"/>
  <c r="N72" i="2"/>
  <c r="U72" i="2" s="1"/>
  <c r="X72" i="2" s="1"/>
  <c r="N71" i="2"/>
  <c r="U71" i="2" s="1"/>
  <c r="X71" i="2" s="1"/>
  <c r="H70" i="2"/>
  <c r="N70" i="2"/>
  <c r="U70" i="2" s="1"/>
  <c r="X70" i="2" s="1"/>
  <c r="D69" i="2"/>
  <c r="N69" i="2"/>
  <c r="U69" i="2" s="1"/>
  <c r="X69" i="2" s="1"/>
  <c r="N68" i="2"/>
  <c r="U68" i="2" s="1"/>
  <c r="X68" i="2" s="1"/>
  <c r="R33" i="31" l="1"/>
  <c r="L33" i="1" s="1"/>
  <c r="R25" i="31"/>
  <c r="L25" i="1" s="1"/>
  <c r="R17" i="31"/>
  <c r="L17" i="1" s="1"/>
  <c r="R9" i="31"/>
  <c r="L9" i="1" s="1"/>
  <c r="R59" i="31"/>
  <c r="L59" i="1" s="1"/>
  <c r="R41" i="31"/>
  <c r="L41" i="1" s="1"/>
  <c r="R56" i="31"/>
  <c r="L56" i="1" s="1"/>
  <c r="R48" i="31"/>
  <c r="L48" i="1" s="1"/>
  <c r="R40" i="31"/>
  <c r="L40" i="1" s="1"/>
  <c r="R32" i="31"/>
  <c r="L32" i="1" s="1"/>
  <c r="R24" i="31"/>
  <c r="L24" i="1" s="1"/>
  <c r="R16" i="31"/>
  <c r="L16" i="1" s="1"/>
  <c r="R8" i="31"/>
  <c r="L8" i="1" s="1"/>
  <c r="R67" i="31"/>
  <c r="L67" i="1" s="1"/>
  <c r="R51" i="31"/>
  <c r="L51" i="1" s="1"/>
  <c r="R63" i="31"/>
  <c r="L63" i="1" s="1"/>
  <c r="R55" i="31"/>
  <c r="L55" i="1" s="1"/>
  <c r="R47" i="31"/>
  <c r="L47" i="1" s="1"/>
  <c r="R39" i="31"/>
  <c r="L39" i="1" s="1"/>
  <c r="R31" i="31"/>
  <c r="L31" i="1" s="1"/>
  <c r="R23" i="31"/>
  <c r="L23" i="1" s="1"/>
  <c r="R15" i="31"/>
  <c r="L15" i="1" s="1"/>
  <c r="R7" i="31"/>
  <c r="L7" i="1" s="1"/>
  <c r="R64" i="31"/>
  <c r="L64" i="1" s="1"/>
  <c r="R62" i="31"/>
  <c r="L62" i="1" s="1"/>
  <c r="R54" i="31"/>
  <c r="L54" i="1" s="1"/>
  <c r="R38" i="31"/>
  <c r="L38" i="1" s="1"/>
  <c r="R30" i="31"/>
  <c r="L30" i="1" s="1"/>
  <c r="R22" i="31"/>
  <c r="L22" i="1" s="1"/>
  <c r="R14" i="31"/>
  <c r="R6" i="31"/>
  <c r="L6" i="1" s="1"/>
  <c r="R66" i="31"/>
  <c r="L66" i="1" s="1"/>
  <c r="R73" i="31"/>
  <c r="L73" i="1" s="1"/>
  <c r="R65" i="31"/>
  <c r="L65" i="1" s="1"/>
  <c r="R57" i="31"/>
  <c r="L57" i="1" s="1"/>
  <c r="R49" i="31"/>
  <c r="L49" i="1" s="1"/>
  <c r="R45" i="31"/>
  <c r="L45" i="1" s="1"/>
  <c r="R29" i="31"/>
  <c r="L29" i="1" s="1"/>
  <c r="R21" i="31"/>
  <c r="L21" i="1" s="1"/>
  <c r="R13" i="31"/>
  <c r="L13" i="1" s="1"/>
  <c r="R5" i="31"/>
  <c r="L5" i="1" s="1"/>
  <c r="R72" i="31"/>
  <c r="L72" i="1" s="1"/>
  <c r="R71" i="31"/>
  <c r="L71" i="1" s="1"/>
  <c r="R70" i="31"/>
  <c r="L70" i="1" s="1"/>
  <c r="R46" i="31"/>
  <c r="L46" i="1" s="1"/>
  <c r="R69" i="31"/>
  <c r="L69" i="1" s="1"/>
  <c r="R61" i="31"/>
  <c r="L61" i="1" s="1"/>
  <c r="R53" i="31"/>
  <c r="L53" i="1" s="1"/>
  <c r="R37" i="31"/>
  <c r="L37" i="1" s="1"/>
  <c r="R68" i="31"/>
  <c r="L68" i="1" s="1"/>
  <c r="R52" i="31"/>
  <c r="L52" i="1" s="1"/>
  <c r="R44" i="31"/>
  <c r="L44" i="1" s="1"/>
  <c r="R36" i="31"/>
  <c r="L36" i="1" s="1"/>
  <c r="R28" i="31"/>
  <c r="L28" i="1" s="1"/>
  <c r="R20" i="31"/>
  <c r="L20" i="1" s="1"/>
  <c r="R12" i="31"/>
  <c r="L12" i="1" s="1"/>
  <c r="R4" i="31"/>
  <c r="L4" i="1" s="1"/>
  <c r="R43" i="31"/>
  <c r="L43" i="1" s="1"/>
  <c r="R35" i="31"/>
  <c r="L35" i="1" s="1"/>
  <c r="R27" i="31"/>
  <c r="L27" i="1" s="1"/>
  <c r="R19" i="31"/>
  <c r="L19" i="1" s="1"/>
  <c r="R11" i="31"/>
  <c r="L11" i="1" s="1"/>
  <c r="R3" i="31"/>
  <c r="L3" i="1" s="1"/>
  <c r="R58" i="31"/>
  <c r="L58" i="1" s="1"/>
  <c r="R50" i="31"/>
  <c r="L50" i="1" s="1"/>
  <c r="R42" i="31"/>
  <c r="L42" i="1" s="1"/>
  <c r="R34" i="31"/>
  <c r="L34" i="1" s="1"/>
  <c r="R26" i="31"/>
  <c r="L26" i="1" s="1"/>
  <c r="R18" i="31"/>
  <c r="L18" i="1" s="1"/>
  <c r="R10" i="31"/>
  <c r="L10" i="1" s="1"/>
  <c r="R2" i="31"/>
  <c r="L2" i="1" s="1"/>
  <c r="X80" i="2"/>
  <c r="W80" i="2"/>
  <c r="AC80" i="2"/>
  <c r="V80" i="2"/>
  <c r="S70" i="31" s="1"/>
  <c r="T70" i="31" s="1"/>
  <c r="E80" i="2"/>
  <c r="X79" i="2"/>
  <c r="AC79" i="2"/>
  <c r="V79" i="2"/>
  <c r="S72" i="31" s="1"/>
  <c r="T72" i="31" s="1"/>
  <c r="W79" i="2"/>
  <c r="E79" i="2"/>
  <c r="AC78" i="2"/>
  <c r="W78" i="2"/>
  <c r="V78" i="2"/>
  <c r="S68" i="31" s="1"/>
  <c r="T68" i="31" s="1"/>
  <c r="E78" i="2"/>
  <c r="X77" i="2"/>
  <c r="W77" i="2"/>
  <c r="Z77" i="2" s="1"/>
  <c r="AC77" i="2"/>
  <c r="V77" i="2"/>
  <c r="S71" i="31" s="1"/>
  <c r="T71" i="31" s="1"/>
  <c r="E77" i="2"/>
  <c r="AC76" i="2"/>
  <c r="X76" i="2"/>
  <c r="W76" i="2"/>
  <c r="V76" i="2"/>
  <c r="S69" i="31" s="1"/>
  <c r="T69" i="31" s="1"/>
  <c r="D76" i="2"/>
  <c r="AC75" i="2"/>
  <c r="X75" i="2"/>
  <c r="W75" i="2"/>
  <c r="Z75" i="2" s="1"/>
  <c r="V75" i="2"/>
  <c r="S67" i="31" s="1"/>
  <c r="T67" i="31" s="1"/>
  <c r="E75" i="2"/>
  <c r="AC31" i="2"/>
  <c r="V31" i="2"/>
  <c r="W31" i="2"/>
  <c r="AB31" i="2" s="1"/>
  <c r="E31" i="2"/>
  <c r="AC74" i="2"/>
  <c r="V74" i="2"/>
  <c r="S57" i="31" s="1"/>
  <c r="T57" i="31" s="1"/>
  <c r="W74" i="2"/>
  <c r="AB74" i="2" s="1"/>
  <c r="V57" i="31" s="1"/>
  <c r="E74" i="2"/>
  <c r="G72" i="2"/>
  <c r="H72" i="2" s="1"/>
  <c r="G73" i="2"/>
  <c r="H73" i="2" s="1"/>
  <c r="AC73" i="2"/>
  <c r="V73" i="2"/>
  <c r="S66" i="31" s="1"/>
  <c r="T66" i="31" s="1"/>
  <c r="W73" i="2"/>
  <c r="AB73" i="2" s="1"/>
  <c r="V66" i="31" s="1"/>
  <c r="E73" i="2"/>
  <c r="G68" i="2"/>
  <c r="H68" i="2" s="1"/>
  <c r="AC72" i="2"/>
  <c r="V72" i="2"/>
  <c r="S65" i="31" s="1"/>
  <c r="T65" i="31" s="1"/>
  <c r="W72" i="2"/>
  <c r="AB72" i="2" s="1"/>
  <c r="V65" i="31" s="1"/>
  <c r="E72" i="2"/>
  <c r="H71" i="2"/>
  <c r="W71" i="2"/>
  <c r="AC71" i="2"/>
  <c r="V71" i="2"/>
  <c r="S39" i="31" s="1"/>
  <c r="T39" i="31" s="1"/>
  <c r="E71" i="2"/>
  <c r="AC70" i="2"/>
  <c r="W70" i="2"/>
  <c r="V70" i="2"/>
  <c r="S58" i="31" s="1"/>
  <c r="T58" i="31" s="1"/>
  <c r="E70" i="2"/>
  <c r="W69" i="2"/>
  <c r="AB69" i="2" s="1"/>
  <c r="V63" i="31" s="1"/>
  <c r="V69" i="2"/>
  <c r="S63" i="31" s="1"/>
  <c r="T63" i="31" s="1"/>
  <c r="AC69" i="2"/>
  <c r="E69" i="2"/>
  <c r="AC68" i="2"/>
  <c r="E68" i="2"/>
  <c r="W68" i="2"/>
  <c r="AB68" i="2" s="1"/>
  <c r="V62" i="31" s="1"/>
  <c r="V68" i="2"/>
  <c r="S62" i="31" s="1"/>
  <c r="T62" i="31" s="1"/>
  <c r="C18" i="2" l="1"/>
  <c r="L60" i="1"/>
  <c r="L14" i="1"/>
  <c r="C6" i="26"/>
  <c r="D6" i="26"/>
  <c r="E6" i="26"/>
  <c r="F6" i="26"/>
  <c r="G6" i="26"/>
  <c r="H6" i="26"/>
  <c r="D5" i="26"/>
  <c r="E5" i="26"/>
  <c r="F5" i="26"/>
  <c r="G5" i="26"/>
  <c r="H5" i="26"/>
  <c r="C5" i="26"/>
  <c r="C4" i="2"/>
  <c r="C5" i="2"/>
  <c r="C10" i="2"/>
  <c r="C60" i="2"/>
  <c r="C21" i="2"/>
  <c r="C73" i="2"/>
  <c r="C69" i="2"/>
  <c r="C56" i="2"/>
  <c r="C82" i="2"/>
  <c r="C83" i="2"/>
  <c r="C85" i="2"/>
  <c r="C84" i="2"/>
  <c r="C86" i="2"/>
  <c r="C87" i="2"/>
  <c r="C81" i="2"/>
  <c r="C88" i="2"/>
  <c r="C89" i="2"/>
  <c r="C2" i="2"/>
  <c r="C3" i="2"/>
  <c r="C11" i="2"/>
  <c r="C12" i="2"/>
  <c r="C6" i="2"/>
  <c r="C7" i="2"/>
  <c r="C8" i="2"/>
  <c r="C16" i="2"/>
  <c r="C9" i="2"/>
  <c r="C31" i="2"/>
  <c r="C32" i="2"/>
  <c r="C67" i="2"/>
  <c r="C33" i="2"/>
  <c r="C20" i="2"/>
  <c r="C19" i="2"/>
  <c r="C24" i="2"/>
  <c r="C61" i="2"/>
  <c r="C64" i="2"/>
  <c r="C26" i="2"/>
  <c r="C22" i="2"/>
  <c r="C25" i="2"/>
  <c r="C13" i="2"/>
  <c r="C38" i="2"/>
  <c r="C76" i="2"/>
  <c r="C40" i="2"/>
  <c r="C17" i="2"/>
  <c r="C75" i="2"/>
  <c r="C15" i="2"/>
  <c r="C59" i="2"/>
  <c r="C55" i="2"/>
  <c r="C52" i="2"/>
  <c r="C80" i="2"/>
  <c r="C57" i="2"/>
  <c r="C39" i="2"/>
  <c r="C41" i="2"/>
  <c r="C23" i="2"/>
  <c r="C27" i="2"/>
  <c r="C28" i="2"/>
  <c r="C51" i="2"/>
  <c r="C70" i="2"/>
  <c r="C29" i="2"/>
  <c r="C30" i="2"/>
  <c r="C45" i="2"/>
  <c r="C53" i="2"/>
  <c r="C54" i="2"/>
  <c r="C34" i="2"/>
  <c r="C14" i="2"/>
  <c r="C66" i="2"/>
  <c r="C37" i="2"/>
  <c r="C46" i="2"/>
  <c r="C43" i="2"/>
  <c r="C62" i="2"/>
  <c r="C77" i="2"/>
  <c r="C74" i="2"/>
  <c r="C47" i="2"/>
  <c r="C71" i="2"/>
  <c r="C35" i="2"/>
  <c r="C49" i="2"/>
  <c r="C50" i="2"/>
  <c r="C78" i="2"/>
  <c r="C79" i="2"/>
  <c r="C72" i="2"/>
  <c r="C65" i="2"/>
  <c r="C58" i="2"/>
  <c r="C42" i="2"/>
  <c r="C36" i="2"/>
  <c r="C68" i="2"/>
  <c r="C63" i="2"/>
  <c r="C48" i="2"/>
  <c r="C44" i="2"/>
  <c r="Z80" i="2"/>
  <c r="AA80" i="2"/>
  <c r="U70" i="31" s="1"/>
  <c r="AB80" i="2"/>
  <c r="V70" i="31" s="1"/>
  <c r="Z79" i="2"/>
  <c r="AB79" i="2"/>
  <c r="V72" i="31" s="1"/>
  <c r="AA79" i="2"/>
  <c r="U72" i="31" s="1"/>
  <c r="Z78" i="2"/>
  <c r="AA78" i="2"/>
  <c r="U68" i="31" s="1"/>
  <c r="AB78" i="2"/>
  <c r="V68" i="31" s="1"/>
  <c r="AA77" i="2"/>
  <c r="U71" i="31" s="1"/>
  <c r="AB77" i="2"/>
  <c r="V71" i="31" s="1"/>
  <c r="AB76" i="2"/>
  <c r="V69" i="31" s="1"/>
  <c r="AA76" i="2"/>
  <c r="U69" i="31" s="1"/>
  <c r="Z76" i="2"/>
  <c r="AA75" i="2"/>
  <c r="U67" i="31" s="1"/>
  <c r="AB75" i="2"/>
  <c r="V67" i="31" s="1"/>
  <c r="Z71" i="2"/>
  <c r="AB71" i="2"/>
  <c r="V39" i="31" s="1"/>
  <c r="Z70" i="2"/>
  <c r="AB70" i="2"/>
  <c r="V58" i="31" s="1"/>
  <c r="Z31" i="2"/>
  <c r="AA31" i="2"/>
  <c r="Z74" i="2"/>
  <c r="AA74" i="2"/>
  <c r="U57" i="31" s="1"/>
  <c r="Z73" i="2"/>
  <c r="AA73" i="2"/>
  <c r="U66" i="31" s="1"/>
  <c r="Z72" i="2"/>
  <c r="AA72" i="2"/>
  <c r="U65" i="31" s="1"/>
  <c r="AA71" i="2"/>
  <c r="U39" i="31" s="1"/>
  <c r="AA70" i="2"/>
  <c r="U58" i="31" s="1"/>
  <c r="Z69" i="2"/>
  <c r="AA69" i="2"/>
  <c r="U63" i="31" s="1"/>
  <c r="Z68" i="2"/>
  <c r="AA68" i="2"/>
  <c r="U62" i="31" s="1"/>
  <c r="D16" i="2" l="1"/>
  <c r="H16" i="2"/>
  <c r="N16" i="2"/>
  <c r="U16" i="2" s="1"/>
  <c r="X16" i="2" s="1"/>
  <c r="D67" i="2"/>
  <c r="N67" i="2"/>
  <c r="U67" i="2" s="1"/>
  <c r="X67" i="2" s="1"/>
  <c r="C24" i="26"/>
  <c r="D24" i="26" s="1"/>
  <c r="E24" i="26" s="1"/>
  <c r="F24" i="26" s="1"/>
  <c r="G24" i="26" s="1"/>
  <c r="H24" i="26" s="1"/>
  <c r="I24" i="26" s="1"/>
  <c r="J24" i="26" s="1"/>
  <c r="K24" i="26" s="1"/>
  <c r="L24" i="26" s="1"/>
  <c r="M24" i="26" s="1"/>
  <c r="N24" i="26" s="1"/>
  <c r="N66" i="2"/>
  <c r="U66" i="2" s="1"/>
  <c r="X66" i="2" s="1"/>
  <c r="E66" i="2"/>
  <c r="D65" i="2"/>
  <c r="H65" i="2"/>
  <c r="N65" i="2"/>
  <c r="U65" i="2" s="1"/>
  <c r="X65" i="2" s="1"/>
  <c r="D64" i="2"/>
  <c r="H64" i="2"/>
  <c r="N64" i="2"/>
  <c r="U64" i="2" s="1"/>
  <c r="X64" i="2" s="1"/>
  <c r="D63" i="2"/>
  <c r="H63" i="2"/>
  <c r="N63" i="2"/>
  <c r="U63" i="2" s="1"/>
  <c r="X63" i="2" s="1"/>
  <c r="W16" i="2" l="1"/>
  <c r="AB16" i="2" s="1"/>
  <c r="AC16" i="2"/>
  <c r="V16" i="2"/>
  <c r="E16" i="2"/>
  <c r="G67" i="2"/>
  <c r="H67" i="2" s="1"/>
  <c r="AC67" i="2"/>
  <c r="V67" i="2"/>
  <c r="S61" i="31" s="1"/>
  <c r="T61" i="31" s="1"/>
  <c r="W67" i="2"/>
  <c r="AB67" i="2" s="1"/>
  <c r="V61" i="31" s="1"/>
  <c r="E67" i="2"/>
  <c r="G66" i="2"/>
  <c r="H66" i="2" s="1"/>
  <c r="AC66" i="2"/>
  <c r="W66" i="2"/>
  <c r="AB66" i="2" s="1"/>
  <c r="V59" i="31" s="1"/>
  <c r="V66" i="2"/>
  <c r="S59" i="31" s="1"/>
  <c r="T59" i="31" s="1"/>
  <c r="D66" i="2"/>
  <c r="AC65" i="2"/>
  <c r="V65" i="2"/>
  <c r="S54" i="31" s="1"/>
  <c r="T54" i="31" s="1"/>
  <c r="W65" i="2"/>
  <c r="AB65" i="2" s="1"/>
  <c r="V54" i="31" s="1"/>
  <c r="E65" i="2"/>
  <c r="AC64" i="2"/>
  <c r="V64" i="2"/>
  <c r="S56" i="31" s="1"/>
  <c r="T56" i="31" s="1"/>
  <c r="W64" i="2"/>
  <c r="AB64" i="2" s="1"/>
  <c r="V56" i="31" s="1"/>
  <c r="E64" i="2"/>
  <c r="V63" i="2"/>
  <c r="S55" i="31" s="1"/>
  <c r="T55" i="31" s="1"/>
  <c r="E63" i="2"/>
  <c r="AC63" i="2"/>
  <c r="W63" i="2"/>
  <c r="AB63" i="2" s="1"/>
  <c r="V55" i="31" s="1"/>
  <c r="D62" i="2"/>
  <c r="H62" i="2"/>
  <c r="N62" i="2"/>
  <c r="U62" i="2" s="1"/>
  <c r="D61" i="2"/>
  <c r="H61" i="2"/>
  <c r="N61" i="2"/>
  <c r="U61" i="2" s="1"/>
  <c r="X61" i="2" s="1"/>
  <c r="C67" i="26"/>
  <c r="D67" i="26" s="1"/>
  <c r="E67" i="26" s="1"/>
  <c r="F67" i="26" s="1"/>
  <c r="G67" i="26" s="1"/>
  <c r="H67" i="26" s="1"/>
  <c r="I67" i="26" s="1"/>
  <c r="J67" i="26" s="1"/>
  <c r="K67" i="26" s="1"/>
  <c r="L67" i="26" s="1"/>
  <c r="M67" i="26" s="1"/>
  <c r="N67" i="26" s="1"/>
  <c r="C53" i="26"/>
  <c r="C34" i="26"/>
  <c r="C14" i="26"/>
  <c r="D14" i="26" s="1"/>
  <c r="E14" i="26" s="1"/>
  <c r="F14" i="26" s="1"/>
  <c r="G14" i="26" s="1"/>
  <c r="H14" i="26" s="1"/>
  <c r="I14" i="26" s="1"/>
  <c r="J14" i="26" s="1"/>
  <c r="K14" i="26" s="1"/>
  <c r="L14" i="26" s="1"/>
  <c r="M14" i="26" s="1"/>
  <c r="N14" i="26" s="1"/>
  <c r="D60" i="2"/>
  <c r="H60" i="2"/>
  <c r="N60" i="2"/>
  <c r="U60" i="2" s="1"/>
  <c r="X60" i="2" s="1"/>
  <c r="D59" i="2"/>
  <c r="H59" i="2"/>
  <c r="N59" i="2"/>
  <c r="U59" i="2" s="1"/>
  <c r="X59" i="2" s="1"/>
  <c r="N58" i="2"/>
  <c r="U58" i="2" s="1"/>
  <c r="X58" i="2" s="1"/>
  <c r="H58" i="2"/>
  <c r="E58" i="2"/>
  <c r="N57" i="2"/>
  <c r="U57" i="2" s="1"/>
  <c r="X57" i="2" s="1"/>
  <c r="H57" i="2"/>
  <c r="E57" i="2"/>
  <c r="N56" i="2"/>
  <c r="U56" i="2" s="1"/>
  <c r="X56" i="2" s="1"/>
  <c r="H56" i="2"/>
  <c r="E56" i="2"/>
  <c r="B4" i="8"/>
  <c r="A399" i="14"/>
  <c r="B399" i="14"/>
  <c r="C399" i="14"/>
  <c r="D399" i="14"/>
  <c r="K399" i="14" s="1"/>
  <c r="E399" i="14"/>
  <c r="F399" i="14"/>
  <c r="G399" i="14"/>
  <c r="A400" i="14"/>
  <c r="B400" i="14"/>
  <c r="C400" i="14"/>
  <c r="D400" i="14"/>
  <c r="K400" i="14" s="1"/>
  <c r="E400" i="14"/>
  <c r="F400" i="14"/>
  <c r="G400" i="14"/>
  <c r="H4" i="9"/>
  <c r="G270" i="28"/>
  <c r="H55" i="2"/>
  <c r="N55" i="2"/>
  <c r="H54" i="2"/>
  <c r="N54" i="2"/>
  <c r="G205" i="28"/>
  <c r="H53" i="2"/>
  <c r="N53" i="2"/>
  <c r="G14" i="28"/>
  <c r="H52" i="2"/>
  <c r="N52" i="2"/>
  <c r="G17" i="28"/>
  <c r="H51" i="2"/>
  <c r="N51" i="2"/>
  <c r="N50" i="2"/>
  <c r="H50" i="2"/>
  <c r="G186" i="28"/>
  <c r="D4" i="26"/>
  <c r="G188" i="28"/>
  <c r="H49" i="2"/>
  <c r="N49" i="2"/>
  <c r="G182" i="28"/>
  <c r="H48" i="2"/>
  <c r="N48" i="2"/>
  <c r="H15" i="2"/>
  <c r="U15" i="2"/>
  <c r="X15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81" i="2"/>
  <c r="H82" i="2"/>
  <c r="H83" i="2"/>
  <c r="H84" i="2"/>
  <c r="H85" i="2"/>
  <c r="H86" i="2"/>
  <c r="H87" i="2"/>
  <c r="H88" i="2"/>
  <c r="H89" i="2"/>
  <c r="N47" i="2"/>
  <c r="N12" i="2"/>
  <c r="E12" i="2"/>
  <c r="N46" i="2"/>
  <c r="G185" i="28"/>
  <c r="G187" i="28"/>
  <c r="N45" i="2"/>
  <c r="N44" i="2"/>
  <c r="C70" i="26"/>
  <c r="D70" i="26"/>
  <c r="E70" i="26"/>
  <c r="F70" i="26"/>
  <c r="G70" i="26"/>
  <c r="H70" i="26"/>
  <c r="I70" i="26"/>
  <c r="J70" i="26"/>
  <c r="K70" i="26"/>
  <c r="L70" i="26"/>
  <c r="M70" i="26"/>
  <c r="N70" i="26"/>
  <c r="G72" i="26" l="1"/>
  <c r="V62" i="2"/>
  <c r="S52" i="31" s="1"/>
  <c r="T52" i="31" s="1"/>
  <c r="X62" i="2"/>
  <c r="D53" i="26"/>
  <c r="D34" i="26"/>
  <c r="C36" i="26"/>
  <c r="C35" i="26"/>
  <c r="E4" i="26"/>
  <c r="G371" i="28"/>
  <c r="G316" i="28"/>
  <c r="G276" i="28"/>
  <c r="G115" i="28"/>
  <c r="G348" i="28"/>
  <c r="G341" i="28"/>
  <c r="G340" i="28"/>
  <c r="G339" i="28"/>
  <c r="G266" i="28"/>
  <c r="G85" i="28"/>
  <c r="G277" i="28"/>
  <c r="G275" i="28"/>
  <c r="G357" i="28"/>
  <c r="G309" i="28"/>
  <c r="G190" i="28"/>
  <c r="G372" i="28"/>
  <c r="G317" i="28"/>
  <c r="G227" i="28"/>
  <c r="G226" i="28"/>
  <c r="G364" i="28"/>
  <c r="G315" i="28"/>
  <c r="G201" i="28"/>
  <c r="G355" i="28"/>
  <c r="G323" i="28"/>
  <c r="G242" i="28"/>
  <c r="G147" i="28"/>
  <c r="G363" i="28"/>
  <c r="G333" i="28"/>
  <c r="G308" i="28"/>
  <c r="G257" i="28"/>
  <c r="G165" i="28"/>
  <c r="G332" i="28"/>
  <c r="G300" i="28"/>
  <c r="G250" i="28"/>
  <c r="G149" i="28"/>
  <c r="G381" i="28"/>
  <c r="G356" i="28"/>
  <c r="G331" i="28"/>
  <c r="G292" i="28"/>
  <c r="G249" i="28"/>
  <c r="G148" i="28"/>
  <c r="G291" i="28"/>
  <c r="G251" i="28"/>
  <c r="G198" i="28"/>
  <c r="G112" i="28"/>
  <c r="G373" i="28"/>
  <c r="G349" i="28"/>
  <c r="G325" i="28"/>
  <c r="G293" i="28"/>
  <c r="G265" i="28"/>
  <c r="G211" i="28"/>
  <c r="G125" i="28"/>
  <c r="G365" i="28"/>
  <c r="G347" i="28"/>
  <c r="G324" i="28"/>
  <c r="G299" i="28"/>
  <c r="G267" i="28"/>
  <c r="G234" i="28"/>
  <c r="G156" i="28"/>
  <c r="G69" i="28"/>
  <c r="Z16" i="2"/>
  <c r="AA16" i="2"/>
  <c r="G200" i="28"/>
  <c r="G243" i="28"/>
  <c r="G209" i="28"/>
  <c r="G164" i="28"/>
  <c r="G116" i="28"/>
  <c r="G225" i="28"/>
  <c r="G173" i="28"/>
  <c r="G140" i="28"/>
  <c r="G68" i="28"/>
  <c r="G219" i="28"/>
  <c r="G172" i="28"/>
  <c r="G128" i="28"/>
  <c r="G52" i="28"/>
  <c r="G233" i="28"/>
  <c r="G210" i="28"/>
  <c r="G176" i="28"/>
  <c r="G155" i="28"/>
  <c r="G126" i="28"/>
  <c r="G84" i="28"/>
  <c r="G53" i="28"/>
  <c r="G307" i="28"/>
  <c r="G259" i="28"/>
  <c r="G241" i="28"/>
  <c r="G218" i="28"/>
  <c r="G192" i="28"/>
  <c r="G163" i="28"/>
  <c r="G139" i="28"/>
  <c r="G101" i="28"/>
  <c r="G37" i="28"/>
  <c r="G301" i="28"/>
  <c r="G283" i="28"/>
  <c r="G258" i="28"/>
  <c r="G235" i="28"/>
  <c r="G217" i="28"/>
  <c r="G191" i="28"/>
  <c r="G157" i="28"/>
  <c r="G136" i="28"/>
  <c r="G100" i="28"/>
  <c r="G36" i="28"/>
  <c r="G99" i="28"/>
  <c r="G67" i="28"/>
  <c r="G35" i="28"/>
  <c r="G354" i="28"/>
  <c r="G330" i="28"/>
  <c r="G306" i="28"/>
  <c r="G282" i="28"/>
  <c r="G256" i="28"/>
  <c r="G232" i="28"/>
  <c r="G208" i="28"/>
  <c r="G171" i="28"/>
  <c r="G146" i="28"/>
  <c r="G110" i="28"/>
  <c r="G62" i="28"/>
  <c r="G361" i="28"/>
  <c r="G337" i="28"/>
  <c r="G313" i="28"/>
  <c r="G289" i="28"/>
  <c r="G263" i="28"/>
  <c r="G239" i="28"/>
  <c r="G215" i="28"/>
  <c r="G183" i="28"/>
  <c r="G153" i="28"/>
  <c r="G123" i="28"/>
  <c r="G77" i="28"/>
  <c r="G45" i="28"/>
  <c r="G360" i="28"/>
  <c r="G336" i="28"/>
  <c r="G312" i="28"/>
  <c r="G288" i="28"/>
  <c r="G262" i="28"/>
  <c r="G238" i="28"/>
  <c r="G206" i="28"/>
  <c r="G44" i="28"/>
  <c r="G83" i="28"/>
  <c r="G51" i="28"/>
  <c r="G362" i="28"/>
  <c r="G338" i="28"/>
  <c r="G314" i="28"/>
  <c r="G290" i="28"/>
  <c r="G264" i="28"/>
  <c r="G240" i="28"/>
  <c r="G216" i="28"/>
  <c r="G189" i="28"/>
  <c r="G154" i="28"/>
  <c r="G124" i="28"/>
  <c r="G78" i="28"/>
  <c r="G30" i="28"/>
  <c r="G369" i="28"/>
  <c r="G345" i="28"/>
  <c r="G297" i="28"/>
  <c r="G273" i="28"/>
  <c r="G247" i="28"/>
  <c r="G223" i="28"/>
  <c r="G196" i="28"/>
  <c r="G161" i="28"/>
  <c r="G134" i="28"/>
  <c r="G93" i="28"/>
  <c r="G368" i="28"/>
  <c r="G344" i="28"/>
  <c r="G296" i="28"/>
  <c r="G272" i="28"/>
  <c r="G246" i="28"/>
  <c r="G222" i="28"/>
  <c r="G195" i="28"/>
  <c r="G168" i="28"/>
  <c r="G152" i="28"/>
  <c r="G133" i="28"/>
  <c r="G108" i="28"/>
  <c r="G76" i="28"/>
  <c r="G383" i="28"/>
  <c r="G375" i="28"/>
  <c r="G367" i="28"/>
  <c r="G359" i="28"/>
  <c r="G351" i="28"/>
  <c r="G343" i="28"/>
  <c r="G335" i="28"/>
  <c r="G319" i="28"/>
  <c r="G311" i="28"/>
  <c r="G303" i="28"/>
  <c r="G295" i="28"/>
  <c r="G287" i="28"/>
  <c r="G279" i="28"/>
  <c r="G271" i="28"/>
  <c r="G261" i="28"/>
  <c r="G253" i="28"/>
  <c r="G245" i="28"/>
  <c r="G237" i="28"/>
  <c r="G229" i="28"/>
  <c r="G221" i="28"/>
  <c r="G213" i="28"/>
  <c r="G203" i="28"/>
  <c r="G194" i="28"/>
  <c r="G178" i="28"/>
  <c r="G167" i="28"/>
  <c r="G159" i="28"/>
  <c r="G151" i="28"/>
  <c r="G142" i="28"/>
  <c r="G132" i="28"/>
  <c r="G118" i="28"/>
  <c r="G107" i="28"/>
  <c r="G91" i="28"/>
  <c r="G75" i="28"/>
  <c r="G59" i="28"/>
  <c r="G43" i="28"/>
  <c r="G27" i="28"/>
  <c r="G370" i="28"/>
  <c r="G346" i="28"/>
  <c r="G298" i="28"/>
  <c r="G274" i="28"/>
  <c r="G248" i="28"/>
  <c r="G224" i="28"/>
  <c r="G197" i="28"/>
  <c r="G162" i="28"/>
  <c r="G135" i="28"/>
  <c r="G94" i="28"/>
  <c r="G46" i="28"/>
  <c r="G377" i="28"/>
  <c r="G353" i="28"/>
  <c r="G305" i="28"/>
  <c r="G281" i="28"/>
  <c r="G255" i="28"/>
  <c r="G231" i="28"/>
  <c r="G207" i="28"/>
  <c r="G170" i="28"/>
  <c r="G144" i="28"/>
  <c r="G109" i="28"/>
  <c r="G61" i="28"/>
  <c r="G29" i="28"/>
  <c r="G376" i="28"/>
  <c r="G352" i="28"/>
  <c r="G304" i="28"/>
  <c r="G280" i="28"/>
  <c r="G254" i="28"/>
  <c r="G230" i="28"/>
  <c r="G214" i="28"/>
  <c r="G181" i="28"/>
  <c r="G160" i="28"/>
  <c r="G143" i="28"/>
  <c r="G120" i="28"/>
  <c r="G92" i="28"/>
  <c r="G60" i="28"/>
  <c r="G28" i="28"/>
  <c r="G382" i="28"/>
  <c r="G374" i="28"/>
  <c r="G366" i="28"/>
  <c r="G358" i="28"/>
  <c r="G350" i="28"/>
  <c r="G342" i="28"/>
  <c r="G334" i="28"/>
  <c r="G326" i="28"/>
  <c r="G318" i="28"/>
  <c r="G310" i="28"/>
  <c r="G302" i="28"/>
  <c r="G294" i="28"/>
  <c r="G286" i="28"/>
  <c r="G278" i="28"/>
  <c r="G268" i="28"/>
  <c r="G260" i="28"/>
  <c r="G252" i="28"/>
  <c r="G244" i="28"/>
  <c r="G236" i="28"/>
  <c r="G228" i="28"/>
  <c r="G220" i="28"/>
  <c r="G212" i="28"/>
  <c r="G202" i="28"/>
  <c r="G193" i="28"/>
  <c r="G177" i="28"/>
  <c r="G166" i="28"/>
  <c r="G158" i="28"/>
  <c r="G150" i="28"/>
  <c r="G141" i="28"/>
  <c r="G131" i="28"/>
  <c r="G117" i="28"/>
  <c r="G102" i="28"/>
  <c r="G86" i="28"/>
  <c r="G70" i="28"/>
  <c r="G54" i="28"/>
  <c r="G38" i="28"/>
  <c r="G127" i="28"/>
  <c r="G119" i="28"/>
  <c r="G111" i="28"/>
  <c r="G103" i="28"/>
  <c r="G95" i="28"/>
  <c r="G87" i="28"/>
  <c r="G79" i="28"/>
  <c r="G71" i="28"/>
  <c r="G63" i="28"/>
  <c r="G55" i="28"/>
  <c r="G47" i="28"/>
  <c r="G39" i="28"/>
  <c r="G31" i="28"/>
  <c r="G138" i="28"/>
  <c r="G130" i="28"/>
  <c r="G122" i="28"/>
  <c r="G114" i="28"/>
  <c r="G106" i="28"/>
  <c r="G98" i="28"/>
  <c r="G90" i="28"/>
  <c r="G82" i="28"/>
  <c r="G74" i="28"/>
  <c r="G66" i="28"/>
  <c r="G58" i="28"/>
  <c r="G50" i="28"/>
  <c r="G42" i="28"/>
  <c r="G34" i="28"/>
  <c r="G26" i="28"/>
  <c r="G145" i="28"/>
  <c r="G137" i="28"/>
  <c r="G129" i="28"/>
  <c r="G121" i="28"/>
  <c r="G113" i="28"/>
  <c r="G105" i="28"/>
  <c r="G97" i="28"/>
  <c r="G89" i="28"/>
  <c r="G81" i="28"/>
  <c r="G73" i="28"/>
  <c r="G65" i="28"/>
  <c r="G57" i="28"/>
  <c r="G49" i="28"/>
  <c r="G41" i="28"/>
  <c r="G33" i="28"/>
  <c r="G16" i="28"/>
  <c r="G104" i="28"/>
  <c r="G96" i="28"/>
  <c r="G88" i="28"/>
  <c r="G80" i="28"/>
  <c r="G72" i="28"/>
  <c r="G64" i="28"/>
  <c r="G56" i="28"/>
  <c r="G48" i="28"/>
  <c r="G40" i="28"/>
  <c r="G32" i="28"/>
  <c r="G6" i="28"/>
  <c r="G8" i="28"/>
  <c r="Z67" i="2"/>
  <c r="AA67" i="2"/>
  <c r="U61" i="31" s="1"/>
  <c r="G25" i="28"/>
  <c r="G24" i="28"/>
  <c r="G23" i="28"/>
  <c r="G21" i="28"/>
  <c r="G20" i="28"/>
  <c r="G7" i="28"/>
  <c r="G9" i="28"/>
  <c r="AA66" i="2"/>
  <c r="U59" i="31" s="1"/>
  <c r="Z66" i="2"/>
  <c r="G22" i="28"/>
  <c r="G15" i="28"/>
  <c r="G18" i="28"/>
  <c r="G204" i="28"/>
  <c r="Z65" i="2"/>
  <c r="AA65" i="2"/>
  <c r="U54" i="31" s="1"/>
  <c r="Z64" i="2"/>
  <c r="AA64" i="2"/>
  <c r="U56" i="31" s="1"/>
  <c r="Z63" i="2"/>
  <c r="AA63" i="2"/>
  <c r="U55" i="31" s="1"/>
  <c r="E34" i="26"/>
  <c r="AC62" i="2"/>
  <c r="W62" i="2"/>
  <c r="E62" i="2"/>
  <c r="F72" i="26"/>
  <c r="W61" i="2"/>
  <c r="V61" i="2"/>
  <c r="S51" i="31" s="1"/>
  <c r="T51" i="31" s="1"/>
  <c r="AC61" i="2"/>
  <c r="E61" i="2"/>
  <c r="AC60" i="2"/>
  <c r="W60" i="2"/>
  <c r="V60" i="2"/>
  <c r="S53" i="31" s="1"/>
  <c r="T53" i="31" s="1"/>
  <c r="E60" i="2"/>
  <c r="AC59" i="2"/>
  <c r="V59" i="2"/>
  <c r="S50" i="31" s="1"/>
  <c r="T50" i="31" s="1"/>
  <c r="W59" i="2"/>
  <c r="AB59" i="2" s="1"/>
  <c r="V50" i="31" s="1"/>
  <c r="E59" i="2"/>
  <c r="AC58" i="2"/>
  <c r="W58" i="2"/>
  <c r="AB58" i="2" s="1"/>
  <c r="V47" i="31" s="1"/>
  <c r="V58" i="2"/>
  <c r="S47" i="31" s="1"/>
  <c r="T47" i="31" s="1"/>
  <c r="D58" i="2"/>
  <c r="D57" i="2"/>
  <c r="AC57" i="2"/>
  <c r="W57" i="2"/>
  <c r="AB57" i="2" s="1"/>
  <c r="V49" i="31" s="1"/>
  <c r="V57" i="2"/>
  <c r="S49" i="31" s="1"/>
  <c r="T49" i="31" s="1"/>
  <c r="D48" i="2"/>
  <c r="U53" i="2"/>
  <c r="D55" i="2"/>
  <c r="U49" i="2"/>
  <c r="U50" i="2"/>
  <c r="U12" i="2"/>
  <c r="U51" i="2"/>
  <c r="D53" i="2"/>
  <c r="D49" i="2"/>
  <c r="U54" i="2"/>
  <c r="D15" i="2"/>
  <c r="D51" i="2"/>
  <c r="U52" i="2"/>
  <c r="D54" i="2"/>
  <c r="D46" i="2"/>
  <c r="U46" i="2"/>
  <c r="X46" i="2" s="1"/>
  <c r="U44" i="2"/>
  <c r="U47" i="2"/>
  <c r="D44" i="2"/>
  <c r="D47" i="2"/>
  <c r="U45" i="2"/>
  <c r="D45" i="2"/>
  <c r="U48" i="2"/>
  <c r="U55" i="2"/>
  <c r="E50" i="2"/>
  <c r="D52" i="2"/>
  <c r="AC56" i="2"/>
  <c r="W56" i="2"/>
  <c r="AB56" i="2" s="1"/>
  <c r="V48" i="31" s="1"/>
  <c r="V56" i="2"/>
  <c r="S48" i="31" s="1"/>
  <c r="T48" i="31" s="1"/>
  <c r="D56" i="2"/>
  <c r="E55" i="2"/>
  <c r="E54" i="2"/>
  <c r="E53" i="2"/>
  <c r="E52" i="2"/>
  <c r="E51" i="2"/>
  <c r="D50" i="2"/>
  <c r="E49" i="2"/>
  <c r="E48" i="2"/>
  <c r="AC15" i="2"/>
  <c r="V15" i="2"/>
  <c r="S41" i="31" s="1"/>
  <c r="T41" i="31" s="1"/>
  <c r="W15" i="2"/>
  <c r="AB15" i="2" s="1"/>
  <c r="V41" i="31" s="1"/>
  <c r="E15" i="2"/>
  <c r="E47" i="2"/>
  <c r="D12" i="2"/>
  <c r="E46" i="2"/>
  <c r="E45" i="2"/>
  <c r="E44" i="2"/>
  <c r="E50" i="8"/>
  <c r="G12" i="28"/>
  <c r="N41" i="2"/>
  <c r="G10" i="28"/>
  <c r="N43" i="2"/>
  <c r="G199" i="28"/>
  <c r="N42" i="2"/>
  <c r="AC12" i="2" l="1"/>
  <c r="X12" i="2"/>
  <c r="AC45" i="2"/>
  <c r="X45" i="2"/>
  <c r="V52" i="2"/>
  <c r="S44" i="31" s="1"/>
  <c r="T44" i="31" s="1"/>
  <c r="X52" i="2"/>
  <c r="AC50" i="2"/>
  <c r="X50" i="2"/>
  <c r="Z61" i="2"/>
  <c r="AB61" i="2"/>
  <c r="V51" i="31" s="1"/>
  <c r="V49" i="2"/>
  <c r="S42" i="31" s="1"/>
  <c r="T42" i="31" s="1"/>
  <c r="X49" i="2"/>
  <c r="V47" i="2"/>
  <c r="S38" i="31" s="1"/>
  <c r="T38" i="31" s="1"/>
  <c r="X47" i="2"/>
  <c r="AC54" i="2"/>
  <c r="X54" i="2"/>
  <c r="W53" i="2"/>
  <c r="AB53" i="2" s="1"/>
  <c r="V46" i="31" s="1"/>
  <c r="X53" i="2"/>
  <c r="Z60" i="2"/>
  <c r="AB60" i="2"/>
  <c r="V53" i="31" s="1"/>
  <c r="Z62" i="2"/>
  <c r="AB62" i="2"/>
  <c r="V52" i="31" s="1"/>
  <c r="AC44" i="2"/>
  <c r="X44" i="2"/>
  <c r="AC48" i="2"/>
  <c r="X48" i="2"/>
  <c r="V51" i="2"/>
  <c r="S37" i="31" s="1"/>
  <c r="T37" i="31" s="1"/>
  <c r="X51" i="2"/>
  <c r="V55" i="2"/>
  <c r="S45" i="31" s="1"/>
  <c r="T45" i="31" s="1"/>
  <c r="X55" i="2"/>
  <c r="E53" i="26"/>
  <c r="F4" i="26"/>
  <c r="E35" i="26"/>
  <c r="E36" i="26"/>
  <c r="D36" i="26"/>
  <c r="D35" i="26"/>
  <c r="W45" i="2"/>
  <c r="AC49" i="2"/>
  <c r="C44" i="26"/>
  <c r="C48" i="26" s="1"/>
  <c r="F34" i="26"/>
  <c r="AA62" i="2"/>
  <c r="U52" i="31" s="1"/>
  <c r="V12" i="2"/>
  <c r="W12" i="2"/>
  <c r="AA61" i="2"/>
  <c r="U51" i="31" s="1"/>
  <c r="AC51" i="2"/>
  <c r="AC52" i="2"/>
  <c r="AA60" i="2"/>
  <c r="U53" i="31" s="1"/>
  <c r="W49" i="2"/>
  <c r="Z59" i="2"/>
  <c r="AA59" i="2"/>
  <c r="U50" i="31" s="1"/>
  <c r="V53" i="2"/>
  <c r="S46" i="31" s="1"/>
  <c r="T46" i="31" s="1"/>
  <c r="AC53" i="2"/>
  <c r="W44" i="2"/>
  <c r="AA58" i="2"/>
  <c r="U47" i="31" s="1"/>
  <c r="Z58" i="2"/>
  <c r="V50" i="2"/>
  <c r="S43" i="31" s="1"/>
  <c r="T43" i="31" s="1"/>
  <c r="W47" i="2"/>
  <c r="AC47" i="2"/>
  <c r="W51" i="2"/>
  <c r="W54" i="2"/>
  <c r="V44" i="2"/>
  <c r="S33" i="31" s="1"/>
  <c r="T33" i="31" s="1"/>
  <c r="W50" i="2"/>
  <c r="W52" i="2"/>
  <c r="V45" i="2"/>
  <c r="S36" i="31" s="1"/>
  <c r="T36" i="31" s="1"/>
  <c r="V54" i="2"/>
  <c r="S22" i="31" s="1"/>
  <c r="T22" i="31" s="1"/>
  <c r="AA57" i="2"/>
  <c r="U49" i="31" s="1"/>
  <c r="Z57" i="2"/>
  <c r="W55" i="2"/>
  <c r="AC55" i="2"/>
  <c r="AA56" i="2"/>
  <c r="U48" i="31" s="1"/>
  <c r="Z56" i="2"/>
  <c r="W46" i="2"/>
  <c r="V46" i="2"/>
  <c r="S34" i="31" s="1"/>
  <c r="T34" i="31" s="1"/>
  <c r="W48" i="2"/>
  <c r="AC46" i="2"/>
  <c r="V48" i="2"/>
  <c r="S40" i="31" s="1"/>
  <c r="T40" i="31" s="1"/>
  <c r="Z53" i="2"/>
  <c r="U41" i="2"/>
  <c r="X41" i="2" s="1"/>
  <c r="U43" i="2"/>
  <c r="X43" i="2" s="1"/>
  <c r="D41" i="2"/>
  <c r="U42" i="2"/>
  <c r="X42" i="2" s="1"/>
  <c r="D42" i="2"/>
  <c r="D43" i="2"/>
  <c r="Z15" i="2"/>
  <c r="AA15" i="2"/>
  <c r="U41" i="31" s="1"/>
  <c r="E41" i="2"/>
  <c r="E43" i="2"/>
  <c r="E42" i="2"/>
  <c r="G180" i="28"/>
  <c r="N40" i="2"/>
  <c r="G179" i="28"/>
  <c r="N39" i="2"/>
  <c r="G184" i="28"/>
  <c r="N38" i="2"/>
  <c r="AA53" i="2" l="1"/>
  <c r="U46" i="31" s="1"/>
  <c r="Z47" i="2"/>
  <c r="AB47" i="2"/>
  <c r="V38" i="31" s="1"/>
  <c r="Z44" i="2"/>
  <c r="AB44" i="2"/>
  <c r="V33" i="31" s="1"/>
  <c r="Z45" i="2"/>
  <c r="AB45" i="2"/>
  <c r="V36" i="31" s="1"/>
  <c r="Z46" i="2"/>
  <c r="AB46" i="2"/>
  <c r="V34" i="31" s="1"/>
  <c r="AA50" i="2"/>
  <c r="U43" i="31" s="1"/>
  <c r="AB50" i="2"/>
  <c r="V43" i="31" s="1"/>
  <c r="AA55" i="2"/>
  <c r="U45" i="31" s="1"/>
  <c r="AB55" i="2"/>
  <c r="V45" i="31" s="1"/>
  <c r="Z54" i="2"/>
  <c r="AB54" i="2"/>
  <c r="V22" i="31" s="1"/>
  <c r="AA12" i="2"/>
  <c r="AB12" i="2"/>
  <c r="Z48" i="2"/>
  <c r="AB48" i="2"/>
  <c r="V40" i="31" s="1"/>
  <c r="Z51" i="2"/>
  <c r="AB51" i="2"/>
  <c r="V37" i="31" s="1"/>
  <c r="Z49" i="2"/>
  <c r="AB49" i="2"/>
  <c r="V42" i="31" s="1"/>
  <c r="AA52" i="2"/>
  <c r="U44" i="31" s="1"/>
  <c r="AB52" i="2"/>
  <c r="V44" i="31" s="1"/>
  <c r="F53" i="26"/>
  <c r="D44" i="26"/>
  <c r="D48" i="26" s="1"/>
  <c r="F36" i="26"/>
  <c r="F35" i="26"/>
  <c r="G4" i="26"/>
  <c r="AA45" i="2"/>
  <c r="U36" i="31" s="1"/>
  <c r="E44" i="26"/>
  <c r="E48" i="26" s="1"/>
  <c r="Z12" i="2"/>
  <c r="AA49" i="2"/>
  <c r="U42" i="31" s="1"/>
  <c r="G34" i="26"/>
  <c r="AA44" i="2"/>
  <c r="U33" i="31" s="1"/>
  <c r="AA47" i="2"/>
  <c r="U38" i="31" s="1"/>
  <c r="Z50" i="2"/>
  <c r="AA51" i="2"/>
  <c r="U37" i="31" s="1"/>
  <c r="Z52" i="2"/>
  <c r="AA54" i="2"/>
  <c r="U22" i="31" s="1"/>
  <c r="Z55" i="2"/>
  <c r="AA46" i="2"/>
  <c r="U34" i="31" s="1"/>
  <c r="AA48" i="2"/>
  <c r="U40" i="31" s="1"/>
  <c r="V42" i="2"/>
  <c r="S32" i="31" s="1"/>
  <c r="T32" i="31" s="1"/>
  <c r="V43" i="2"/>
  <c r="S35" i="31" s="1"/>
  <c r="T35" i="31" s="1"/>
  <c r="AC41" i="2"/>
  <c r="W43" i="2"/>
  <c r="W41" i="2"/>
  <c r="AB41" i="2" s="1"/>
  <c r="V31" i="31" s="1"/>
  <c r="V41" i="2"/>
  <c r="S31" i="31" s="1"/>
  <c r="T31" i="31" s="1"/>
  <c r="D40" i="2"/>
  <c r="D38" i="2"/>
  <c r="D39" i="2"/>
  <c r="W42" i="2"/>
  <c r="AB42" i="2" s="1"/>
  <c r="V32" i="31" s="1"/>
  <c r="U38" i="2"/>
  <c r="X38" i="2" s="1"/>
  <c r="AC43" i="2"/>
  <c r="U39" i="2"/>
  <c r="X39" i="2" s="1"/>
  <c r="AC42" i="2"/>
  <c r="U40" i="2"/>
  <c r="X40" i="2" s="1"/>
  <c r="E40" i="2"/>
  <c r="E39" i="2"/>
  <c r="E38" i="2"/>
  <c r="N37" i="2"/>
  <c r="G4" i="28"/>
  <c r="G11" i="28"/>
  <c r="N36" i="2"/>
  <c r="G269" i="28"/>
  <c r="N35" i="2"/>
  <c r="G174" i="28"/>
  <c r="N34" i="2"/>
  <c r="G169" i="28"/>
  <c r="G175" i="28"/>
  <c r="E89" i="2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2" i="20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2" i="14"/>
  <c r="S3" i="9"/>
  <c r="N87" i="2"/>
  <c r="N88" i="2"/>
  <c r="N2" i="2"/>
  <c r="U3" i="2"/>
  <c r="X3" i="2" s="1"/>
  <c r="N4" i="2"/>
  <c r="N5" i="2"/>
  <c r="N6" i="2"/>
  <c r="N7" i="2"/>
  <c r="N8" i="2"/>
  <c r="N9" i="2"/>
  <c r="N10" i="2"/>
  <c r="N11" i="2"/>
  <c r="N13" i="2"/>
  <c r="N1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2" i="2"/>
  <c r="N33" i="2"/>
  <c r="N81" i="2"/>
  <c r="N82" i="2"/>
  <c r="N83" i="2"/>
  <c r="N84" i="2"/>
  <c r="N85" i="2"/>
  <c r="N86" i="2"/>
  <c r="N89" i="2"/>
  <c r="E1" i="17"/>
  <c r="A199" i="14"/>
  <c r="B199" i="14"/>
  <c r="C199" i="14"/>
  <c r="D199" i="14"/>
  <c r="K199" i="14" s="1"/>
  <c r="E199" i="14"/>
  <c r="F199" i="14"/>
  <c r="A200" i="14"/>
  <c r="B200" i="14"/>
  <c r="C200" i="14"/>
  <c r="D200" i="14"/>
  <c r="K200" i="14" s="1"/>
  <c r="E200" i="14"/>
  <c r="F200" i="14"/>
  <c r="A201" i="14"/>
  <c r="B201" i="14"/>
  <c r="C201" i="14"/>
  <c r="D201" i="14"/>
  <c r="K201" i="14" s="1"/>
  <c r="E201" i="14"/>
  <c r="F201" i="14"/>
  <c r="A202" i="14"/>
  <c r="B202" i="14"/>
  <c r="C202" i="14"/>
  <c r="D202" i="14"/>
  <c r="K202" i="14" s="1"/>
  <c r="E202" i="14"/>
  <c r="F202" i="14"/>
  <c r="A203" i="14"/>
  <c r="B203" i="14"/>
  <c r="C203" i="14"/>
  <c r="D203" i="14"/>
  <c r="K203" i="14" s="1"/>
  <c r="E203" i="14"/>
  <c r="F203" i="14"/>
  <c r="A204" i="14"/>
  <c r="B204" i="14"/>
  <c r="C204" i="14"/>
  <c r="D204" i="14"/>
  <c r="K204" i="14" s="1"/>
  <c r="E204" i="14"/>
  <c r="F204" i="14"/>
  <c r="A205" i="14"/>
  <c r="B205" i="14"/>
  <c r="C205" i="14"/>
  <c r="D205" i="14"/>
  <c r="K205" i="14" s="1"/>
  <c r="E205" i="14"/>
  <c r="F205" i="14"/>
  <c r="A206" i="14"/>
  <c r="B206" i="14"/>
  <c r="C206" i="14"/>
  <c r="D206" i="14"/>
  <c r="K206" i="14" s="1"/>
  <c r="E206" i="14"/>
  <c r="F206" i="14"/>
  <c r="A207" i="14"/>
  <c r="B207" i="14"/>
  <c r="C207" i="14"/>
  <c r="D207" i="14"/>
  <c r="K207" i="14" s="1"/>
  <c r="E207" i="14"/>
  <c r="F207" i="14"/>
  <c r="A208" i="14"/>
  <c r="B208" i="14"/>
  <c r="C208" i="14"/>
  <c r="D208" i="14"/>
  <c r="K208" i="14" s="1"/>
  <c r="E208" i="14"/>
  <c r="F208" i="14"/>
  <c r="A209" i="14"/>
  <c r="B209" i="14"/>
  <c r="C209" i="14"/>
  <c r="D209" i="14"/>
  <c r="K209" i="14" s="1"/>
  <c r="E209" i="14"/>
  <c r="F209" i="14"/>
  <c r="A210" i="14"/>
  <c r="B210" i="14"/>
  <c r="C210" i="14"/>
  <c r="D210" i="14"/>
  <c r="K210" i="14" s="1"/>
  <c r="E210" i="14"/>
  <c r="F210" i="14"/>
  <c r="A211" i="14"/>
  <c r="B211" i="14"/>
  <c r="C211" i="14"/>
  <c r="D211" i="14"/>
  <c r="K211" i="14" s="1"/>
  <c r="E211" i="14"/>
  <c r="F211" i="14"/>
  <c r="A212" i="14"/>
  <c r="B212" i="14"/>
  <c r="C212" i="14"/>
  <c r="D212" i="14"/>
  <c r="K212" i="14" s="1"/>
  <c r="E212" i="14"/>
  <c r="F212" i="14"/>
  <c r="A213" i="14"/>
  <c r="B213" i="14"/>
  <c r="C213" i="14"/>
  <c r="D213" i="14"/>
  <c r="K213" i="14" s="1"/>
  <c r="E213" i="14"/>
  <c r="F213" i="14"/>
  <c r="A214" i="14"/>
  <c r="B214" i="14"/>
  <c r="C214" i="14"/>
  <c r="D214" i="14"/>
  <c r="K214" i="14" s="1"/>
  <c r="E214" i="14"/>
  <c r="F214" i="14"/>
  <c r="A215" i="14"/>
  <c r="B215" i="14"/>
  <c r="C215" i="14"/>
  <c r="D215" i="14"/>
  <c r="K215" i="14" s="1"/>
  <c r="E215" i="14"/>
  <c r="F215" i="14"/>
  <c r="A216" i="14"/>
  <c r="B216" i="14"/>
  <c r="C216" i="14"/>
  <c r="D216" i="14"/>
  <c r="K216" i="14" s="1"/>
  <c r="E216" i="14"/>
  <c r="F216" i="14"/>
  <c r="A217" i="14"/>
  <c r="B217" i="14"/>
  <c r="C217" i="14"/>
  <c r="D217" i="14"/>
  <c r="K217" i="14" s="1"/>
  <c r="E217" i="14"/>
  <c r="F217" i="14"/>
  <c r="A218" i="14"/>
  <c r="B218" i="14"/>
  <c r="C218" i="14"/>
  <c r="D218" i="14"/>
  <c r="K218" i="14" s="1"/>
  <c r="E218" i="14"/>
  <c r="F218" i="14"/>
  <c r="A219" i="14"/>
  <c r="B219" i="14"/>
  <c r="C219" i="14"/>
  <c r="D219" i="14"/>
  <c r="K219" i="14" s="1"/>
  <c r="E219" i="14"/>
  <c r="F219" i="14"/>
  <c r="A220" i="14"/>
  <c r="B220" i="14"/>
  <c r="C220" i="14"/>
  <c r="D220" i="14"/>
  <c r="K220" i="14" s="1"/>
  <c r="E220" i="14"/>
  <c r="F220" i="14"/>
  <c r="A221" i="14"/>
  <c r="B221" i="14"/>
  <c r="C221" i="14"/>
  <c r="D221" i="14"/>
  <c r="K221" i="14" s="1"/>
  <c r="E221" i="14"/>
  <c r="F221" i="14"/>
  <c r="A222" i="14"/>
  <c r="B222" i="14"/>
  <c r="C222" i="14"/>
  <c r="D222" i="14"/>
  <c r="K222" i="14" s="1"/>
  <c r="E222" i="14"/>
  <c r="F222" i="14"/>
  <c r="A223" i="14"/>
  <c r="B223" i="14"/>
  <c r="C223" i="14"/>
  <c r="D223" i="14"/>
  <c r="K223" i="14" s="1"/>
  <c r="E223" i="14"/>
  <c r="F223" i="14"/>
  <c r="A224" i="14"/>
  <c r="B224" i="14"/>
  <c r="C224" i="14"/>
  <c r="D224" i="14"/>
  <c r="K224" i="14" s="1"/>
  <c r="E224" i="14"/>
  <c r="F224" i="14"/>
  <c r="A225" i="14"/>
  <c r="B225" i="14"/>
  <c r="C225" i="14"/>
  <c r="D225" i="14"/>
  <c r="K225" i="14" s="1"/>
  <c r="E225" i="14"/>
  <c r="F225" i="14"/>
  <c r="A226" i="14"/>
  <c r="B226" i="14"/>
  <c r="C226" i="14"/>
  <c r="D226" i="14"/>
  <c r="K226" i="14" s="1"/>
  <c r="E226" i="14"/>
  <c r="F226" i="14"/>
  <c r="A227" i="14"/>
  <c r="B227" i="14"/>
  <c r="C227" i="14"/>
  <c r="D227" i="14"/>
  <c r="K227" i="14" s="1"/>
  <c r="E227" i="14"/>
  <c r="F227" i="14"/>
  <c r="A228" i="14"/>
  <c r="B228" i="14"/>
  <c r="C228" i="14"/>
  <c r="D228" i="14"/>
  <c r="K228" i="14" s="1"/>
  <c r="E228" i="14"/>
  <c r="F228" i="14"/>
  <c r="A229" i="14"/>
  <c r="B229" i="14"/>
  <c r="C229" i="14"/>
  <c r="D229" i="14"/>
  <c r="K229" i="14" s="1"/>
  <c r="E229" i="14"/>
  <c r="F229" i="14"/>
  <c r="A230" i="14"/>
  <c r="B230" i="14"/>
  <c r="C230" i="14"/>
  <c r="D230" i="14"/>
  <c r="K230" i="14" s="1"/>
  <c r="E230" i="14"/>
  <c r="F230" i="14"/>
  <c r="A231" i="14"/>
  <c r="B231" i="14"/>
  <c r="C231" i="14"/>
  <c r="D231" i="14"/>
  <c r="K231" i="14" s="1"/>
  <c r="E231" i="14"/>
  <c r="F231" i="14"/>
  <c r="A232" i="14"/>
  <c r="B232" i="14"/>
  <c r="C232" i="14"/>
  <c r="D232" i="14"/>
  <c r="K232" i="14" s="1"/>
  <c r="E232" i="14"/>
  <c r="F232" i="14"/>
  <c r="A233" i="14"/>
  <c r="B233" i="14"/>
  <c r="C233" i="14"/>
  <c r="D233" i="14"/>
  <c r="K233" i="14" s="1"/>
  <c r="E233" i="14"/>
  <c r="F233" i="14"/>
  <c r="A234" i="14"/>
  <c r="B234" i="14"/>
  <c r="C234" i="14"/>
  <c r="D234" i="14"/>
  <c r="K234" i="14" s="1"/>
  <c r="E234" i="14"/>
  <c r="F234" i="14"/>
  <c r="A235" i="14"/>
  <c r="B235" i="14"/>
  <c r="C235" i="14"/>
  <c r="D235" i="14"/>
  <c r="K235" i="14" s="1"/>
  <c r="E235" i="14"/>
  <c r="F235" i="14"/>
  <c r="A236" i="14"/>
  <c r="B236" i="14"/>
  <c r="C236" i="14"/>
  <c r="D236" i="14"/>
  <c r="K236" i="14" s="1"/>
  <c r="E236" i="14"/>
  <c r="F236" i="14"/>
  <c r="A237" i="14"/>
  <c r="B237" i="14"/>
  <c r="C237" i="14"/>
  <c r="D237" i="14"/>
  <c r="K237" i="14" s="1"/>
  <c r="E237" i="14"/>
  <c r="F237" i="14"/>
  <c r="A238" i="14"/>
  <c r="B238" i="14"/>
  <c r="C238" i="14"/>
  <c r="D238" i="14"/>
  <c r="K238" i="14" s="1"/>
  <c r="E238" i="14"/>
  <c r="F238" i="14"/>
  <c r="A239" i="14"/>
  <c r="B239" i="14"/>
  <c r="C239" i="14"/>
  <c r="D239" i="14"/>
  <c r="K239" i="14" s="1"/>
  <c r="E239" i="14"/>
  <c r="F239" i="14"/>
  <c r="A240" i="14"/>
  <c r="B240" i="14"/>
  <c r="C240" i="14"/>
  <c r="D240" i="14"/>
  <c r="K240" i="14" s="1"/>
  <c r="E240" i="14"/>
  <c r="F240" i="14"/>
  <c r="A241" i="14"/>
  <c r="B241" i="14"/>
  <c r="C241" i="14"/>
  <c r="D241" i="14"/>
  <c r="K241" i="14" s="1"/>
  <c r="E241" i="14"/>
  <c r="F241" i="14"/>
  <c r="A242" i="14"/>
  <c r="B242" i="14"/>
  <c r="C242" i="14"/>
  <c r="D242" i="14"/>
  <c r="K242" i="14" s="1"/>
  <c r="E242" i="14"/>
  <c r="F242" i="14"/>
  <c r="A243" i="14"/>
  <c r="B243" i="14"/>
  <c r="C243" i="14"/>
  <c r="D243" i="14"/>
  <c r="K243" i="14" s="1"/>
  <c r="E243" i="14"/>
  <c r="F243" i="14"/>
  <c r="A244" i="14"/>
  <c r="B244" i="14"/>
  <c r="C244" i="14"/>
  <c r="D244" i="14"/>
  <c r="K244" i="14" s="1"/>
  <c r="E244" i="14"/>
  <c r="F244" i="14"/>
  <c r="A245" i="14"/>
  <c r="B245" i="14"/>
  <c r="C245" i="14"/>
  <c r="D245" i="14"/>
  <c r="K245" i="14" s="1"/>
  <c r="E245" i="14"/>
  <c r="F245" i="14"/>
  <c r="A246" i="14"/>
  <c r="B246" i="14"/>
  <c r="C246" i="14"/>
  <c r="D246" i="14"/>
  <c r="K246" i="14" s="1"/>
  <c r="E246" i="14"/>
  <c r="F246" i="14"/>
  <c r="A247" i="14"/>
  <c r="B247" i="14"/>
  <c r="C247" i="14"/>
  <c r="D247" i="14"/>
  <c r="K247" i="14" s="1"/>
  <c r="E247" i="14"/>
  <c r="F247" i="14"/>
  <c r="A248" i="14"/>
  <c r="B248" i="14"/>
  <c r="C248" i="14"/>
  <c r="D248" i="14"/>
  <c r="K248" i="14" s="1"/>
  <c r="E248" i="14"/>
  <c r="F248" i="14"/>
  <c r="A249" i="14"/>
  <c r="B249" i="14"/>
  <c r="C249" i="14"/>
  <c r="D249" i="14"/>
  <c r="K249" i="14" s="1"/>
  <c r="E249" i="14"/>
  <c r="F249" i="14"/>
  <c r="A250" i="14"/>
  <c r="B250" i="14"/>
  <c r="C250" i="14"/>
  <c r="D250" i="14"/>
  <c r="K250" i="14" s="1"/>
  <c r="E250" i="14"/>
  <c r="F250" i="14"/>
  <c r="A251" i="14"/>
  <c r="B251" i="14"/>
  <c r="C251" i="14"/>
  <c r="D251" i="14"/>
  <c r="K251" i="14" s="1"/>
  <c r="E251" i="14"/>
  <c r="F251" i="14"/>
  <c r="A252" i="14"/>
  <c r="B252" i="14"/>
  <c r="C252" i="14"/>
  <c r="D252" i="14"/>
  <c r="K252" i="14" s="1"/>
  <c r="E252" i="14"/>
  <c r="F252" i="14"/>
  <c r="A253" i="14"/>
  <c r="B253" i="14"/>
  <c r="C253" i="14"/>
  <c r="D253" i="14"/>
  <c r="K253" i="14" s="1"/>
  <c r="E253" i="14"/>
  <c r="F253" i="14"/>
  <c r="A254" i="14"/>
  <c r="B254" i="14"/>
  <c r="C254" i="14"/>
  <c r="D254" i="14"/>
  <c r="K254" i="14" s="1"/>
  <c r="E254" i="14"/>
  <c r="F254" i="14"/>
  <c r="A255" i="14"/>
  <c r="B255" i="14"/>
  <c r="C255" i="14"/>
  <c r="D255" i="14"/>
  <c r="K255" i="14" s="1"/>
  <c r="E255" i="14"/>
  <c r="F255" i="14"/>
  <c r="A256" i="14"/>
  <c r="B256" i="14"/>
  <c r="C256" i="14"/>
  <c r="D256" i="14"/>
  <c r="K256" i="14" s="1"/>
  <c r="E256" i="14"/>
  <c r="F256" i="14"/>
  <c r="A257" i="14"/>
  <c r="B257" i="14"/>
  <c r="C257" i="14"/>
  <c r="D257" i="14"/>
  <c r="K257" i="14" s="1"/>
  <c r="E257" i="14"/>
  <c r="F257" i="14"/>
  <c r="A258" i="14"/>
  <c r="B258" i="14"/>
  <c r="C258" i="14"/>
  <c r="D258" i="14"/>
  <c r="K258" i="14" s="1"/>
  <c r="E258" i="14"/>
  <c r="F258" i="14"/>
  <c r="A259" i="14"/>
  <c r="B259" i="14"/>
  <c r="C259" i="14"/>
  <c r="D259" i="14"/>
  <c r="K259" i="14" s="1"/>
  <c r="E259" i="14"/>
  <c r="F259" i="14"/>
  <c r="A260" i="14"/>
  <c r="B260" i="14"/>
  <c r="C260" i="14"/>
  <c r="D260" i="14"/>
  <c r="K260" i="14" s="1"/>
  <c r="E260" i="14"/>
  <c r="F260" i="14"/>
  <c r="A261" i="14"/>
  <c r="B261" i="14"/>
  <c r="C261" i="14"/>
  <c r="D261" i="14"/>
  <c r="K261" i="14" s="1"/>
  <c r="E261" i="14"/>
  <c r="F261" i="14"/>
  <c r="A262" i="14"/>
  <c r="B262" i="14"/>
  <c r="C262" i="14"/>
  <c r="D262" i="14"/>
  <c r="K262" i="14" s="1"/>
  <c r="E262" i="14"/>
  <c r="F262" i="14"/>
  <c r="A263" i="14"/>
  <c r="B263" i="14"/>
  <c r="C263" i="14"/>
  <c r="D263" i="14"/>
  <c r="K263" i="14" s="1"/>
  <c r="E263" i="14"/>
  <c r="F263" i="14"/>
  <c r="A264" i="14"/>
  <c r="B264" i="14"/>
  <c r="C264" i="14"/>
  <c r="D264" i="14"/>
  <c r="K264" i="14" s="1"/>
  <c r="E264" i="14"/>
  <c r="F264" i="14"/>
  <c r="A265" i="14"/>
  <c r="B265" i="14"/>
  <c r="C265" i="14"/>
  <c r="D265" i="14"/>
  <c r="K265" i="14" s="1"/>
  <c r="E265" i="14"/>
  <c r="F265" i="14"/>
  <c r="A266" i="14"/>
  <c r="B266" i="14"/>
  <c r="C266" i="14"/>
  <c r="D266" i="14"/>
  <c r="K266" i="14" s="1"/>
  <c r="E266" i="14"/>
  <c r="F266" i="14"/>
  <c r="A267" i="14"/>
  <c r="B267" i="14"/>
  <c r="C267" i="14"/>
  <c r="D267" i="14"/>
  <c r="K267" i="14" s="1"/>
  <c r="E267" i="14"/>
  <c r="F267" i="14"/>
  <c r="A268" i="14"/>
  <c r="B268" i="14"/>
  <c r="C268" i="14"/>
  <c r="D268" i="14"/>
  <c r="K268" i="14" s="1"/>
  <c r="E268" i="14"/>
  <c r="F268" i="14"/>
  <c r="A269" i="14"/>
  <c r="B269" i="14"/>
  <c r="C269" i="14"/>
  <c r="D269" i="14"/>
  <c r="K269" i="14" s="1"/>
  <c r="E269" i="14"/>
  <c r="F269" i="14"/>
  <c r="A270" i="14"/>
  <c r="B270" i="14"/>
  <c r="C270" i="14"/>
  <c r="D270" i="14"/>
  <c r="K270" i="14" s="1"/>
  <c r="E270" i="14"/>
  <c r="F270" i="14"/>
  <c r="A271" i="14"/>
  <c r="B271" i="14"/>
  <c r="C271" i="14"/>
  <c r="D271" i="14"/>
  <c r="K271" i="14" s="1"/>
  <c r="E271" i="14"/>
  <c r="F271" i="14"/>
  <c r="A272" i="14"/>
  <c r="B272" i="14"/>
  <c r="C272" i="14"/>
  <c r="D272" i="14"/>
  <c r="K272" i="14" s="1"/>
  <c r="E272" i="14"/>
  <c r="F272" i="14"/>
  <c r="A273" i="14"/>
  <c r="B273" i="14"/>
  <c r="C273" i="14"/>
  <c r="D273" i="14"/>
  <c r="K273" i="14" s="1"/>
  <c r="E273" i="14"/>
  <c r="F273" i="14"/>
  <c r="A274" i="14"/>
  <c r="B274" i="14"/>
  <c r="C274" i="14"/>
  <c r="D274" i="14"/>
  <c r="K274" i="14" s="1"/>
  <c r="E274" i="14"/>
  <c r="F274" i="14"/>
  <c r="A275" i="14"/>
  <c r="B275" i="14"/>
  <c r="C275" i="14"/>
  <c r="D275" i="14"/>
  <c r="K275" i="14" s="1"/>
  <c r="E275" i="14"/>
  <c r="F275" i="14"/>
  <c r="A276" i="14"/>
  <c r="B276" i="14"/>
  <c r="C276" i="14"/>
  <c r="D276" i="14"/>
  <c r="K276" i="14" s="1"/>
  <c r="E276" i="14"/>
  <c r="F276" i="14"/>
  <c r="A277" i="14"/>
  <c r="B277" i="14"/>
  <c r="C277" i="14"/>
  <c r="D277" i="14"/>
  <c r="K277" i="14" s="1"/>
  <c r="E277" i="14"/>
  <c r="F277" i="14"/>
  <c r="A278" i="14"/>
  <c r="B278" i="14"/>
  <c r="C278" i="14"/>
  <c r="D278" i="14"/>
  <c r="K278" i="14" s="1"/>
  <c r="E278" i="14"/>
  <c r="F278" i="14"/>
  <c r="A279" i="14"/>
  <c r="B279" i="14"/>
  <c r="C279" i="14"/>
  <c r="D279" i="14"/>
  <c r="K279" i="14" s="1"/>
  <c r="E279" i="14"/>
  <c r="F279" i="14"/>
  <c r="A280" i="14"/>
  <c r="B280" i="14"/>
  <c r="C280" i="14"/>
  <c r="D280" i="14"/>
  <c r="K280" i="14" s="1"/>
  <c r="E280" i="14"/>
  <c r="F280" i="14"/>
  <c r="A281" i="14"/>
  <c r="B281" i="14"/>
  <c r="C281" i="14"/>
  <c r="D281" i="14"/>
  <c r="K281" i="14" s="1"/>
  <c r="E281" i="14"/>
  <c r="F281" i="14"/>
  <c r="A282" i="14"/>
  <c r="B282" i="14"/>
  <c r="C282" i="14"/>
  <c r="D282" i="14"/>
  <c r="K282" i="14" s="1"/>
  <c r="E282" i="14"/>
  <c r="F282" i="14"/>
  <c r="A283" i="14"/>
  <c r="B283" i="14"/>
  <c r="C283" i="14"/>
  <c r="D283" i="14"/>
  <c r="K283" i="14" s="1"/>
  <c r="E283" i="14"/>
  <c r="F283" i="14"/>
  <c r="A284" i="14"/>
  <c r="B284" i="14"/>
  <c r="C284" i="14"/>
  <c r="D284" i="14"/>
  <c r="K284" i="14" s="1"/>
  <c r="E284" i="14"/>
  <c r="F284" i="14"/>
  <c r="A285" i="14"/>
  <c r="B285" i="14"/>
  <c r="C285" i="14"/>
  <c r="D285" i="14"/>
  <c r="K285" i="14" s="1"/>
  <c r="E285" i="14"/>
  <c r="F285" i="14"/>
  <c r="A286" i="14"/>
  <c r="B286" i="14"/>
  <c r="C286" i="14"/>
  <c r="D286" i="14"/>
  <c r="K286" i="14" s="1"/>
  <c r="E286" i="14"/>
  <c r="F286" i="14"/>
  <c r="A287" i="14"/>
  <c r="B287" i="14"/>
  <c r="C287" i="14"/>
  <c r="D287" i="14"/>
  <c r="K287" i="14" s="1"/>
  <c r="E287" i="14"/>
  <c r="F287" i="14"/>
  <c r="A288" i="14"/>
  <c r="B288" i="14"/>
  <c r="C288" i="14"/>
  <c r="D288" i="14"/>
  <c r="K288" i="14" s="1"/>
  <c r="E288" i="14"/>
  <c r="F288" i="14"/>
  <c r="A289" i="14"/>
  <c r="B289" i="14"/>
  <c r="C289" i="14"/>
  <c r="D289" i="14"/>
  <c r="K289" i="14" s="1"/>
  <c r="E289" i="14"/>
  <c r="F289" i="14"/>
  <c r="A290" i="14"/>
  <c r="B290" i="14"/>
  <c r="C290" i="14"/>
  <c r="D290" i="14"/>
  <c r="K290" i="14" s="1"/>
  <c r="E290" i="14"/>
  <c r="F290" i="14"/>
  <c r="A291" i="14"/>
  <c r="B291" i="14"/>
  <c r="C291" i="14"/>
  <c r="D291" i="14"/>
  <c r="K291" i="14" s="1"/>
  <c r="E291" i="14"/>
  <c r="F291" i="14"/>
  <c r="A292" i="14"/>
  <c r="B292" i="14"/>
  <c r="C292" i="14"/>
  <c r="D292" i="14"/>
  <c r="K292" i="14" s="1"/>
  <c r="E292" i="14"/>
  <c r="F292" i="14"/>
  <c r="A293" i="14"/>
  <c r="B293" i="14"/>
  <c r="C293" i="14"/>
  <c r="D293" i="14"/>
  <c r="K293" i="14" s="1"/>
  <c r="E293" i="14"/>
  <c r="F293" i="14"/>
  <c r="A294" i="14"/>
  <c r="B294" i="14"/>
  <c r="C294" i="14"/>
  <c r="D294" i="14"/>
  <c r="K294" i="14" s="1"/>
  <c r="E294" i="14"/>
  <c r="F294" i="14"/>
  <c r="A295" i="14"/>
  <c r="B295" i="14"/>
  <c r="C295" i="14"/>
  <c r="D295" i="14"/>
  <c r="K295" i="14" s="1"/>
  <c r="E295" i="14"/>
  <c r="F295" i="14"/>
  <c r="A296" i="14"/>
  <c r="B296" i="14"/>
  <c r="C296" i="14"/>
  <c r="D296" i="14"/>
  <c r="K296" i="14" s="1"/>
  <c r="E296" i="14"/>
  <c r="F296" i="14"/>
  <c r="A297" i="14"/>
  <c r="B297" i="14"/>
  <c r="C297" i="14"/>
  <c r="D297" i="14"/>
  <c r="K297" i="14" s="1"/>
  <c r="E297" i="14"/>
  <c r="F297" i="14"/>
  <c r="A298" i="14"/>
  <c r="B298" i="14"/>
  <c r="C298" i="14"/>
  <c r="D298" i="14"/>
  <c r="K298" i="14" s="1"/>
  <c r="E298" i="14"/>
  <c r="F298" i="14"/>
  <c r="A299" i="14"/>
  <c r="B299" i="14"/>
  <c r="C299" i="14"/>
  <c r="D299" i="14"/>
  <c r="K299" i="14" s="1"/>
  <c r="E299" i="14"/>
  <c r="F299" i="14"/>
  <c r="A300" i="14"/>
  <c r="B300" i="14"/>
  <c r="C300" i="14"/>
  <c r="D300" i="14"/>
  <c r="K300" i="14" s="1"/>
  <c r="E300" i="14"/>
  <c r="F300" i="14"/>
  <c r="A301" i="14"/>
  <c r="B301" i="14"/>
  <c r="C301" i="14"/>
  <c r="D301" i="14"/>
  <c r="K301" i="14" s="1"/>
  <c r="E301" i="14"/>
  <c r="F301" i="14"/>
  <c r="A302" i="14"/>
  <c r="B302" i="14"/>
  <c r="C302" i="14"/>
  <c r="D302" i="14"/>
  <c r="K302" i="14" s="1"/>
  <c r="E302" i="14"/>
  <c r="F302" i="14"/>
  <c r="A303" i="14"/>
  <c r="B303" i="14"/>
  <c r="C303" i="14"/>
  <c r="D303" i="14"/>
  <c r="K303" i="14" s="1"/>
  <c r="E303" i="14"/>
  <c r="F303" i="14"/>
  <c r="A304" i="14"/>
  <c r="B304" i="14"/>
  <c r="C304" i="14"/>
  <c r="D304" i="14"/>
  <c r="K304" i="14" s="1"/>
  <c r="E304" i="14"/>
  <c r="F304" i="14"/>
  <c r="A305" i="14"/>
  <c r="B305" i="14"/>
  <c r="C305" i="14"/>
  <c r="D305" i="14"/>
  <c r="K305" i="14" s="1"/>
  <c r="E305" i="14"/>
  <c r="F305" i="14"/>
  <c r="A306" i="14"/>
  <c r="B306" i="14"/>
  <c r="C306" i="14"/>
  <c r="D306" i="14"/>
  <c r="K306" i="14" s="1"/>
  <c r="E306" i="14"/>
  <c r="F306" i="14"/>
  <c r="A307" i="14"/>
  <c r="B307" i="14"/>
  <c r="C307" i="14"/>
  <c r="D307" i="14"/>
  <c r="K307" i="14" s="1"/>
  <c r="E307" i="14"/>
  <c r="F307" i="14"/>
  <c r="A308" i="14"/>
  <c r="B308" i="14"/>
  <c r="C308" i="14"/>
  <c r="D308" i="14"/>
  <c r="K308" i="14" s="1"/>
  <c r="E308" i="14"/>
  <c r="F308" i="14"/>
  <c r="A309" i="14"/>
  <c r="B309" i="14"/>
  <c r="C309" i="14"/>
  <c r="D309" i="14"/>
  <c r="K309" i="14" s="1"/>
  <c r="E309" i="14"/>
  <c r="F309" i="14"/>
  <c r="A310" i="14"/>
  <c r="B310" i="14"/>
  <c r="C310" i="14"/>
  <c r="D310" i="14"/>
  <c r="K310" i="14" s="1"/>
  <c r="E310" i="14"/>
  <c r="F310" i="14"/>
  <c r="A311" i="14"/>
  <c r="B311" i="14"/>
  <c r="C311" i="14"/>
  <c r="D311" i="14"/>
  <c r="K311" i="14" s="1"/>
  <c r="E311" i="14"/>
  <c r="F311" i="14"/>
  <c r="A312" i="14"/>
  <c r="B312" i="14"/>
  <c r="C312" i="14"/>
  <c r="D312" i="14"/>
  <c r="K312" i="14" s="1"/>
  <c r="E312" i="14"/>
  <c r="F312" i="14"/>
  <c r="A313" i="14"/>
  <c r="B313" i="14"/>
  <c r="C313" i="14"/>
  <c r="D313" i="14"/>
  <c r="K313" i="14" s="1"/>
  <c r="E313" i="14"/>
  <c r="F313" i="14"/>
  <c r="A314" i="14"/>
  <c r="B314" i="14"/>
  <c r="C314" i="14"/>
  <c r="D314" i="14"/>
  <c r="K314" i="14" s="1"/>
  <c r="E314" i="14"/>
  <c r="F314" i="14"/>
  <c r="A315" i="14"/>
  <c r="B315" i="14"/>
  <c r="C315" i="14"/>
  <c r="D315" i="14"/>
  <c r="K315" i="14" s="1"/>
  <c r="E315" i="14"/>
  <c r="F315" i="14"/>
  <c r="A316" i="14"/>
  <c r="B316" i="14"/>
  <c r="C316" i="14"/>
  <c r="D316" i="14"/>
  <c r="K316" i="14" s="1"/>
  <c r="E316" i="14"/>
  <c r="F316" i="14"/>
  <c r="A317" i="14"/>
  <c r="B317" i="14"/>
  <c r="C317" i="14"/>
  <c r="D317" i="14"/>
  <c r="K317" i="14" s="1"/>
  <c r="E317" i="14"/>
  <c r="F317" i="14"/>
  <c r="A318" i="14"/>
  <c r="B318" i="14"/>
  <c r="C318" i="14"/>
  <c r="D318" i="14"/>
  <c r="K318" i="14" s="1"/>
  <c r="E318" i="14"/>
  <c r="F318" i="14"/>
  <c r="A319" i="14"/>
  <c r="B319" i="14"/>
  <c r="C319" i="14"/>
  <c r="D319" i="14"/>
  <c r="K319" i="14" s="1"/>
  <c r="E319" i="14"/>
  <c r="F319" i="14"/>
  <c r="A320" i="14"/>
  <c r="B320" i="14"/>
  <c r="C320" i="14"/>
  <c r="D320" i="14"/>
  <c r="K320" i="14" s="1"/>
  <c r="E320" i="14"/>
  <c r="F320" i="14"/>
  <c r="A321" i="14"/>
  <c r="B321" i="14"/>
  <c r="C321" i="14"/>
  <c r="D321" i="14"/>
  <c r="K321" i="14" s="1"/>
  <c r="E321" i="14"/>
  <c r="F321" i="14"/>
  <c r="A322" i="14"/>
  <c r="B322" i="14"/>
  <c r="C322" i="14"/>
  <c r="D322" i="14"/>
  <c r="K322" i="14" s="1"/>
  <c r="E322" i="14"/>
  <c r="F322" i="14"/>
  <c r="A323" i="14"/>
  <c r="B323" i="14"/>
  <c r="C323" i="14"/>
  <c r="D323" i="14"/>
  <c r="K323" i="14" s="1"/>
  <c r="E323" i="14"/>
  <c r="F323" i="14"/>
  <c r="A324" i="14"/>
  <c r="B324" i="14"/>
  <c r="C324" i="14"/>
  <c r="D324" i="14"/>
  <c r="K324" i="14" s="1"/>
  <c r="E324" i="14"/>
  <c r="F324" i="14"/>
  <c r="A325" i="14"/>
  <c r="B325" i="14"/>
  <c r="C325" i="14"/>
  <c r="D325" i="14"/>
  <c r="K325" i="14" s="1"/>
  <c r="E325" i="14"/>
  <c r="F325" i="14"/>
  <c r="A326" i="14"/>
  <c r="B326" i="14"/>
  <c r="C326" i="14"/>
  <c r="D326" i="14"/>
  <c r="K326" i="14" s="1"/>
  <c r="E326" i="14"/>
  <c r="F326" i="14"/>
  <c r="A327" i="14"/>
  <c r="B327" i="14"/>
  <c r="C327" i="14"/>
  <c r="D327" i="14"/>
  <c r="K327" i="14" s="1"/>
  <c r="E327" i="14"/>
  <c r="F327" i="14"/>
  <c r="A328" i="14"/>
  <c r="B328" i="14"/>
  <c r="C328" i="14"/>
  <c r="D328" i="14"/>
  <c r="K328" i="14" s="1"/>
  <c r="E328" i="14"/>
  <c r="F328" i="14"/>
  <c r="A329" i="14"/>
  <c r="B329" i="14"/>
  <c r="C329" i="14"/>
  <c r="D329" i="14"/>
  <c r="K329" i="14" s="1"/>
  <c r="E329" i="14"/>
  <c r="F329" i="14"/>
  <c r="A330" i="14"/>
  <c r="B330" i="14"/>
  <c r="C330" i="14"/>
  <c r="D330" i="14"/>
  <c r="K330" i="14" s="1"/>
  <c r="E330" i="14"/>
  <c r="F330" i="14"/>
  <c r="A331" i="14"/>
  <c r="B331" i="14"/>
  <c r="C331" i="14"/>
  <c r="D331" i="14"/>
  <c r="K331" i="14" s="1"/>
  <c r="E331" i="14"/>
  <c r="F331" i="14"/>
  <c r="A332" i="14"/>
  <c r="B332" i="14"/>
  <c r="C332" i="14"/>
  <c r="D332" i="14"/>
  <c r="K332" i="14" s="1"/>
  <c r="E332" i="14"/>
  <c r="F332" i="14"/>
  <c r="A333" i="14"/>
  <c r="B333" i="14"/>
  <c r="C333" i="14"/>
  <c r="D333" i="14"/>
  <c r="K333" i="14" s="1"/>
  <c r="E333" i="14"/>
  <c r="F333" i="14"/>
  <c r="A334" i="14"/>
  <c r="B334" i="14"/>
  <c r="C334" i="14"/>
  <c r="D334" i="14"/>
  <c r="K334" i="14" s="1"/>
  <c r="E334" i="14"/>
  <c r="F334" i="14"/>
  <c r="A335" i="14"/>
  <c r="B335" i="14"/>
  <c r="C335" i="14"/>
  <c r="D335" i="14"/>
  <c r="K335" i="14" s="1"/>
  <c r="E335" i="14"/>
  <c r="F335" i="14"/>
  <c r="A336" i="14"/>
  <c r="B336" i="14"/>
  <c r="C336" i="14"/>
  <c r="D336" i="14"/>
  <c r="K336" i="14" s="1"/>
  <c r="E336" i="14"/>
  <c r="F336" i="14"/>
  <c r="A337" i="14"/>
  <c r="B337" i="14"/>
  <c r="C337" i="14"/>
  <c r="D337" i="14"/>
  <c r="K337" i="14" s="1"/>
  <c r="E337" i="14"/>
  <c r="F337" i="14"/>
  <c r="A338" i="14"/>
  <c r="B338" i="14"/>
  <c r="C338" i="14"/>
  <c r="D338" i="14"/>
  <c r="K338" i="14" s="1"/>
  <c r="E338" i="14"/>
  <c r="F338" i="14"/>
  <c r="A339" i="14"/>
  <c r="B339" i="14"/>
  <c r="C339" i="14"/>
  <c r="D339" i="14"/>
  <c r="K339" i="14" s="1"/>
  <c r="E339" i="14"/>
  <c r="F339" i="14"/>
  <c r="A340" i="14"/>
  <c r="B340" i="14"/>
  <c r="C340" i="14"/>
  <c r="D340" i="14"/>
  <c r="K340" i="14" s="1"/>
  <c r="E340" i="14"/>
  <c r="F340" i="14"/>
  <c r="A341" i="14"/>
  <c r="B341" i="14"/>
  <c r="C341" i="14"/>
  <c r="D341" i="14"/>
  <c r="K341" i="14" s="1"/>
  <c r="E341" i="14"/>
  <c r="F341" i="14"/>
  <c r="A342" i="14"/>
  <c r="B342" i="14"/>
  <c r="C342" i="14"/>
  <c r="D342" i="14"/>
  <c r="K342" i="14" s="1"/>
  <c r="E342" i="14"/>
  <c r="F342" i="14"/>
  <c r="A343" i="14"/>
  <c r="B343" i="14"/>
  <c r="C343" i="14"/>
  <c r="D343" i="14"/>
  <c r="K343" i="14" s="1"/>
  <c r="E343" i="14"/>
  <c r="F343" i="14"/>
  <c r="A344" i="14"/>
  <c r="B344" i="14"/>
  <c r="C344" i="14"/>
  <c r="D344" i="14"/>
  <c r="K344" i="14" s="1"/>
  <c r="E344" i="14"/>
  <c r="F344" i="14"/>
  <c r="A345" i="14"/>
  <c r="B345" i="14"/>
  <c r="C345" i="14"/>
  <c r="D345" i="14"/>
  <c r="K345" i="14" s="1"/>
  <c r="E345" i="14"/>
  <c r="F345" i="14"/>
  <c r="A346" i="14"/>
  <c r="B346" i="14"/>
  <c r="C346" i="14"/>
  <c r="D346" i="14"/>
  <c r="K346" i="14" s="1"/>
  <c r="E346" i="14"/>
  <c r="F346" i="14"/>
  <c r="A347" i="14"/>
  <c r="B347" i="14"/>
  <c r="C347" i="14"/>
  <c r="D347" i="14"/>
  <c r="K347" i="14" s="1"/>
  <c r="E347" i="14"/>
  <c r="F347" i="14"/>
  <c r="A348" i="14"/>
  <c r="B348" i="14"/>
  <c r="C348" i="14"/>
  <c r="D348" i="14"/>
  <c r="K348" i="14" s="1"/>
  <c r="E348" i="14"/>
  <c r="F348" i="14"/>
  <c r="A349" i="14"/>
  <c r="B349" i="14"/>
  <c r="C349" i="14"/>
  <c r="D349" i="14"/>
  <c r="K349" i="14" s="1"/>
  <c r="E349" i="14"/>
  <c r="F349" i="14"/>
  <c r="A350" i="14"/>
  <c r="B350" i="14"/>
  <c r="C350" i="14"/>
  <c r="D350" i="14"/>
  <c r="K350" i="14" s="1"/>
  <c r="E350" i="14"/>
  <c r="F350" i="14"/>
  <c r="A351" i="14"/>
  <c r="B351" i="14"/>
  <c r="C351" i="14"/>
  <c r="D351" i="14"/>
  <c r="K351" i="14" s="1"/>
  <c r="E351" i="14"/>
  <c r="F351" i="14"/>
  <c r="A352" i="14"/>
  <c r="B352" i="14"/>
  <c r="C352" i="14"/>
  <c r="D352" i="14"/>
  <c r="K352" i="14" s="1"/>
  <c r="E352" i="14"/>
  <c r="F352" i="14"/>
  <c r="A353" i="14"/>
  <c r="B353" i="14"/>
  <c r="C353" i="14"/>
  <c r="D353" i="14"/>
  <c r="K353" i="14" s="1"/>
  <c r="E353" i="14"/>
  <c r="F353" i="14"/>
  <c r="A354" i="14"/>
  <c r="B354" i="14"/>
  <c r="C354" i="14"/>
  <c r="D354" i="14"/>
  <c r="K354" i="14" s="1"/>
  <c r="E354" i="14"/>
  <c r="F354" i="14"/>
  <c r="A355" i="14"/>
  <c r="B355" i="14"/>
  <c r="C355" i="14"/>
  <c r="D355" i="14"/>
  <c r="K355" i="14" s="1"/>
  <c r="E355" i="14"/>
  <c r="F355" i="14"/>
  <c r="A356" i="14"/>
  <c r="B356" i="14"/>
  <c r="C356" i="14"/>
  <c r="D356" i="14"/>
  <c r="K356" i="14" s="1"/>
  <c r="E356" i="14"/>
  <c r="F356" i="14"/>
  <c r="A357" i="14"/>
  <c r="B357" i="14"/>
  <c r="C357" i="14"/>
  <c r="D357" i="14"/>
  <c r="K357" i="14" s="1"/>
  <c r="E357" i="14"/>
  <c r="F357" i="14"/>
  <c r="A358" i="14"/>
  <c r="B358" i="14"/>
  <c r="C358" i="14"/>
  <c r="D358" i="14"/>
  <c r="K358" i="14" s="1"/>
  <c r="E358" i="14"/>
  <c r="F358" i="14"/>
  <c r="A359" i="14"/>
  <c r="B359" i="14"/>
  <c r="C359" i="14"/>
  <c r="D359" i="14"/>
  <c r="K359" i="14" s="1"/>
  <c r="E359" i="14"/>
  <c r="F359" i="14"/>
  <c r="A360" i="14"/>
  <c r="B360" i="14"/>
  <c r="C360" i="14"/>
  <c r="D360" i="14"/>
  <c r="K360" i="14" s="1"/>
  <c r="E360" i="14"/>
  <c r="F360" i="14"/>
  <c r="A361" i="14"/>
  <c r="B361" i="14"/>
  <c r="C361" i="14"/>
  <c r="D361" i="14"/>
  <c r="K361" i="14" s="1"/>
  <c r="E361" i="14"/>
  <c r="F361" i="14"/>
  <c r="A362" i="14"/>
  <c r="B362" i="14"/>
  <c r="C362" i="14"/>
  <c r="D362" i="14"/>
  <c r="K362" i="14" s="1"/>
  <c r="E362" i="14"/>
  <c r="F362" i="14"/>
  <c r="A363" i="14"/>
  <c r="B363" i="14"/>
  <c r="C363" i="14"/>
  <c r="D363" i="14"/>
  <c r="K363" i="14" s="1"/>
  <c r="E363" i="14"/>
  <c r="F363" i="14"/>
  <c r="A364" i="14"/>
  <c r="B364" i="14"/>
  <c r="C364" i="14"/>
  <c r="D364" i="14"/>
  <c r="K364" i="14" s="1"/>
  <c r="E364" i="14"/>
  <c r="F364" i="14"/>
  <c r="A365" i="14"/>
  <c r="B365" i="14"/>
  <c r="C365" i="14"/>
  <c r="D365" i="14"/>
  <c r="K365" i="14" s="1"/>
  <c r="E365" i="14"/>
  <c r="F365" i="14"/>
  <c r="A366" i="14"/>
  <c r="B366" i="14"/>
  <c r="C366" i="14"/>
  <c r="D366" i="14"/>
  <c r="K366" i="14" s="1"/>
  <c r="E366" i="14"/>
  <c r="F366" i="14"/>
  <c r="A367" i="14"/>
  <c r="B367" i="14"/>
  <c r="C367" i="14"/>
  <c r="D367" i="14"/>
  <c r="K367" i="14" s="1"/>
  <c r="E367" i="14"/>
  <c r="F367" i="14"/>
  <c r="A368" i="14"/>
  <c r="B368" i="14"/>
  <c r="C368" i="14"/>
  <c r="D368" i="14"/>
  <c r="K368" i="14" s="1"/>
  <c r="E368" i="14"/>
  <c r="F368" i="14"/>
  <c r="A369" i="14"/>
  <c r="B369" i="14"/>
  <c r="C369" i="14"/>
  <c r="D369" i="14"/>
  <c r="K369" i="14" s="1"/>
  <c r="E369" i="14"/>
  <c r="F369" i="14"/>
  <c r="A370" i="14"/>
  <c r="B370" i="14"/>
  <c r="C370" i="14"/>
  <c r="D370" i="14"/>
  <c r="K370" i="14" s="1"/>
  <c r="E370" i="14"/>
  <c r="F370" i="14"/>
  <c r="A371" i="14"/>
  <c r="B371" i="14"/>
  <c r="C371" i="14"/>
  <c r="D371" i="14"/>
  <c r="K371" i="14" s="1"/>
  <c r="E371" i="14"/>
  <c r="F371" i="14"/>
  <c r="A372" i="14"/>
  <c r="B372" i="14"/>
  <c r="C372" i="14"/>
  <c r="D372" i="14"/>
  <c r="K372" i="14" s="1"/>
  <c r="E372" i="14"/>
  <c r="F372" i="14"/>
  <c r="A373" i="14"/>
  <c r="B373" i="14"/>
  <c r="C373" i="14"/>
  <c r="D373" i="14"/>
  <c r="K373" i="14" s="1"/>
  <c r="E373" i="14"/>
  <c r="F373" i="14"/>
  <c r="A374" i="14"/>
  <c r="B374" i="14"/>
  <c r="C374" i="14"/>
  <c r="D374" i="14"/>
  <c r="K374" i="14" s="1"/>
  <c r="E374" i="14"/>
  <c r="F374" i="14"/>
  <c r="A375" i="14"/>
  <c r="B375" i="14"/>
  <c r="C375" i="14"/>
  <c r="D375" i="14"/>
  <c r="K375" i="14" s="1"/>
  <c r="E375" i="14"/>
  <c r="F375" i="14"/>
  <c r="A376" i="14"/>
  <c r="B376" i="14"/>
  <c r="C376" i="14"/>
  <c r="D376" i="14"/>
  <c r="K376" i="14" s="1"/>
  <c r="E376" i="14"/>
  <c r="F376" i="14"/>
  <c r="A377" i="14"/>
  <c r="B377" i="14"/>
  <c r="C377" i="14"/>
  <c r="D377" i="14"/>
  <c r="K377" i="14" s="1"/>
  <c r="E377" i="14"/>
  <c r="F377" i="14"/>
  <c r="A378" i="14"/>
  <c r="B378" i="14"/>
  <c r="C378" i="14"/>
  <c r="D378" i="14"/>
  <c r="K378" i="14" s="1"/>
  <c r="E378" i="14"/>
  <c r="F378" i="14"/>
  <c r="A379" i="14"/>
  <c r="B379" i="14"/>
  <c r="C379" i="14"/>
  <c r="D379" i="14"/>
  <c r="K379" i="14" s="1"/>
  <c r="E379" i="14"/>
  <c r="F379" i="14"/>
  <c r="A380" i="14"/>
  <c r="B380" i="14"/>
  <c r="C380" i="14"/>
  <c r="D380" i="14"/>
  <c r="K380" i="14" s="1"/>
  <c r="E380" i="14"/>
  <c r="F380" i="14"/>
  <c r="A381" i="14"/>
  <c r="B381" i="14"/>
  <c r="C381" i="14"/>
  <c r="D381" i="14"/>
  <c r="K381" i="14" s="1"/>
  <c r="E381" i="14"/>
  <c r="F381" i="14"/>
  <c r="A382" i="14"/>
  <c r="B382" i="14"/>
  <c r="C382" i="14"/>
  <c r="D382" i="14"/>
  <c r="K382" i="14" s="1"/>
  <c r="E382" i="14"/>
  <c r="F382" i="14"/>
  <c r="A383" i="14"/>
  <c r="B383" i="14"/>
  <c r="C383" i="14"/>
  <c r="D383" i="14"/>
  <c r="K383" i="14" s="1"/>
  <c r="E383" i="14"/>
  <c r="F383" i="14"/>
  <c r="A384" i="14"/>
  <c r="B384" i="14"/>
  <c r="C384" i="14"/>
  <c r="D384" i="14"/>
  <c r="K384" i="14" s="1"/>
  <c r="E384" i="14"/>
  <c r="F384" i="14"/>
  <c r="A385" i="14"/>
  <c r="B385" i="14"/>
  <c r="C385" i="14"/>
  <c r="D385" i="14"/>
  <c r="K385" i="14" s="1"/>
  <c r="E385" i="14"/>
  <c r="F385" i="14"/>
  <c r="A386" i="14"/>
  <c r="B386" i="14"/>
  <c r="C386" i="14"/>
  <c r="D386" i="14"/>
  <c r="K386" i="14" s="1"/>
  <c r="E386" i="14"/>
  <c r="F386" i="14"/>
  <c r="A387" i="14"/>
  <c r="B387" i="14"/>
  <c r="C387" i="14"/>
  <c r="D387" i="14"/>
  <c r="K387" i="14" s="1"/>
  <c r="E387" i="14"/>
  <c r="F387" i="14"/>
  <c r="A388" i="14"/>
  <c r="B388" i="14"/>
  <c r="C388" i="14"/>
  <c r="D388" i="14"/>
  <c r="K388" i="14" s="1"/>
  <c r="E388" i="14"/>
  <c r="F388" i="14"/>
  <c r="A389" i="14"/>
  <c r="B389" i="14"/>
  <c r="C389" i="14"/>
  <c r="D389" i="14"/>
  <c r="K389" i="14" s="1"/>
  <c r="E389" i="14"/>
  <c r="F389" i="14"/>
  <c r="A390" i="14"/>
  <c r="B390" i="14"/>
  <c r="C390" i="14"/>
  <c r="D390" i="14"/>
  <c r="K390" i="14" s="1"/>
  <c r="E390" i="14"/>
  <c r="F390" i="14"/>
  <c r="A391" i="14"/>
  <c r="B391" i="14"/>
  <c r="C391" i="14"/>
  <c r="D391" i="14"/>
  <c r="K391" i="14" s="1"/>
  <c r="E391" i="14"/>
  <c r="F391" i="14"/>
  <c r="A392" i="14"/>
  <c r="B392" i="14"/>
  <c r="C392" i="14"/>
  <c r="D392" i="14"/>
  <c r="K392" i="14" s="1"/>
  <c r="E392" i="14"/>
  <c r="F392" i="14"/>
  <c r="A393" i="14"/>
  <c r="B393" i="14"/>
  <c r="C393" i="14"/>
  <c r="D393" i="14"/>
  <c r="K393" i="14" s="1"/>
  <c r="E393" i="14"/>
  <c r="F393" i="14"/>
  <c r="A394" i="14"/>
  <c r="B394" i="14"/>
  <c r="C394" i="14"/>
  <c r="D394" i="14"/>
  <c r="K394" i="14" s="1"/>
  <c r="E394" i="14"/>
  <c r="F394" i="14"/>
  <c r="A395" i="14"/>
  <c r="B395" i="14"/>
  <c r="C395" i="14"/>
  <c r="D395" i="14"/>
  <c r="K395" i="14" s="1"/>
  <c r="E395" i="14"/>
  <c r="F395" i="14"/>
  <c r="A396" i="14"/>
  <c r="B396" i="14"/>
  <c r="C396" i="14"/>
  <c r="D396" i="14"/>
  <c r="K396" i="14" s="1"/>
  <c r="E396" i="14"/>
  <c r="F396" i="14"/>
  <c r="A397" i="14"/>
  <c r="B397" i="14"/>
  <c r="C397" i="14"/>
  <c r="D397" i="14"/>
  <c r="K397" i="14" s="1"/>
  <c r="E397" i="14"/>
  <c r="F397" i="14"/>
  <c r="A398" i="14"/>
  <c r="B398" i="14"/>
  <c r="C398" i="14"/>
  <c r="D398" i="14"/>
  <c r="K398" i="14" s="1"/>
  <c r="E398" i="14"/>
  <c r="F398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" i="14"/>
  <c r="C2" i="14"/>
  <c r="E4" i="16"/>
  <c r="Y80" i="2" l="1"/>
  <c r="Y79" i="2"/>
  <c r="Y78" i="2"/>
  <c r="Y77" i="2"/>
  <c r="Y76" i="2"/>
  <c r="Y75" i="2"/>
  <c r="Y31" i="2"/>
  <c r="AA43" i="2"/>
  <c r="U35" i="31" s="1"/>
  <c r="AB43" i="2"/>
  <c r="V35" i="31" s="1"/>
  <c r="G53" i="26"/>
  <c r="Y74" i="2"/>
  <c r="Y73" i="2"/>
  <c r="H4" i="26"/>
  <c r="G35" i="26"/>
  <c r="G36" i="26"/>
  <c r="Y72" i="2"/>
  <c r="Y71" i="2"/>
  <c r="Y69" i="2"/>
  <c r="Y70" i="2"/>
  <c r="Y68" i="2"/>
  <c r="Y16" i="2"/>
  <c r="F44" i="26"/>
  <c r="F48" i="26" s="1"/>
  <c r="Y67" i="2"/>
  <c r="Y66" i="2"/>
  <c r="Y65" i="2"/>
  <c r="Y64" i="2"/>
  <c r="Y63" i="2"/>
  <c r="H34" i="26"/>
  <c r="Y62" i="2"/>
  <c r="Y61" i="2"/>
  <c r="Y60" i="2"/>
  <c r="Y59" i="2"/>
  <c r="Y58" i="2"/>
  <c r="Y57" i="2"/>
  <c r="Y56" i="2"/>
  <c r="Z43" i="2"/>
  <c r="AC39" i="2"/>
  <c r="AC38" i="2"/>
  <c r="AA42" i="2"/>
  <c r="U32" i="31" s="1"/>
  <c r="Z41" i="2"/>
  <c r="V40" i="2"/>
  <c r="S29" i="31" s="1"/>
  <c r="T29" i="31" s="1"/>
  <c r="AA41" i="2"/>
  <c r="U31" i="31" s="1"/>
  <c r="Y55" i="2"/>
  <c r="Y54" i="2"/>
  <c r="Y53" i="2"/>
  <c r="Y52" i="2"/>
  <c r="Y51" i="2"/>
  <c r="W38" i="2"/>
  <c r="AB38" i="2" s="1"/>
  <c r="V28" i="31" s="1"/>
  <c r="V38" i="2"/>
  <c r="S28" i="31" s="1"/>
  <c r="T28" i="31" s="1"/>
  <c r="W39" i="2"/>
  <c r="AB39" i="2" s="1"/>
  <c r="V30" i="31" s="1"/>
  <c r="Y50" i="2"/>
  <c r="E82" i="2"/>
  <c r="E26" i="2"/>
  <c r="E18" i="2"/>
  <c r="E7" i="2"/>
  <c r="E34" i="2"/>
  <c r="V39" i="2"/>
  <c r="S30" i="31" s="1"/>
  <c r="T30" i="31" s="1"/>
  <c r="U30" i="2"/>
  <c r="V3" i="2"/>
  <c r="E27" i="2"/>
  <c r="E19" i="2"/>
  <c r="E8" i="2"/>
  <c r="U34" i="2"/>
  <c r="U85" i="2"/>
  <c r="W85" i="2" s="1"/>
  <c r="AB85" i="2" s="1"/>
  <c r="U29" i="2"/>
  <c r="U21" i="2"/>
  <c r="U10" i="2"/>
  <c r="U2" i="2"/>
  <c r="U84" i="2"/>
  <c r="U28" i="2"/>
  <c r="U20" i="2"/>
  <c r="U9" i="2"/>
  <c r="U88" i="2"/>
  <c r="E81" i="2"/>
  <c r="E25" i="2"/>
  <c r="U83" i="2"/>
  <c r="U19" i="2"/>
  <c r="U87" i="2"/>
  <c r="E24" i="2"/>
  <c r="D35" i="2"/>
  <c r="U82" i="2"/>
  <c r="U26" i="2"/>
  <c r="U18" i="2"/>
  <c r="U7" i="2"/>
  <c r="E88" i="2"/>
  <c r="E32" i="2"/>
  <c r="E23" i="2"/>
  <c r="E13" i="2"/>
  <c r="E4" i="2"/>
  <c r="E17" i="2"/>
  <c r="E6" i="2"/>
  <c r="U35" i="2"/>
  <c r="U37" i="2"/>
  <c r="U27" i="2"/>
  <c r="U8" i="2"/>
  <c r="E33" i="2"/>
  <c r="E14" i="2"/>
  <c r="E5" i="2"/>
  <c r="AC40" i="2"/>
  <c r="U81" i="2"/>
  <c r="U25" i="2"/>
  <c r="U17" i="2"/>
  <c r="U6" i="2"/>
  <c r="X6" i="2" s="1"/>
  <c r="E87" i="2"/>
  <c r="E22" i="2"/>
  <c r="E11" i="2"/>
  <c r="E3" i="2"/>
  <c r="W40" i="2"/>
  <c r="U86" i="2"/>
  <c r="U22" i="2"/>
  <c r="U11" i="2"/>
  <c r="E84" i="2"/>
  <c r="U33" i="2"/>
  <c r="U24" i="2"/>
  <c r="U14" i="2"/>
  <c r="U5" i="2"/>
  <c r="E86" i="2"/>
  <c r="E29" i="2"/>
  <c r="E21" i="2"/>
  <c r="E10" i="2"/>
  <c r="U36" i="2"/>
  <c r="U89" i="2"/>
  <c r="U32" i="2"/>
  <c r="U23" i="2"/>
  <c r="U13" i="2"/>
  <c r="U4" i="2"/>
  <c r="E85" i="2"/>
  <c r="E28" i="2"/>
  <c r="E20" i="2"/>
  <c r="E9" i="2"/>
  <c r="E83" i="2"/>
  <c r="D36" i="2"/>
  <c r="Z42" i="2"/>
  <c r="Y49" i="2"/>
  <c r="Y48" i="2"/>
  <c r="Y15" i="2"/>
  <c r="E30" i="2"/>
  <c r="G2" i="28"/>
  <c r="E37" i="2"/>
  <c r="Y47" i="2"/>
  <c r="Y12" i="2"/>
  <c r="Y46" i="2"/>
  <c r="Y45" i="2"/>
  <c r="Y44" i="2"/>
  <c r="Y40" i="2"/>
  <c r="Y43" i="2"/>
  <c r="Y41" i="2"/>
  <c r="Y42" i="2"/>
  <c r="E2" i="2"/>
  <c r="Y39" i="2"/>
  <c r="Y38" i="2"/>
  <c r="F7" i="26"/>
  <c r="C7" i="26"/>
  <c r="C27" i="26" s="1"/>
  <c r="D7" i="26"/>
  <c r="E7" i="26"/>
  <c r="C37" i="26"/>
  <c r="D37" i="2"/>
  <c r="E36" i="2"/>
  <c r="AC3" i="2"/>
  <c r="D34" i="2"/>
  <c r="E35" i="2"/>
  <c r="Y30" i="2"/>
  <c r="Y3" i="2"/>
  <c r="W3" i="2"/>
  <c r="AB3" i="2" s="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" i="14"/>
  <c r="A3" i="14"/>
  <c r="D3" i="14"/>
  <c r="K3" i="14" s="1"/>
  <c r="E3" i="14"/>
  <c r="F3" i="14"/>
  <c r="A4" i="14"/>
  <c r="D4" i="14"/>
  <c r="K4" i="14" s="1"/>
  <c r="E4" i="14"/>
  <c r="F4" i="14"/>
  <c r="A5" i="14"/>
  <c r="D5" i="14"/>
  <c r="K5" i="14" s="1"/>
  <c r="E5" i="14"/>
  <c r="F5" i="14"/>
  <c r="A6" i="14"/>
  <c r="D6" i="14"/>
  <c r="K6" i="14" s="1"/>
  <c r="E6" i="14"/>
  <c r="F6" i="14"/>
  <c r="A7" i="14"/>
  <c r="D7" i="14"/>
  <c r="K7" i="14" s="1"/>
  <c r="E7" i="14"/>
  <c r="F7" i="14"/>
  <c r="A8" i="14"/>
  <c r="D8" i="14"/>
  <c r="K8" i="14" s="1"/>
  <c r="E8" i="14"/>
  <c r="F8" i="14"/>
  <c r="A9" i="14"/>
  <c r="D9" i="14"/>
  <c r="K9" i="14" s="1"/>
  <c r="E9" i="14"/>
  <c r="F9" i="14"/>
  <c r="A10" i="14"/>
  <c r="D10" i="14"/>
  <c r="K10" i="14" s="1"/>
  <c r="E10" i="14"/>
  <c r="F10" i="14"/>
  <c r="A11" i="14"/>
  <c r="D11" i="14"/>
  <c r="K11" i="14" s="1"/>
  <c r="E11" i="14"/>
  <c r="F11" i="14"/>
  <c r="A12" i="14"/>
  <c r="D12" i="14"/>
  <c r="K12" i="14" s="1"/>
  <c r="E12" i="14"/>
  <c r="F12" i="14"/>
  <c r="A13" i="14"/>
  <c r="D13" i="14"/>
  <c r="K13" i="14" s="1"/>
  <c r="E13" i="14"/>
  <c r="F13" i="14"/>
  <c r="A14" i="14"/>
  <c r="D14" i="14"/>
  <c r="K14" i="14" s="1"/>
  <c r="E14" i="14"/>
  <c r="F14" i="14"/>
  <c r="A15" i="14"/>
  <c r="D15" i="14"/>
  <c r="K15" i="14" s="1"/>
  <c r="E15" i="14"/>
  <c r="F15" i="14"/>
  <c r="A16" i="14"/>
  <c r="D16" i="14"/>
  <c r="K16" i="14" s="1"/>
  <c r="E16" i="14"/>
  <c r="F16" i="14"/>
  <c r="A17" i="14"/>
  <c r="D17" i="14"/>
  <c r="K17" i="14" s="1"/>
  <c r="E17" i="14"/>
  <c r="F17" i="14"/>
  <c r="A18" i="14"/>
  <c r="D18" i="14"/>
  <c r="K18" i="14" s="1"/>
  <c r="E18" i="14"/>
  <c r="F18" i="14"/>
  <c r="A19" i="14"/>
  <c r="D19" i="14"/>
  <c r="K19" i="14" s="1"/>
  <c r="E19" i="14"/>
  <c r="F19" i="14"/>
  <c r="A20" i="14"/>
  <c r="D20" i="14"/>
  <c r="K20" i="14" s="1"/>
  <c r="E20" i="14"/>
  <c r="F20" i="14"/>
  <c r="A21" i="14"/>
  <c r="D21" i="14"/>
  <c r="K21" i="14" s="1"/>
  <c r="E21" i="14"/>
  <c r="F21" i="14"/>
  <c r="A22" i="14"/>
  <c r="D22" i="14"/>
  <c r="K22" i="14" s="1"/>
  <c r="E22" i="14"/>
  <c r="F22" i="14"/>
  <c r="A23" i="14"/>
  <c r="D23" i="14"/>
  <c r="K23" i="14" s="1"/>
  <c r="E23" i="14"/>
  <c r="F23" i="14"/>
  <c r="A24" i="14"/>
  <c r="D24" i="14"/>
  <c r="K24" i="14" s="1"/>
  <c r="E24" i="14"/>
  <c r="F24" i="14"/>
  <c r="A25" i="14"/>
  <c r="D25" i="14"/>
  <c r="K25" i="14" s="1"/>
  <c r="E25" i="14"/>
  <c r="F25" i="14"/>
  <c r="A26" i="14"/>
  <c r="D26" i="14"/>
  <c r="K26" i="14" s="1"/>
  <c r="E26" i="14"/>
  <c r="F26" i="14"/>
  <c r="A27" i="14"/>
  <c r="D27" i="14"/>
  <c r="K27" i="14" s="1"/>
  <c r="E27" i="14"/>
  <c r="F27" i="14"/>
  <c r="A28" i="14"/>
  <c r="D28" i="14"/>
  <c r="K28" i="14" s="1"/>
  <c r="E28" i="14"/>
  <c r="F28" i="14"/>
  <c r="A29" i="14"/>
  <c r="D29" i="14"/>
  <c r="K29" i="14" s="1"/>
  <c r="E29" i="14"/>
  <c r="F29" i="14"/>
  <c r="A30" i="14"/>
  <c r="D30" i="14"/>
  <c r="K30" i="14" s="1"/>
  <c r="E30" i="14"/>
  <c r="F30" i="14"/>
  <c r="A31" i="14"/>
  <c r="D31" i="14"/>
  <c r="K31" i="14" s="1"/>
  <c r="E31" i="14"/>
  <c r="F31" i="14"/>
  <c r="A32" i="14"/>
  <c r="D32" i="14"/>
  <c r="K32" i="14" s="1"/>
  <c r="E32" i="14"/>
  <c r="F32" i="14"/>
  <c r="A33" i="14"/>
  <c r="D33" i="14"/>
  <c r="K33" i="14" s="1"/>
  <c r="E33" i="14"/>
  <c r="F33" i="14"/>
  <c r="A34" i="14"/>
  <c r="D34" i="14"/>
  <c r="K34" i="14" s="1"/>
  <c r="E34" i="14"/>
  <c r="F34" i="14"/>
  <c r="A35" i="14"/>
  <c r="D35" i="14"/>
  <c r="K35" i="14" s="1"/>
  <c r="E35" i="14"/>
  <c r="F35" i="14"/>
  <c r="A36" i="14"/>
  <c r="D36" i="14"/>
  <c r="K36" i="14" s="1"/>
  <c r="E36" i="14"/>
  <c r="F36" i="14"/>
  <c r="A37" i="14"/>
  <c r="D37" i="14"/>
  <c r="K37" i="14" s="1"/>
  <c r="E37" i="14"/>
  <c r="F37" i="14"/>
  <c r="A38" i="14"/>
  <c r="D38" i="14"/>
  <c r="K38" i="14" s="1"/>
  <c r="E38" i="14"/>
  <c r="F38" i="14"/>
  <c r="A39" i="14"/>
  <c r="D39" i="14"/>
  <c r="K39" i="14" s="1"/>
  <c r="E39" i="14"/>
  <c r="F39" i="14"/>
  <c r="A40" i="14"/>
  <c r="D40" i="14"/>
  <c r="K40" i="14" s="1"/>
  <c r="E40" i="14"/>
  <c r="F40" i="14"/>
  <c r="A41" i="14"/>
  <c r="D41" i="14"/>
  <c r="K41" i="14" s="1"/>
  <c r="E41" i="14"/>
  <c r="F41" i="14"/>
  <c r="A42" i="14"/>
  <c r="D42" i="14"/>
  <c r="K42" i="14" s="1"/>
  <c r="E42" i="14"/>
  <c r="F42" i="14"/>
  <c r="A43" i="14"/>
  <c r="D43" i="14"/>
  <c r="K43" i="14" s="1"/>
  <c r="E43" i="14"/>
  <c r="F43" i="14"/>
  <c r="A44" i="14"/>
  <c r="D44" i="14"/>
  <c r="K44" i="14" s="1"/>
  <c r="E44" i="14"/>
  <c r="F44" i="14"/>
  <c r="A45" i="14"/>
  <c r="D45" i="14"/>
  <c r="K45" i="14" s="1"/>
  <c r="E45" i="14"/>
  <c r="F45" i="14"/>
  <c r="A46" i="14"/>
  <c r="D46" i="14"/>
  <c r="K46" i="14" s="1"/>
  <c r="E46" i="14"/>
  <c r="F46" i="14"/>
  <c r="A47" i="14"/>
  <c r="D47" i="14"/>
  <c r="K47" i="14" s="1"/>
  <c r="E47" i="14"/>
  <c r="F47" i="14"/>
  <c r="A48" i="14"/>
  <c r="D48" i="14"/>
  <c r="K48" i="14" s="1"/>
  <c r="E48" i="14"/>
  <c r="F48" i="14"/>
  <c r="A49" i="14"/>
  <c r="D49" i="14"/>
  <c r="K49" i="14" s="1"/>
  <c r="E49" i="14"/>
  <c r="F49" i="14"/>
  <c r="A50" i="14"/>
  <c r="D50" i="14"/>
  <c r="K50" i="14" s="1"/>
  <c r="E50" i="14"/>
  <c r="F50" i="14"/>
  <c r="A51" i="14"/>
  <c r="D51" i="14"/>
  <c r="K51" i="14" s="1"/>
  <c r="E51" i="14"/>
  <c r="F51" i="14"/>
  <c r="A52" i="14"/>
  <c r="D52" i="14"/>
  <c r="K52" i="14" s="1"/>
  <c r="E52" i="14"/>
  <c r="F52" i="14"/>
  <c r="A53" i="14"/>
  <c r="D53" i="14"/>
  <c r="K53" i="14" s="1"/>
  <c r="E53" i="14"/>
  <c r="F53" i="14"/>
  <c r="A54" i="14"/>
  <c r="D54" i="14"/>
  <c r="K54" i="14" s="1"/>
  <c r="E54" i="14"/>
  <c r="F54" i="14"/>
  <c r="A55" i="14"/>
  <c r="D55" i="14"/>
  <c r="K55" i="14" s="1"/>
  <c r="E55" i="14"/>
  <c r="F55" i="14"/>
  <c r="A56" i="14"/>
  <c r="D56" i="14"/>
  <c r="K56" i="14" s="1"/>
  <c r="E56" i="14"/>
  <c r="F56" i="14"/>
  <c r="A57" i="14"/>
  <c r="D57" i="14"/>
  <c r="K57" i="14" s="1"/>
  <c r="E57" i="14"/>
  <c r="F57" i="14"/>
  <c r="A58" i="14"/>
  <c r="D58" i="14"/>
  <c r="K58" i="14" s="1"/>
  <c r="E58" i="14"/>
  <c r="F58" i="14"/>
  <c r="A59" i="14"/>
  <c r="D59" i="14"/>
  <c r="K59" i="14" s="1"/>
  <c r="E59" i="14"/>
  <c r="F59" i="14"/>
  <c r="A60" i="14"/>
  <c r="D60" i="14"/>
  <c r="K60" i="14" s="1"/>
  <c r="E60" i="14"/>
  <c r="F60" i="14"/>
  <c r="A61" i="14"/>
  <c r="D61" i="14"/>
  <c r="K61" i="14" s="1"/>
  <c r="E61" i="14"/>
  <c r="F61" i="14"/>
  <c r="A62" i="14"/>
  <c r="D62" i="14"/>
  <c r="K62" i="14" s="1"/>
  <c r="E62" i="14"/>
  <c r="F62" i="14"/>
  <c r="A63" i="14"/>
  <c r="D63" i="14"/>
  <c r="K63" i="14" s="1"/>
  <c r="E63" i="14"/>
  <c r="F63" i="14"/>
  <c r="A64" i="14"/>
  <c r="D64" i="14"/>
  <c r="K64" i="14" s="1"/>
  <c r="E64" i="14"/>
  <c r="F64" i="14"/>
  <c r="A65" i="14"/>
  <c r="D65" i="14"/>
  <c r="K65" i="14" s="1"/>
  <c r="E65" i="14"/>
  <c r="F65" i="14"/>
  <c r="A66" i="14"/>
  <c r="D66" i="14"/>
  <c r="K66" i="14" s="1"/>
  <c r="E66" i="14"/>
  <c r="F66" i="14"/>
  <c r="A67" i="14"/>
  <c r="D67" i="14"/>
  <c r="K67" i="14" s="1"/>
  <c r="E67" i="14"/>
  <c r="F67" i="14"/>
  <c r="A68" i="14"/>
  <c r="D68" i="14"/>
  <c r="K68" i="14" s="1"/>
  <c r="E68" i="14"/>
  <c r="F68" i="14"/>
  <c r="A69" i="14"/>
  <c r="D69" i="14"/>
  <c r="K69" i="14" s="1"/>
  <c r="E69" i="14"/>
  <c r="F69" i="14"/>
  <c r="A70" i="14"/>
  <c r="D70" i="14"/>
  <c r="K70" i="14" s="1"/>
  <c r="E70" i="14"/>
  <c r="F70" i="14"/>
  <c r="A71" i="14"/>
  <c r="D71" i="14"/>
  <c r="K71" i="14" s="1"/>
  <c r="E71" i="14"/>
  <c r="F71" i="14"/>
  <c r="A72" i="14"/>
  <c r="D72" i="14"/>
  <c r="K72" i="14" s="1"/>
  <c r="E72" i="14"/>
  <c r="F72" i="14"/>
  <c r="A73" i="14"/>
  <c r="D73" i="14"/>
  <c r="K73" i="14" s="1"/>
  <c r="E73" i="14"/>
  <c r="F73" i="14"/>
  <c r="A74" i="14"/>
  <c r="D74" i="14"/>
  <c r="K74" i="14" s="1"/>
  <c r="E74" i="14"/>
  <c r="F74" i="14"/>
  <c r="A75" i="14"/>
  <c r="D75" i="14"/>
  <c r="K75" i="14" s="1"/>
  <c r="E75" i="14"/>
  <c r="F75" i="14"/>
  <c r="A76" i="14"/>
  <c r="D76" i="14"/>
  <c r="K76" i="14" s="1"/>
  <c r="E76" i="14"/>
  <c r="F76" i="14"/>
  <c r="A77" i="14"/>
  <c r="D77" i="14"/>
  <c r="K77" i="14" s="1"/>
  <c r="E77" i="14"/>
  <c r="F77" i="14"/>
  <c r="A78" i="14"/>
  <c r="D78" i="14"/>
  <c r="K78" i="14" s="1"/>
  <c r="E78" i="14"/>
  <c r="F78" i="14"/>
  <c r="A79" i="14"/>
  <c r="D79" i="14"/>
  <c r="K79" i="14" s="1"/>
  <c r="E79" i="14"/>
  <c r="F79" i="14"/>
  <c r="A80" i="14"/>
  <c r="D80" i="14"/>
  <c r="K80" i="14" s="1"/>
  <c r="E80" i="14"/>
  <c r="F80" i="14"/>
  <c r="A81" i="14"/>
  <c r="D81" i="14"/>
  <c r="K81" i="14" s="1"/>
  <c r="E81" i="14"/>
  <c r="F81" i="14"/>
  <c r="A82" i="14"/>
  <c r="D82" i="14"/>
  <c r="K82" i="14" s="1"/>
  <c r="E82" i="14"/>
  <c r="F82" i="14"/>
  <c r="A83" i="14"/>
  <c r="D83" i="14"/>
  <c r="K83" i="14" s="1"/>
  <c r="E83" i="14"/>
  <c r="F83" i="14"/>
  <c r="A84" i="14"/>
  <c r="D84" i="14"/>
  <c r="K84" i="14" s="1"/>
  <c r="E84" i="14"/>
  <c r="F84" i="14"/>
  <c r="A85" i="14"/>
  <c r="D85" i="14"/>
  <c r="K85" i="14" s="1"/>
  <c r="E85" i="14"/>
  <c r="F85" i="14"/>
  <c r="A86" i="14"/>
  <c r="D86" i="14"/>
  <c r="K86" i="14" s="1"/>
  <c r="E86" i="14"/>
  <c r="F86" i="14"/>
  <c r="A87" i="14"/>
  <c r="D87" i="14"/>
  <c r="K87" i="14" s="1"/>
  <c r="E87" i="14"/>
  <c r="F87" i="14"/>
  <c r="A88" i="14"/>
  <c r="D88" i="14"/>
  <c r="K88" i="14" s="1"/>
  <c r="E88" i="14"/>
  <c r="F88" i="14"/>
  <c r="A89" i="14"/>
  <c r="D89" i="14"/>
  <c r="K89" i="14" s="1"/>
  <c r="E89" i="14"/>
  <c r="F89" i="14"/>
  <c r="A90" i="14"/>
  <c r="D90" i="14"/>
  <c r="K90" i="14" s="1"/>
  <c r="E90" i="14"/>
  <c r="F90" i="14"/>
  <c r="A91" i="14"/>
  <c r="D91" i="14"/>
  <c r="K91" i="14" s="1"/>
  <c r="E91" i="14"/>
  <c r="F91" i="14"/>
  <c r="A92" i="14"/>
  <c r="D92" i="14"/>
  <c r="K92" i="14" s="1"/>
  <c r="E92" i="14"/>
  <c r="F92" i="14"/>
  <c r="A93" i="14"/>
  <c r="D93" i="14"/>
  <c r="K93" i="14" s="1"/>
  <c r="E93" i="14"/>
  <c r="F93" i="14"/>
  <c r="A94" i="14"/>
  <c r="D94" i="14"/>
  <c r="K94" i="14" s="1"/>
  <c r="E94" i="14"/>
  <c r="F94" i="14"/>
  <c r="A95" i="14"/>
  <c r="D95" i="14"/>
  <c r="K95" i="14" s="1"/>
  <c r="E95" i="14"/>
  <c r="F95" i="14"/>
  <c r="A96" i="14"/>
  <c r="D96" i="14"/>
  <c r="K96" i="14" s="1"/>
  <c r="E96" i="14"/>
  <c r="F96" i="14"/>
  <c r="A97" i="14"/>
  <c r="D97" i="14"/>
  <c r="K97" i="14" s="1"/>
  <c r="E97" i="14"/>
  <c r="F97" i="14"/>
  <c r="A98" i="14"/>
  <c r="D98" i="14"/>
  <c r="K98" i="14" s="1"/>
  <c r="E98" i="14"/>
  <c r="F98" i="14"/>
  <c r="A99" i="14"/>
  <c r="D99" i="14"/>
  <c r="K99" i="14" s="1"/>
  <c r="E99" i="14"/>
  <c r="F99" i="14"/>
  <c r="A100" i="14"/>
  <c r="D100" i="14"/>
  <c r="K100" i="14" s="1"/>
  <c r="E100" i="14"/>
  <c r="F100" i="14"/>
  <c r="A101" i="14"/>
  <c r="D101" i="14"/>
  <c r="K101" i="14" s="1"/>
  <c r="E101" i="14"/>
  <c r="F101" i="14"/>
  <c r="A102" i="14"/>
  <c r="D102" i="14"/>
  <c r="K102" i="14" s="1"/>
  <c r="E102" i="14"/>
  <c r="F102" i="14"/>
  <c r="A103" i="14"/>
  <c r="D103" i="14"/>
  <c r="K103" i="14" s="1"/>
  <c r="E103" i="14"/>
  <c r="F103" i="14"/>
  <c r="A104" i="14"/>
  <c r="D104" i="14"/>
  <c r="K104" i="14" s="1"/>
  <c r="E104" i="14"/>
  <c r="F104" i="14"/>
  <c r="A105" i="14"/>
  <c r="D105" i="14"/>
  <c r="K105" i="14" s="1"/>
  <c r="E105" i="14"/>
  <c r="F105" i="14"/>
  <c r="A106" i="14"/>
  <c r="D106" i="14"/>
  <c r="K106" i="14" s="1"/>
  <c r="E106" i="14"/>
  <c r="F106" i="14"/>
  <c r="A107" i="14"/>
  <c r="D107" i="14"/>
  <c r="K107" i="14" s="1"/>
  <c r="E107" i="14"/>
  <c r="F107" i="14"/>
  <c r="A108" i="14"/>
  <c r="D108" i="14"/>
  <c r="K108" i="14" s="1"/>
  <c r="E108" i="14"/>
  <c r="F108" i="14"/>
  <c r="A109" i="14"/>
  <c r="D109" i="14"/>
  <c r="K109" i="14" s="1"/>
  <c r="E109" i="14"/>
  <c r="F109" i="14"/>
  <c r="A110" i="14"/>
  <c r="D110" i="14"/>
  <c r="K110" i="14" s="1"/>
  <c r="E110" i="14"/>
  <c r="F110" i="14"/>
  <c r="A111" i="14"/>
  <c r="D111" i="14"/>
  <c r="K111" i="14" s="1"/>
  <c r="E111" i="14"/>
  <c r="F111" i="14"/>
  <c r="A112" i="14"/>
  <c r="D112" i="14"/>
  <c r="K112" i="14" s="1"/>
  <c r="E112" i="14"/>
  <c r="F112" i="14"/>
  <c r="A113" i="14"/>
  <c r="D113" i="14"/>
  <c r="K113" i="14" s="1"/>
  <c r="E113" i="14"/>
  <c r="F113" i="14"/>
  <c r="A114" i="14"/>
  <c r="D114" i="14"/>
  <c r="K114" i="14" s="1"/>
  <c r="E114" i="14"/>
  <c r="F114" i="14"/>
  <c r="A115" i="14"/>
  <c r="D115" i="14"/>
  <c r="K115" i="14" s="1"/>
  <c r="E115" i="14"/>
  <c r="F115" i="14"/>
  <c r="A116" i="14"/>
  <c r="D116" i="14"/>
  <c r="K116" i="14" s="1"/>
  <c r="E116" i="14"/>
  <c r="F116" i="14"/>
  <c r="A117" i="14"/>
  <c r="D117" i="14"/>
  <c r="K117" i="14" s="1"/>
  <c r="E117" i="14"/>
  <c r="F117" i="14"/>
  <c r="A118" i="14"/>
  <c r="D118" i="14"/>
  <c r="K118" i="14" s="1"/>
  <c r="E118" i="14"/>
  <c r="F118" i="14"/>
  <c r="A119" i="14"/>
  <c r="D119" i="14"/>
  <c r="K119" i="14" s="1"/>
  <c r="E119" i="14"/>
  <c r="F119" i="14"/>
  <c r="A120" i="14"/>
  <c r="D120" i="14"/>
  <c r="K120" i="14" s="1"/>
  <c r="E120" i="14"/>
  <c r="F120" i="14"/>
  <c r="A121" i="14"/>
  <c r="D121" i="14"/>
  <c r="K121" i="14" s="1"/>
  <c r="E121" i="14"/>
  <c r="F121" i="14"/>
  <c r="A122" i="14"/>
  <c r="D122" i="14"/>
  <c r="K122" i="14" s="1"/>
  <c r="E122" i="14"/>
  <c r="F122" i="14"/>
  <c r="A123" i="14"/>
  <c r="D123" i="14"/>
  <c r="K123" i="14" s="1"/>
  <c r="E123" i="14"/>
  <c r="F123" i="14"/>
  <c r="A124" i="14"/>
  <c r="D124" i="14"/>
  <c r="K124" i="14" s="1"/>
  <c r="E124" i="14"/>
  <c r="F124" i="14"/>
  <c r="A125" i="14"/>
  <c r="D125" i="14"/>
  <c r="K125" i="14" s="1"/>
  <c r="E125" i="14"/>
  <c r="F125" i="14"/>
  <c r="A126" i="14"/>
  <c r="D126" i="14"/>
  <c r="K126" i="14" s="1"/>
  <c r="E126" i="14"/>
  <c r="F126" i="14"/>
  <c r="A127" i="14"/>
  <c r="D127" i="14"/>
  <c r="K127" i="14" s="1"/>
  <c r="E127" i="14"/>
  <c r="F127" i="14"/>
  <c r="A128" i="14"/>
  <c r="D128" i="14"/>
  <c r="K128" i="14" s="1"/>
  <c r="E128" i="14"/>
  <c r="F128" i="14"/>
  <c r="A129" i="14"/>
  <c r="D129" i="14"/>
  <c r="K129" i="14" s="1"/>
  <c r="E129" i="14"/>
  <c r="F129" i="14"/>
  <c r="A130" i="14"/>
  <c r="D130" i="14"/>
  <c r="K130" i="14" s="1"/>
  <c r="E130" i="14"/>
  <c r="F130" i="14"/>
  <c r="A131" i="14"/>
  <c r="D131" i="14"/>
  <c r="K131" i="14" s="1"/>
  <c r="E131" i="14"/>
  <c r="F131" i="14"/>
  <c r="A132" i="14"/>
  <c r="D132" i="14"/>
  <c r="K132" i="14" s="1"/>
  <c r="E132" i="14"/>
  <c r="F132" i="14"/>
  <c r="A133" i="14"/>
  <c r="D133" i="14"/>
  <c r="K133" i="14" s="1"/>
  <c r="E133" i="14"/>
  <c r="F133" i="14"/>
  <c r="A134" i="14"/>
  <c r="D134" i="14"/>
  <c r="K134" i="14" s="1"/>
  <c r="E134" i="14"/>
  <c r="F134" i="14"/>
  <c r="A135" i="14"/>
  <c r="D135" i="14"/>
  <c r="K135" i="14" s="1"/>
  <c r="E135" i="14"/>
  <c r="F135" i="14"/>
  <c r="A136" i="14"/>
  <c r="D136" i="14"/>
  <c r="K136" i="14" s="1"/>
  <c r="E136" i="14"/>
  <c r="F136" i="14"/>
  <c r="A137" i="14"/>
  <c r="D137" i="14"/>
  <c r="K137" i="14" s="1"/>
  <c r="E137" i="14"/>
  <c r="F137" i="14"/>
  <c r="A138" i="14"/>
  <c r="D138" i="14"/>
  <c r="K138" i="14" s="1"/>
  <c r="E138" i="14"/>
  <c r="F138" i="14"/>
  <c r="A139" i="14"/>
  <c r="D139" i="14"/>
  <c r="K139" i="14" s="1"/>
  <c r="E139" i="14"/>
  <c r="F139" i="14"/>
  <c r="A140" i="14"/>
  <c r="D140" i="14"/>
  <c r="K140" i="14" s="1"/>
  <c r="E140" i="14"/>
  <c r="F140" i="14"/>
  <c r="A141" i="14"/>
  <c r="D141" i="14"/>
  <c r="K141" i="14" s="1"/>
  <c r="E141" i="14"/>
  <c r="F141" i="14"/>
  <c r="A142" i="14"/>
  <c r="D142" i="14"/>
  <c r="K142" i="14" s="1"/>
  <c r="E142" i="14"/>
  <c r="F142" i="14"/>
  <c r="A143" i="14"/>
  <c r="D143" i="14"/>
  <c r="K143" i="14" s="1"/>
  <c r="E143" i="14"/>
  <c r="F143" i="14"/>
  <c r="A144" i="14"/>
  <c r="D144" i="14"/>
  <c r="K144" i="14" s="1"/>
  <c r="E144" i="14"/>
  <c r="F144" i="14"/>
  <c r="A145" i="14"/>
  <c r="D145" i="14"/>
  <c r="K145" i="14" s="1"/>
  <c r="E145" i="14"/>
  <c r="F145" i="14"/>
  <c r="A146" i="14"/>
  <c r="D146" i="14"/>
  <c r="K146" i="14" s="1"/>
  <c r="E146" i="14"/>
  <c r="F146" i="14"/>
  <c r="A147" i="14"/>
  <c r="D147" i="14"/>
  <c r="K147" i="14" s="1"/>
  <c r="E147" i="14"/>
  <c r="F147" i="14"/>
  <c r="A148" i="14"/>
  <c r="D148" i="14"/>
  <c r="K148" i="14" s="1"/>
  <c r="E148" i="14"/>
  <c r="F148" i="14"/>
  <c r="A149" i="14"/>
  <c r="D149" i="14"/>
  <c r="K149" i="14" s="1"/>
  <c r="E149" i="14"/>
  <c r="F149" i="14"/>
  <c r="A150" i="14"/>
  <c r="D150" i="14"/>
  <c r="K150" i="14" s="1"/>
  <c r="E150" i="14"/>
  <c r="F150" i="14"/>
  <c r="A151" i="14"/>
  <c r="D151" i="14"/>
  <c r="K151" i="14" s="1"/>
  <c r="E151" i="14"/>
  <c r="F151" i="14"/>
  <c r="A152" i="14"/>
  <c r="D152" i="14"/>
  <c r="K152" i="14" s="1"/>
  <c r="E152" i="14"/>
  <c r="F152" i="14"/>
  <c r="A153" i="14"/>
  <c r="D153" i="14"/>
  <c r="K153" i="14" s="1"/>
  <c r="E153" i="14"/>
  <c r="F153" i="14"/>
  <c r="A154" i="14"/>
  <c r="D154" i="14"/>
  <c r="K154" i="14" s="1"/>
  <c r="E154" i="14"/>
  <c r="F154" i="14"/>
  <c r="A155" i="14"/>
  <c r="D155" i="14"/>
  <c r="K155" i="14" s="1"/>
  <c r="E155" i="14"/>
  <c r="F155" i="14"/>
  <c r="A156" i="14"/>
  <c r="D156" i="14"/>
  <c r="K156" i="14" s="1"/>
  <c r="E156" i="14"/>
  <c r="F156" i="14"/>
  <c r="A157" i="14"/>
  <c r="D157" i="14"/>
  <c r="K157" i="14" s="1"/>
  <c r="E157" i="14"/>
  <c r="F157" i="14"/>
  <c r="A158" i="14"/>
  <c r="D158" i="14"/>
  <c r="K158" i="14" s="1"/>
  <c r="E158" i="14"/>
  <c r="F158" i="14"/>
  <c r="A159" i="14"/>
  <c r="D159" i="14"/>
  <c r="K159" i="14" s="1"/>
  <c r="E159" i="14"/>
  <c r="F159" i="14"/>
  <c r="A160" i="14"/>
  <c r="D160" i="14"/>
  <c r="K160" i="14" s="1"/>
  <c r="E160" i="14"/>
  <c r="F160" i="14"/>
  <c r="A161" i="14"/>
  <c r="D161" i="14"/>
  <c r="K161" i="14" s="1"/>
  <c r="E161" i="14"/>
  <c r="F161" i="14"/>
  <c r="A162" i="14"/>
  <c r="D162" i="14"/>
  <c r="K162" i="14" s="1"/>
  <c r="E162" i="14"/>
  <c r="F162" i="14"/>
  <c r="A163" i="14"/>
  <c r="D163" i="14"/>
  <c r="K163" i="14" s="1"/>
  <c r="E163" i="14"/>
  <c r="F163" i="14"/>
  <c r="A164" i="14"/>
  <c r="D164" i="14"/>
  <c r="K164" i="14" s="1"/>
  <c r="E164" i="14"/>
  <c r="F164" i="14"/>
  <c r="A165" i="14"/>
  <c r="D165" i="14"/>
  <c r="K165" i="14" s="1"/>
  <c r="E165" i="14"/>
  <c r="F165" i="14"/>
  <c r="A166" i="14"/>
  <c r="D166" i="14"/>
  <c r="K166" i="14" s="1"/>
  <c r="E166" i="14"/>
  <c r="F166" i="14"/>
  <c r="A167" i="14"/>
  <c r="D167" i="14"/>
  <c r="K167" i="14" s="1"/>
  <c r="E167" i="14"/>
  <c r="F167" i="14"/>
  <c r="A168" i="14"/>
  <c r="D168" i="14"/>
  <c r="K168" i="14" s="1"/>
  <c r="E168" i="14"/>
  <c r="F168" i="14"/>
  <c r="A169" i="14"/>
  <c r="D169" i="14"/>
  <c r="K169" i="14" s="1"/>
  <c r="E169" i="14"/>
  <c r="F169" i="14"/>
  <c r="A170" i="14"/>
  <c r="D170" i="14"/>
  <c r="K170" i="14" s="1"/>
  <c r="E170" i="14"/>
  <c r="F170" i="14"/>
  <c r="A171" i="14"/>
  <c r="D171" i="14"/>
  <c r="K171" i="14" s="1"/>
  <c r="E171" i="14"/>
  <c r="F171" i="14"/>
  <c r="A172" i="14"/>
  <c r="D172" i="14"/>
  <c r="K172" i="14" s="1"/>
  <c r="E172" i="14"/>
  <c r="F172" i="14"/>
  <c r="A173" i="14"/>
  <c r="D173" i="14"/>
  <c r="K173" i="14" s="1"/>
  <c r="E173" i="14"/>
  <c r="F173" i="14"/>
  <c r="A174" i="14"/>
  <c r="D174" i="14"/>
  <c r="K174" i="14" s="1"/>
  <c r="E174" i="14"/>
  <c r="F174" i="14"/>
  <c r="A175" i="14"/>
  <c r="D175" i="14"/>
  <c r="K175" i="14" s="1"/>
  <c r="E175" i="14"/>
  <c r="F175" i="14"/>
  <c r="A176" i="14"/>
  <c r="D176" i="14"/>
  <c r="K176" i="14" s="1"/>
  <c r="E176" i="14"/>
  <c r="F176" i="14"/>
  <c r="A177" i="14"/>
  <c r="D177" i="14"/>
  <c r="K177" i="14" s="1"/>
  <c r="E177" i="14"/>
  <c r="F177" i="14"/>
  <c r="A178" i="14"/>
  <c r="D178" i="14"/>
  <c r="K178" i="14" s="1"/>
  <c r="E178" i="14"/>
  <c r="F178" i="14"/>
  <c r="A179" i="14"/>
  <c r="D179" i="14"/>
  <c r="K179" i="14" s="1"/>
  <c r="E179" i="14"/>
  <c r="F179" i="14"/>
  <c r="A180" i="14"/>
  <c r="D180" i="14"/>
  <c r="K180" i="14" s="1"/>
  <c r="E180" i="14"/>
  <c r="F180" i="14"/>
  <c r="A181" i="14"/>
  <c r="D181" i="14"/>
  <c r="K181" i="14" s="1"/>
  <c r="E181" i="14"/>
  <c r="F181" i="14"/>
  <c r="A182" i="14"/>
  <c r="D182" i="14"/>
  <c r="K182" i="14" s="1"/>
  <c r="E182" i="14"/>
  <c r="F182" i="14"/>
  <c r="A183" i="14"/>
  <c r="D183" i="14"/>
  <c r="K183" i="14" s="1"/>
  <c r="E183" i="14"/>
  <c r="F183" i="14"/>
  <c r="A184" i="14"/>
  <c r="D184" i="14"/>
  <c r="K184" i="14" s="1"/>
  <c r="E184" i="14"/>
  <c r="F184" i="14"/>
  <c r="A185" i="14"/>
  <c r="D185" i="14"/>
  <c r="K185" i="14" s="1"/>
  <c r="E185" i="14"/>
  <c r="F185" i="14"/>
  <c r="A186" i="14"/>
  <c r="D186" i="14"/>
  <c r="K186" i="14" s="1"/>
  <c r="E186" i="14"/>
  <c r="F186" i="14"/>
  <c r="A187" i="14"/>
  <c r="D187" i="14"/>
  <c r="K187" i="14" s="1"/>
  <c r="E187" i="14"/>
  <c r="F187" i="14"/>
  <c r="A188" i="14"/>
  <c r="D188" i="14"/>
  <c r="K188" i="14" s="1"/>
  <c r="E188" i="14"/>
  <c r="F188" i="14"/>
  <c r="A189" i="14"/>
  <c r="D189" i="14"/>
  <c r="K189" i="14" s="1"/>
  <c r="E189" i="14"/>
  <c r="F189" i="14"/>
  <c r="A190" i="14"/>
  <c r="D190" i="14"/>
  <c r="K190" i="14" s="1"/>
  <c r="E190" i="14"/>
  <c r="F190" i="14"/>
  <c r="A191" i="14"/>
  <c r="D191" i="14"/>
  <c r="K191" i="14" s="1"/>
  <c r="E191" i="14"/>
  <c r="F191" i="14"/>
  <c r="A192" i="14"/>
  <c r="D192" i="14"/>
  <c r="K192" i="14" s="1"/>
  <c r="E192" i="14"/>
  <c r="F192" i="14"/>
  <c r="A193" i="14"/>
  <c r="D193" i="14"/>
  <c r="K193" i="14" s="1"/>
  <c r="E193" i="14"/>
  <c r="F193" i="14"/>
  <c r="A194" i="14"/>
  <c r="D194" i="14"/>
  <c r="K194" i="14" s="1"/>
  <c r="E194" i="14"/>
  <c r="F194" i="14"/>
  <c r="A195" i="14"/>
  <c r="D195" i="14"/>
  <c r="K195" i="14" s="1"/>
  <c r="E195" i="14"/>
  <c r="F195" i="14"/>
  <c r="A196" i="14"/>
  <c r="D196" i="14"/>
  <c r="K196" i="14" s="1"/>
  <c r="E196" i="14"/>
  <c r="F196" i="14"/>
  <c r="A197" i="14"/>
  <c r="D197" i="14"/>
  <c r="K197" i="14" s="1"/>
  <c r="E197" i="14"/>
  <c r="F197" i="14"/>
  <c r="A198" i="14"/>
  <c r="D198" i="14"/>
  <c r="K198" i="14" s="1"/>
  <c r="E198" i="14"/>
  <c r="F198" i="14"/>
  <c r="F2" i="14"/>
  <c r="E2" i="16"/>
  <c r="E2" i="15"/>
  <c r="B7" i="15"/>
  <c r="A2" i="14"/>
  <c r="D2" i="14"/>
  <c r="K2" i="14" s="1"/>
  <c r="E2" i="14"/>
  <c r="D1" i="14"/>
  <c r="E1" i="14"/>
  <c r="A1" i="14"/>
  <c r="D25" i="26" l="1"/>
  <c r="D27" i="26"/>
  <c r="V89" i="2"/>
  <c r="X89" i="2"/>
  <c r="W24" i="2"/>
  <c r="AB24" i="2" s="1"/>
  <c r="X24" i="2"/>
  <c r="AC26" i="2"/>
  <c r="X26" i="2"/>
  <c r="W21" i="2"/>
  <c r="AB21" i="2" s="1"/>
  <c r="V13" i="31" s="1"/>
  <c r="X21" i="2"/>
  <c r="W30" i="2"/>
  <c r="AB30" i="2" s="1"/>
  <c r="V19" i="31" s="1"/>
  <c r="X30" i="2"/>
  <c r="E25" i="26"/>
  <c r="E27" i="26"/>
  <c r="AC36" i="2"/>
  <c r="X36" i="2"/>
  <c r="AC33" i="2"/>
  <c r="X33" i="2"/>
  <c r="W82" i="2"/>
  <c r="AB82" i="2" s="1"/>
  <c r="X82" i="2"/>
  <c r="W88" i="2"/>
  <c r="AB88" i="2" s="1"/>
  <c r="X88" i="2"/>
  <c r="AC29" i="2"/>
  <c r="X29" i="2"/>
  <c r="AC32" i="2"/>
  <c r="X32" i="2"/>
  <c r="AC14" i="2"/>
  <c r="X14" i="2"/>
  <c r="AC18" i="2"/>
  <c r="X18" i="2"/>
  <c r="Y10" i="2"/>
  <c r="X10" i="2"/>
  <c r="F25" i="26"/>
  <c r="F27" i="26"/>
  <c r="W9" i="2"/>
  <c r="AB9" i="2" s="1"/>
  <c r="X9" i="2"/>
  <c r="AC85" i="2"/>
  <c r="X85" i="2"/>
  <c r="Y11" i="2"/>
  <c r="X11" i="2"/>
  <c r="Y8" i="2"/>
  <c r="X8" i="2"/>
  <c r="AC20" i="2"/>
  <c r="X20" i="2"/>
  <c r="AC34" i="2"/>
  <c r="X34" i="2"/>
  <c r="W4" i="2"/>
  <c r="AB4" i="2" s="1"/>
  <c r="V4" i="31" s="1"/>
  <c r="X4" i="2"/>
  <c r="Y22" i="2"/>
  <c r="X22" i="2"/>
  <c r="AC17" i="2"/>
  <c r="X17" i="2"/>
  <c r="AC27" i="2"/>
  <c r="X27" i="2"/>
  <c r="Y87" i="2"/>
  <c r="X87" i="2"/>
  <c r="W28" i="2"/>
  <c r="AB28" i="2" s="1"/>
  <c r="X28" i="2"/>
  <c r="AC13" i="2"/>
  <c r="X13" i="2"/>
  <c r="Y86" i="2"/>
  <c r="X86" i="2"/>
  <c r="AC25" i="2"/>
  <c r="X25" i="2"/>
  <c r="AC37" i="2"/>
  <c r="X37" i="2"/>
  <c r="AC19" i="2"/>
  <c r="X19" i="2"/>
  <c r="W84" i="2"/>
  <c r="AB84" i="2" s="1"/>
  <c r="X84" i="2"/>
  <c r="Y23" i="2"/>
  <c r="X23" i="2"/>
  <c r="W5" i="2"/>
  <c r="AB5" i="2" s="1"/>
  <c r="V5" i="31" s="1"/>
  <c r="X5" i="2"/>
  <c r="AA40" i="2"/>
  <c r="U29" i="31" s="1"/>
  <c r="AB40" i="2"/>
  <c r="V29" i="31" s="1"/>
  <c r="AC81" i="2"/>
  <c r="X81" i="2"/>
  <c r="W35" i="2"/>
  <c r="AB35" i="2" s="1"/>
  <c r="V24" i="31" s="1"/>
  <c r="X35" i="2"/>
  <c r="Y7" i="2"/>
  <c r="X7" i="2"/>
  <c r="W83" i="2"/>
  <c r="AB83" i="2" s="1"/>
  <c r="X83" i="2"/>
  <c r="Y2" i="2"/>
  <c r="X2" i="2"/>
  <c r="H53" i="26"/>
  <c r="Z40" i="2"/>
  <c r="V2" i="2"/>
  <c r="Y85" i="2"/>
  <c r="AC2" i="2"/>
  <c r="AG36" i="23"/>
  <c r="AG44" i="23"/>
  <c r="AG54" i="23"/>
  <c r="AG62" i="23"/>
  <c r="AG5" i="23"/>
  <c r="AG14" i="23"/>
  <c r="AG22" i="23"/>
  <c r="AG30" i="23"/>
  <c r="AG74" i="23"/>
  <c r="AG37" i="23"/>
  <c r="AG45" i="23"/>
  <c r="AG55" i="23"/>
  <c r="AG64" i="23"/>
  <c r="AG6" i="23"/>
  <c r="AG15" i="23"/>
  <c r="AG23" i="23"/>
  <c r="AG31" i="23"/>
  <c r="AG75" i="23"/>
  <c r="AG38" i="23"/>
  <c r="AG48" i="23"/>
  <c r="AG56" i="23"/>
  <c r="AG65" i="23"/>
  <c r="AG7" i="23"/>
  <c r="AG16" i="23"/>
  <c r="AG24" i="23"/>
  <c r="AG32" i="23"/>
  <c r="AG76" i="23"/>
  <c r="AG39" i="23"/>
  <c r="AG49" i="23"/>
  <c r="AG57" i="23"/>
  <c r="AG66" i="23"/>
  <c r="AG8" i="23"/>
  <c r="AG17" i="23"/>
  <c r="AG25" i="23"/>
  <c r="AG77" i="23"/>
  <c r="AG40" i="23"/>
  <c r="AG50" i="23"/>
  <c r="AG58" i="23"/>
  <c r="AG68" i="23"/>
  <c r="AG9" i="23"/>
  <c r="AG18" i="23"/>
  <c r="AG26" i="23"/>
  <c r="AG78" i="23"/>
  <c r="AG41" i="23"/>
  <c r="AG51" i="23"/>
  <c r="AG59" i="23"/>
  <c r="AG69" i="23"/>
  <c r="AG10" i="23"/>
  <c r="AG19" i="23"/>
  <c r="AG27" i="23"/>
  <c r="AG79" i="23"/>
  <c r="AG42" i="23"/>
  <c r="AG52" i="23"/>
  <c r="AG60" i="23"/>
  <c r="AG3" i="23"/>
  <c r="AG11" i="23"/>
  <c r="AG20" i="23"/>
  <c r="AG28" i="23"/>
  <c r="AG35" i="23"/>
  <c r="AG43" i="23"/>
  <c r="AG53" i="23"/>
  <c r="AG61" i="23"/>
  <c r="AG4" i="23"/>
  <c r="AG12" i="23"/>
  <c r="AG21" i="23"/>
  <c r="AG29" i="23"/>
  <c r="AG67" i="23"/>
  <c r="AG81" i="23"/>
  <c r="AG80" i="23"/>
  <c r="AG13" i="23"/>
  <c r="AG47" i="23"/>
  <c r="AG63" i="23"/>
  <c r="AG46" i="23"/>
  <c r="W81" i="2"/>
  <c r="I34" i="26"/>
  <c r="J34" i="26" s="1"/>
  <c r="K34" i="26" s="1"/>
  <c r="L34" i="26" s="1"/>
  <c r="M34" i="26" s="1"/>
  <c r="N34" i="26" s="1"/>
  <c r="H35" i="26"/>
  <c r="H36" i="26"/>
  <c r="C9" i="26"/>
  <c r="C25" i="26"/>
  <c r="I4" i="26"/>
  <c r="J4" i="26" s="1"/>
  <c r="K4" i="26" s="1"/>
  <c r="L4" i="26" s="1"/>
  <c r="M4" i="26" s="1"/>
  <c r="N4" i="26" s="1"/>
  <c r="G7" i="26"/>
  <c r="G25" i="26" s="1"/>
  <c r="W29" i="2"/>
  <c r="V88" i="2"/>
  <c r="Y29" i="2"/>
  <c r="AC30" i="2"/>
  <c r="Y33" i="2"/>
  <c r="W36" i="2"/>
  <c r="AC11" i="2"/>
  <c r="Y36" i="2"/>
  <c r="W20" i="2"/>
  <c r="AC5" i="2"/>
  <c r="Y20" i="2"/>
  <c r="AC21" i="2"/>
  <c r="Y21" i="2"/>
  <c r="AC24" i="2"/>
  <c r="W26" i="2"/>
  <c r="W89" i="2"/>
  <c r="Y24" i="2"/>
  <c r="W8" i="2"/>
  <c r="AC7" i="2"/>
  <c r="AC10" i="2"/>
  <c r="W11" i="2"/>
  <c r="W33" i="2"/>
  <c r="V36" i="2"/>
  <c r="S25" i="31" s="1"/>
  <c r="T25" i="31" s="1"/>
  <c r="Y5" i="2"/>
  <c r="W23" i="2"/>
  <c r="Y18" i="2"/>
  <c r="Y19" i="2"/>
  <c r="Y35" i="2"/>
  <c r="O32" i="9"/>
  <c r="O33" i="9" s="1"/>
  <c r="AC23" i="2"/>
  <c r="W32" i="2"/>
  <c r="Y26" i="2"/>
  <c r="G44" i="26"/>
  <c r="G48" i="26" s="1"/>
  <c r="W25" i="2"/>
  <c r="W13" i="2"/>
  <c r="Y25" i="2"/>
  <c r="W14" i="2"/>
  <c r="W87" i="2"/>
  <c r="Y14" i="2"/>
  <c r="Y81" i="2"/>
  <c r="V87" i="2"/>
  <c r="W22" i="2"/>
  <c r="Y34" i="2"/>
  <c r="W10" i="2"/>
  <c r="V37" i="2"/>
  <c r="S26" i="31" s="1"/>
  <c r="T26" i="31" s="1"/>
  <c r="W18" i="2"/>
  <c r="Y4" i="2"/>
  <c r="Y13" i="2"/>
  <c r="AC22" i="2"/>
  <c r="W17" i="2"/>
  <c r="AC28" i="2"/>
  <c r="W19" i="2"/>
  <c r="W27" i="2"/>
  <c r="Y17" i="2"/>
  <c r="Y32" i="2"/>
  <c r="Y28" i="2"/>
  <c r="V35" i="2"/>
  <c r="S24" i="31" s="1"/>
  <c r="T24" i="31" s="1"/>
  <c r="Y37" i="2"/>
  <c r="Y27" i="2"/>
  <c r="W7" i="2"/>
  <c r="Y83" i="2"/>
  <c r="W37" i="2"/>
  <c r="W2" i="2"/>
  <c r="AC4" i="2"/>
  <c r="G37" i="26"/>
  <c r="Y88" i="2"/>
  <c r="Y89" i="2"/>
  <c r="AC89" i="2"/>
  <c r="E9" i="26"/>
  <c r="V34" i="2"/>
  <c r="S23" i="31" s="1"/>
  <c r="T23" i="31" s="1"/>
  <c r="W86" i="2"/>
  <c r="AC83" i="2"/>
  <c r="AC86" i="2"/>
  <c r="Y82" i="2"/>
  <c r="Y84" i="2"/>
  <c r="AC84" i="2"/>
  <c r="AC82" i="2"/>
  <c r="D9" i="26"/>
  <c r="F9" i="26"/>
  <c r="Z39" i="2"/>
  <c r="AC9" i="2"/>
  <c r="Z38" i="2"/>
  <c r="AC6" i="2"/>
  <c r="AC8" i="2"/>
  <c r="Y9" i="2"/>
  <c r="W6" i="2"/>
  <c r="Y6" i="2"/>
  <c r="AA38" i="2"/>
  <c r="U28" i="31" s="1"/>
  <c r="AA39" i="2"/>
  <c r="U30" i="31" s="1"/>
  <c r="Z82" i="2"/>
  <c r="Z88" i="2"/>
  <c r="Z9" i="2"/>
  <c r="Z28" i="2"/>
  <c r="Z21" i="2"/>
  <c r="Z85" i="2"/>
  <c r="Z3" i="2"/>
  <c r="Z30" i="2"/>
  <c r="Z4" i="2"/>
  <c r="Z24" i="2"/>
  <c r="Z83" i="2"/>
  <c r="V4" i="2"/>
  <c r="S4" i="31" s="1"/>
  <c r="T4" i="31" s="1"/>
  <c r="V33" i="2"/>
  <c r="S21" i="31" s="1"/>
  <c r="T21" i="31" s="1"/>
  <c r="V6" i="2"/>
  <c r="V27" i="2"/>
  <c r="V26" i="2"/>
  <c r="V9" i="2"/>
  <c r="V85" i="2"/>
  <c r="V13" i="2"/>
  <c r="S11" i="31" s="1"/>
  <c r="T11" i="31" s="1"/>
  <c r="V5" i="2"/>
  <c r="S5" i="31" s="1"/>
  <c r="T5" i="31" s="1"/>
  <c r="V17" i="2"/>
  <c r="S15" i="31" s="1"/>
  <c r="T15" i="31" s="1"/>
  <c r="V11" i="2"/>
  <c r="V82" i="2"/>
  <c r="AC87" i="2"/>
  <c r="V20" i="2"/>
  <c r="S6" i="31" s="1"/>
  <c r="T6" i="31" s="1"/>
  <c r="V10" i="2"/>
  <c r="S12" i="31" s="1"/>
  <c r="T12" i="31" s="1"/>
  <c r="W34" i="2"/>
  <c r="AB34" i="2" s="1"/>
  <c r="V23" i="31" s="1"/>
  <c r="V30" i="2"/>
  <c r="S19" i="31" s="1"/>
  <c r="T19" i="31" s="1"/>
  <c r="Z35" i="2"/>
  <c r="V23" i="2"/>
  <c r="S16" i="31" s="1"/>
  <c r="T16" i="31" s="1"/>
  <c r="V14" i="2"/>
  <c r="S8" i="31" s="1"/>
  <c r="T8" i="31" s="1"/>
  <c r="V25" i="2"/>
  <c r="AC35" i="2"/>
  <c r="V22" i="2"/>
  <c r="S10" i="31" s="1"/>
  <c r="T10" i="31" s="1"/>
  <c r="V7" i="2"/>
  <c r="V19" i="2"/>
  <c r="V28" i="2"/>
  <c r="V21" i="2"/>
  <c r="S13" i="31" s="1"/>
  <c r="T13" i="31" s="1"/>
  <c r="V32" i="2"/>
  <c r="S20" i="31" s="1"/>
  <c r="T20" i="31" s="1"/>
  <c r="V24" i="2"/>
  <c r="V81" i="2"/>
  <c r="V8" i="2"/>
  <c r="V86" i="2"/>
  <c r="V18" i="2"/>
  <c r="S14" i="31" s="1"/>
  <c r="T14" i="31" s="1"/>
  <c r="V83" i="2"/>
  <c r="AC88" i="2"/>
  <c r="V84" i="2"/>
  <c r="V29" i="2"/>
  <c r="S18" i="31" s="1"/>
  <c r="T18" i="31" s="1"/>
  <c r="D37" i="26"/>
  <c r="AA35" i="2"/>
  <c r="U24" i="31" s="1"/>
  <c r="AA88" i="2"/>
  <c r="AA82" i="2"/>
  <c r="AA83" i="2"/>
  <c r="AA9" i="2"/>
  <c r="AA28" i="2"/>
  <c r="AA84" i="2"/>
  <c r="AA85" i="2"/>
  <c r="AA21" i="2"/>
  <c r="U13" i="31" s="1"/>
  <c r="AA3" i="2"/>
  <c r="AA30" i="2"/>
  <c r="U19" i="31" s="1"/>
  <c r="AA5" i="2"/>
  <c r="U5" i="31" s="1"/>
  <c r="AA24" i="2"/>
  <c r="AA4" i="2"/>
  <c r="U4" i="31" s="1"/>
  <c r="Z5" i="2" l="1"/>
  <c r="Z84" i="2"/>
  <c r="S2" i="31"/>
  <c r="S9" i="31"/>
  <c r="T9" i="31" s="1"/>
  <c r="S3" i="31"/>
  <c r="T3" i="31" s="1"/>
  <c r="S7" i="31"/>
  <c r="T7" i="31" s="1"/>
  <c r="G9" i="26"/>
  <c r="G55" i="26"/>
  <c r="C54" i="26"/>
  <c r="D54" i="26"/>
  <c r="E54" i="26"/>
  <c r="F54" i="26"/>
  <c r="Z23" i="2"/>
  <c r="AB23" i="2"/>
  <c r="V16" i="31" s="1"/>
  <c r="Z20" i="2"/>
  <c r="AB20" i="2"/>
  <c r="V6" i="31" s="1"/>
  <c r="AA29" i="2"/>
  <c r="U18" i="31" s="1"/>
  <c r="AB29" i="2"/>
  <c r="V18" i="31" s="1"/>
  <c r="Z6" i="2"/>
  <c r="AB6" i="2"/>
  <c r="Z86" i="2"/>
  <c r="AB86" i="2"/>
  <c r="AA2" i="2"/>
  <c r="AB2" i="2"/>
  <c r="AA32" i="2"/>
  <c r="U20" i="31" s="1"/>
  <c r="AB32" i="2"/>
  <c r="V20" i="31" s="1"/>
  <c r="AA26" i="2"/>
  <c r="AB26" i="2"/>
  <c r="T3" i="9"/>
  <c r="P3" i="9" s="1"/>
  <c r="C55" i="26"/>
  <c r="D55" i="26"/>
  <c r="E55" i="26"/>
  <c r="F55" i="26"/>
  <c r="AA37" i="2"/>
  <c r="U26" i="31" s="1"/>
  <c r="AB37" i="2"/>
  <c r="V26" i="31" s="1"/>
  <c r="Z18" i="2"/>
  <c r="AB18" i="2"/>
  <c r="V14" i="31" s="1"/>
  <c r="AA87" i="2"/>
  <c r="AB87" i="2"/>
  <c r="Z33" i="2"/>
  <c r="AB33" i="2"/>
  <c r="V21" i="31" s="1"/>
  <c r="Z36" i="2"/>
  <c r="AB36" i="2"/>
  <c r="V25" i="31" s="1"/>
  <c r="Z89" i="2"/>
  <c r="AB89" i="2"/>
  <c r="AA27" i="2"/>
  <c r="U9" i="31" s="1"/>
  <c r="AB27" i="2"/>
  <c r="V9" i="31" s="1"/>
  <c r="Z14" i="2"/>
  <c r="AB14" i="2"/>
  <c r="V8" i="31" s="1"/>
  <c r="Z11" i="2"/>
  <c r="AB11" i="2"/>
  <c r="AA7" i="2"/>
  <c r="AB7" i="2"/>
  <c r="Z19" i="2"/>
  <c r="AB19" i="2"/>
  <c r="V7" i="31" s="1"/>
  <c r="Z10" i="2"/>
  <c r="AB10" i="2"/>
  <c r="V12" i="31" s="1"/>
  <c r="AA13" i="2"/>
  <c r="U11" i="31" s="1"/>
  <c r="AB13" i="2"/>
  <c r="V11" i="31" s="1"/>
  <c r="AA81" i="2"/>
  <c r="AB81" i="2"/>
  <c r="AA17" i="2"/>
  <c r="U15" i="31" s="1"/>
  <c r="AB17" i="2"/>
  <c r="V15" i="31" s="1"/>
  <c r="Z22" i="2"/>
  <c r="AB22" i="2"/>
  <c r="Z25" i="2"/>
  <c r="AB25" i="2"/>
  <c r="AA8" i="2"/>
  <c r="AB8" i="2"/>
  <c r="G54" i="26"/>
  <c r="H55" i="26"/>
  <c r="H54" i="26"/>
  <c r="I53" i="26"/>
  <c r="J53" i="26" s="1"/>
  <c r="K53" i="26" s="1"/>
  <c r="L53" i="26" s="1"/>
  <c r="M53" i="26" s="1"/>
  <c r="N53" i="26" s="1"/>
  <c r="Z26" i="2"/>
  <c r="Z8" i="2"/>
  <c r="Z29" i="2"/>
  <c r="Z81" i="2"/>
  <c r="AA36" i="2"/>
  <c r="U25" i="31" s="1"/>
  <c r="AA20" i="2"/>
  <c r="U6" i="31" s="1"/>
  <c r="H37" i="26"/>
  <c r="H39" i="26" s="1"/>
  <c r="H44" i="26"/>
  <c r="H48" i="26" s="1"/>
  <c r="H7" i="26"/>
  <c r="AA25" i="2"/>
  <c r="AA33" i="2"/>
  <c r="U21" i="31" s="1"/>
  <c r="AA22" i="2"/>
  <c r="Z87" i="2"/>
  <c r="Z13" i="2"/>
  <c r="AA11" i="2"/>
  <c r="AA23" i="2"/>
  <c r="U16" i="31" s="1"/>
  <c r="AA18" i="2"/>
  <c r="U14" i="31" s="1"/>
  <c r="AA89" i="2"/>
  <c r="Z32" i="2"/>
  <c r="AA10" i="2"/>
  <c r="U12" i="31" s="1"/>
  <c r="AA14" i="2"/>
  <c r="U8" i="31" s="1"/>
  <c r="H7" i="14"/>
  <c r="I7" i="14" s="1"/>
  <c r="J360" i="14"/>
  <c r="N360" i="14" s="1"/>
  <c r="H85" i="14"/>
  <c r="I85" i="14" s="1"/>
  <c r="L85" i="14" s="1"/>
  <c r="J149" i="14"/>
  <c r="N149" i="14" s="1"/>
  <c r="J187" i="14"/>
  <c r="N187" i="14" s="1"/>
  <c r="J12" i="14"/>
  <c r="N12" i="14" s="1"/>
  <c r="J26" i="14"/>
  <c r="N26" i="14" s="1"/>
  <c r="H44" i="14"/>
  <c r="I44" i="14" s="1"/>
  <c r="L44" i="14" s="1"/>
  <c r="H68" i="14"/>
  <c r="M68" i="14" s="1"/>
  <c r="J94" i="14"/>
  <c r="N94" i="14" s="1"/>
  <c r="H118" i="14"/>
  <c r="I118" i="14" s="1"/>
  <c r="L118" i="14" s="1"/>
  <c r="H146" i="14"/>
  <c r="I146" i="14" s="1"/>
  <c r="L146" i="14" s="1"/>
  <c r="J172" i="14"/>
  <c r="N172" i="14" s="1"/>
  <c r="H196" i="14"/>
  <c r="I196" i="14" s="1"/>
  <c r="L196" i="14" s="1"/>
  <c r="J49" i="14"/>
  <c r="N49" i="14" s="1"/>
  <c r="H147" i="14"/>
  <c r="I147" i="14" s="1"/>
  <c r="L147" i="14" s="1"/>
  <c r="J189" i="14"/>
  <c r="N189" i="14" s="1"/>
  <c r="H363" i="14"/>
  <c r="I363" i="14" s="1"/>
  <c r="L363" i="14" s="1"/>
  <c r="H391" i="14"/>
  <c r="I391" i="14" s="1"/>
  <c r="L391" i="14" s="1"/>
  <c r="H226" i="14"/>
  <c r="I226" i="14" s="1"/>
  <c r="L226" i="14" s="1"/>
  <c r="H243" i="14"/>
  <c r="I243" i="14" s="1"/>
  <c r="L243" i="14" s="1"/>
  <c r="J275" i="14"/>
  <c r="N275" i="14" s="1"/>
  <c r="J299" i="14"/>
  <c r="N299" i="14" s="1"/>
  <c r="J264" i="14"/>
  <c r="N264" i="14" s="1"/>
  <c r="J13" i="14"/>
  <c r="N13" i="14" s="1"/>
  <c r="H41" i="14"/>
  <c r="I41" i="14" s="1"/>
  <c r="L41" i="14" s="1"/>
  <c r="H65" i="14"/>
  <c r="M65" i="14" s="1"/>
  <c r="J85" i="14"/>
  <c r="N85" i="14" s="1"/>
  <c r="J109" i="14"/>
  <c r="N109" i="14" s="1"/>
  <c r="H127" i="14"/>
  <c r="I127" i="14" s="1"/>
  <c r="L127" i="14" s="1"/>
  <c r="H155" i="14"/>
  <c r="I155" i="14" s="1"/>
  <c r="L155" i="14" s="1"/>
  <c r="H197" i="14"/>
  <c r="I197" i="14" s="1"/>
  <c r="L197" i="14" s="1"/>
  <c r="H12" i="14"/>
  <c r="I12" i="14" s="1"/>
  <c r="L12" i="14" s="1"/>
  <c r="H26" i="14"/>
  <c r="I26" i="14" s="1"/>
  <c r="L26" i="14" s="1"/>
  <c r="J46" i="14"/>
  <c r="N46" i="14" s="1"/>
  <c r="J70" i="14"/>
  <c r="N70" i="14" s="1"/>
  <c r="H94" i="14"/>
  <c r="I94" i="14" s="1"/>
  <c r="L94" i="14" s="1"/>
  <c r="J122" i="14"/>
  <c r="N122" i="14" s="1"/>
  <c r="J148" i="14"/>
  <c r="N148" i="14" s="1"/>
  <c r="H172" i="14"/>
  <c r="I172" i="14" s="1"/>
  <c r="L172" i="14" s="1"/>
  <c r="J198" i="14"/>
  <c r="N198" i="14" s="1"/>
  <c r="H57" i="14"/>
  <c r="I57" i="14" s="1"/>
  <c r="L57" i="14" s="1"/>
  <c r="H163" i="14"/>
  <c r="I163" i="14" s="1"/>
  <c r="L163" i="14" s="1"/>
  <c r="H331" i="14"/>
  <c r="I331" i="14" s="1"/>
  <c r="L331" i="14" s="1"/>
  <c r="C54" i="20"/>
  <c r="H375" i="14"/>
  <c r="I375" i="14" s="1"/>
  <c r="L375" i="14" s="1"/>
  <c r="J375" i="14"/>
  <c r="N375" i="14" s="1"/>
  <c r="J213" i="14"/>
  <c r="N213" i="14" s="1"/>
  <c r="H227" i="14"/>
  <c r="I227" i="14" s="1"/>
  <c r="L227" i="14" s="1"/>
  <c r="J223" i="14"/>
  <c r="N223" i="14" s="1"/>
  <c r="H318" i="14"/>
  <c r="I318" i="14" s="1"/>
  <c r="L318" i="14" s="1"/>
  <c r="J366" i="14"/>
  <c r="N366" i="14" s="1"/>
  <c r="H382" i="14"/>
  <c r="I382" i="14" s="1"/>
  <c r="L382" i="14" s="1"/>
  <c r="J372" i="14"/>
  <c r="N372" i="14" s="1"/>
  <c r="J312" i="14"/>
  <c r="N312" i="14" s="1"/>
  <c r="H342" i="14"/>
  <c r="I342" i="14" s="1"/>
  <c r="L342" i="14" s="1"/>
  <c r="J334" i="14"/>
  <c r="N334" i="14" s="1"/>
  <c r="J284" i="14"/>
  <c r="N284" i="14" s="1"/>
  <c r="H298" i="14"/>
  <c r="I298" i="14" s="1"/>
  <c r="L298" i="14" s="1"/>
  <c r="J37" i="14"/>
  <c r="N37" i="14" s="1"/>
  <c r="H109" i="14"/>
  <c r="I109" i="14" s="1"/>
  <c r="L109" i="14" s="1"/>
  <c r="J23" i="14"/>
  <c r="N23" i="14" s="1"/>
  <c r="H113" i="14"/>
  <c r="I113" i="14" s="1"/>
  <c r="L113" i="14" s="1"/>
  <c r="H14" i="14"/>
  <c r="I14" i="14" s="1"/>
  <c r="L14" i="14" s="1"/>
  <c r="J98" i="14"/>
  <c r="N98" i="14" s="1"/>
  <c r="H165" i="14"/>
  <c r="I165" i="14" s="1"/>
  <c r="L165" i="14" s="1"/>
  <c r="H23" i="14"/>
  <c r="I23" i="14" s="1"/>
  <c r="L23" i="14" s="1"/>
  <c r="J329" i="14"/>
  <c r="N329" i="14" s="1"/>
  <c r="H361" i="14"/>
  <c r="I361" i="14" s="1"/>
  <c r="L361" i="14" s="1"/>
  <c r="J384" i="14"/>
  <c r="N384" i="14" s="1"/>
  <c r="H25" i="14"/>
  <c r="I25" i="14" s="1"/>
  <c r="L25" i="14" s="1"/>
  <c r="J51" i="14"/>
  <c r="N51" i="14" s="1"/>
  <c r="J69" i="14"/>
  <c r="N69" i="14" s="1"/>
  <c r="H95" i="14"/>
  <c r="I95" i="14" s="1"/>
  <c r="L95" i="14" s="1"/>
  <c r="J117" i="14"/>
  <c r="N117" i="14" s="1"/>
  <c r="J135" i="14"/>
  <c r="N135" i="14" s="1"/>
  <c r="H173" i="14"/>
  <c r="I173" i="14" s="1"/>
  <c r="L173" i="14" s="1"/>
  <c r="H4" i="14"/>
  <c r="I4" i="14" s="1"/>
  <c r="H18" i="14"/>
  <c r="I18" i="14" s="1"/>
  <c r="L18" i="14" s="1"/>
  <c r="J34" i="14"/>
  <c r="N34" i="14" s="1"/>
  <c r="H54" i="14"/>
  <c r="I54" i="14" s="1"/>
  <c r="L54" i="14" s="1"/>
  <c r="J82" i="14"/>
  <c r="N82" i="14" s="1"/>
  <c r="J108" i="14"/>
  <c r="N108" i="14" s="1"/>
  <c r="H132" i="14"/>
  <c r="M132" i="14" s="1"/>
  <c r="H158" i="14"/>
  <c r="I158" i="14" s="1"/>
  <c r="L158" i="14" s="1"/>
  <c r="H182" i="14"/>
  <c r="I182" i="14" s="1"/>
  <c r="L182" i="14" s="1"/>
  <c r="H21" i="14"/>
  <c r="I21" i="14" s="1"/>
  <c r="L21" i="14" s="1"/>
  <c r="J87" i="14"/>
  <c r="N87" i="14" s="1"/>
  <c r="J137" i="14"/>
  <c r="N137" i="14" s="1"/>
  <c r="H253" i="14"/>
  <c r="I253" i="14" s="1"/>
  <c r="L253" i="14" s="1"/>
  <c r="J276" i="14"/>
  <c r="N276" i="14" s="1"/>
  <c r="J297" i="14"/>
  <c r="N297" i="14" s="1"/>
  <c r="H304" i="14"/>
  <c r="I304" i="14" s="1"/>
  <c r="L304" i="14" s="1"/>
  <c r="H313" i="14"/>
  <c r="I313" i="14" s="1"/>
  <c r="L313" i="14" s="1"/>
  <c r="J320" i="14"/>
  <c r="N320" i="14" s="1"/>
  <c r="J280" i="14"/>
  <c r="N280" i="14" s="1"/>
  <c r="H310" i="14"/>
  <c r="I310" i="14" s="1"/>
  <c r="L310" i="14" s="1"/>
  <c r="J348" i="14"/>
  <c r="N348" i="14" s="1"/>
  <c r="H222" i="14"/>
  <c r="I222" i="14" s="1"/>
  <c r="L222" i="14" s="1"/>
  <c r="P16" i="9"/>
  <c r="J41" i="14"/>
  <c r="N41" i="14" s="1"/>
  <c r="H133" i="14"/>
  <c r="I133" i="14" s="1"/>
  <c r="L133" i="14" s="1"/>
  <c r="J28" i="14"/>
  <c r="N28" i="14" s="1"/>
  <c r="J124" i="14"/>
  <c r="N124" i="14" s="1"/>
  <c r="H198" i="14"/>
  <c r="I198" i="14" s="1"/>
  <c r="L198" i="14" s="1"/>
  <c r="J359" i="14"/>
  <c r="N359" i="14" s="1"/>
  <c r="J95" i="14"/>
  <c r="N95" i="14" s="1"/>
  <c r="J161" i="14"/>
  <c r="N161" i="14" s="1"/>
  <c r="H28" i="14"/>
  <c r="I28" i="14" s="1"/>
  <c r="L28" i="14" s="1"/>
  <c r="J74" i="14"/>
  <c r="N74" i="14" s="1"/>
  <c r="H124" i="14"/>
  <c r="M124" i="14" s="1"/>
  <c r="J174" i="14"/>
  <c r="N174" i="14" s="1"/>
  <c r="H63" i="14"/>
  <c r="I63" i="14" s="1"/>
  <c r="L63" i="14" s="1"/>
  <c r="J165" i="14"/>
  <c r="N165" i="14" s="1"/>
  <c r="H235" i="14"/>
  <c r="I235" i="14" s="1"/>
  <c r="L235" i="14" s="1"/>
  <c r="H336" i="14"/>
  <c r="I336" i="14" s="1"/>
  <c r="L336" i="14" s="1"/>
  <c r="J5" i="14"/>
  <c r="N5" i="14" s="1"/>
  <c r="J25" i="14"/>
  <c r="N25" i="14" s="1"/>
  <c r="H51" i="14"/>
  <c r="I51" i="14" s="1"/>
  <c r="L51" i="14" s="1"/>
  <c r="H71" i="14"/>
  <c r="I71" i="14" s="1"/>
  <c r="L71" i="14" s="1"/>
  <c r="H97" i="14"/>
  <c r="M97" i="14" s="1"/>
  <c r="J123" i="14"/>
  <c r="N123" i="14" s="1"/>
  <c r="H135" i="14"/>
  <c r="I135" i="14" s="1"/>
  <c r="L135" i="14" s="1"/>
  <c r="J173" i="14"/>
  <c r="N173" i="14" s="1"/>
  <c r="H6" i="14"/>
  <c r="I6" i="14" s="1"/>
  <c r="J20" i="14"/>
  <c r="N20" i="14" s="1"/>
  <c r="J36" i="14"/>
  <c r="N36" i="14" s="1"/>
  <c r="J58" i="14"/>
  <c r="N58" i="14" s="1"/>
  <c r="J84" i="14"/>
  <c r="N84" i="14" s="1"/>
  <c r="H108" i="14"/>
  <c r="J134" i="14"/>
  <c r="N134" i="14" s="1"/>
  <c r="J158" i="14"/>
  <c r="N158" i="14" s="1"/>
  <c r="H186" i="14"/>
  <c r="I186" i="14" s="1"/>
  <c r="L186" i="14" s="1"/>
  <c r="J27" i="14"/>
  <c r="N27" i="14" s="1"/>
  <c r="J99" i="14"/>
  <c r="N99" i="14" s="1"/>
  <c r="J151" i="14"/>
  <c r="N151" i="14" s="1"/>
  <c r="H221" i="14"/>
  <c r="I221" i="14" s="1"/>
  <c r="L221" i="14" s="1"/>
  <c r="J228" i="14"/>
  <c r="N228" i="14" s="1"/>
  <c r="J265" i="14"/>
  <c r="N265" i="14" s="1"/>
  <c r="H288" i="14"/>
  <c r="I288" i="14" s="1"/>
  <c r="L288" i="14" s="1"/>
  <c r="H281" i="14"/>
  <c r="I281" i="14" s="1"/>
  <c r="L281" i="14" s="1"/>
  <c r="J288" i="14"/>
  <c r="N288" i="14" s="1"/>
  <c r="H200" i="14"/>
  <c r="J248" i="14"/>
  <c r="N248" i="14" s="1"/>
  <c r="J353" i="14"/>
  <c r="N353" i="14" s="1"/>
  <c r="J11" i="14"/>
  <c r="N11" i="14" s="1"/>
  <c r="J125" i="14"/>
  <c r="N125" i="14" s="1"/>
  <c r="J89" i="14"/>
  <c r="N89" i="14" s="1"/>
  <c r="J197" i="14"/>
  <c r="N197" i="14" s="1"/>
  <c r="H70" i="14"/>
  <c r="I70" i="14" s="1"/>
  <c r="L70" i="14" s="1"/>
  <c r="H174" i="14"/>
  <c r="I174" i="14" s="1"/>
  <c r="L174" i="14" s="1"/>
  <c r="H267" i="14"/>
  <c r="J45" i="14"/>
  <c r="N45" i="14" s="1"/>
  <c r="J113" i="14"/>
  <c r="N113" i="14" s="1"/>
  <c r="J4" i="14"/>
  <c r="N4" i="14" s="1"/>
  <c r="J48" i="14"/>
  <c r="N48" i="14" s="1"/>
  <c r="J150" i="14"/>
  <c r="N150" i="14" s="1"/>
  <c r="J185" i="14"/>
  <c r="N185" i="14" s="1"/>
  <c r="H119" i="14"/>
  <c r="I119" i="14" s="1"/>
  <c r="L119" i="14" s="1"/>
  <c r="J39" i="14"/>
  <c r="N39" i="14" s="1"/>
  <c r="J190" i="14"/>
  <c r="N190" i="14" s="1"/>
  <c r="J180" i="14"/>
  <c r="N180" i="14" s="1"/>
  <c r="H154" i="14"/>
  <c r="I154" i="14" s="1"/>
  <c r="L154" i="14" s="1"/>
  <c r="H140" i="14"/>
  <c r="J116" i="14"/>
  <c r="N116" i="14" s="1"/>
  <c r="J102" i="14"/>
  <c r="N102" i="14" s="1"/>
  <c r="H76" i="14"/>
  <c r="H62" i="14"/>
  <c r="I62" i="14" s="1"/>
  <c r="L62" i="14" s="1"/>
  <c r="J40" i="14"/>
  <c r="N40" i="14" s="1"/>
  <c r="J175" i="14"/>
  <c r="N175" i="14" s="1"/>
  <c r="H77" i="14"/>
  <c r="J9" i="14"/>
  <c r="N9" i="14" s="1"/>
  <c r="H166" i="14"/>
  <c r="I166" i="14" s="1"/>
  <c r="L166" i="14" s="1"/>
  <c r="H126" i="14"/>
  <c r="J90" i="14"/>
  <c r="N90" i="14" s="1"/>
  <c r="J52" i="14"/>
  <c r="N52" i="14" s="1"/>
  <c r="H30" i="14"/>
  <c r="H5" i="14"/>
  <c r="J29" i="14"/>
  <c r="N29" i="14" s="1"/>
  <c r="J55" i="14"/>
  <c r="N55" i="14" s="1"/>
  <c r="H81" i="14"/>
  <c r="M81" i="14" s="1"/>
  <c r="J97" i="14"/>
  <c r="N97" i="14" s="1"/>
  <c r="H123" i="14"/>
  <c r="J141" i="14"/>
  <c r="N141" i="14" s="1"/>
  <c r="H179" i="14"/>
  <c r="H10" i="14"/>
  <c r="I10" i="14" s="1"/>
  <c r="H20" i="14"/>
  <c r="I20" i="14" s="1"/>
  <c r="L20" i="14" s="1"/>
  <c r="H36" i="14"/>
  <c r="M36" i="14" s="1"/>
  <c r="J60" i="14"/>
  <c r="N60" i="14" s="1"/>
  <c r="H84" i="14"/>
  <c r="J110" i="14"/>
  <c r="N110" i="14" s="1"/>
  <c r="H134" i="14"/>
  <c r="H162" i="14"/>
  <c r="I162" i="14" s="1"/>
  <c r="L162" i="14" s="1"/>
  <c r="J188" i="14"/>
  <c r="N188" i="14" s="1"/>
  <c r="H27" i="14"/>
  <c r="J107" i="14"/>
  <c r="N107" i="14" s="1"/>
  <c r="H153" i="14"/>
  <c r="I153" i="14" s="1"/>
  <c r="L153" i="14" s="1"/>
  <c r="J358" i="14"/>
  <c r="N358" i="14" s="1"/>
  <c r="J233" i="14"/>
  <c r="N233" i="14" s="1"/>
  <c r="J256" i="14"/>
  <c r="N256" i="14" s="1"/>
  <c r="H265" i="14"/>
  <c r="I265" i="14" s="1"/>
  <c r="L265" i="14" s="1"/>
  <c r="H272" i="14"/>
  <c r="H202" i="14"/>
  <c r="J389" i="14"/>
  <c r="N389" i="14" s="1"/>
  <c r="J357" i="14"/>
  <c r="N357" i="14" s="1"/>
  <c r="H339" i="14"/>
  <c r="I339" i="14" s="1"/>
  <c r="L339" i="14" s="1"/>
  <c r="H212" i="14"/>
  <c r="H59" i="14"/>
  <c r="J65" i="14"/>
  <c r="N65" i="14" s="1"/>
  <c r="J155" i="14"/>
  <c r="N155" i="14" s="1"/>
  <c r="H46" i="14"/>
  <c r="H148" i="14"/>
  <c r="I148" i="14" s="1"/>
  <c r="L148" i="14" s="1"/>
  <c r="J63" i="14"/>
  <c r="N63" i="14" s="1"/>
  <c r="H343" i="14"/>
  <c r="I343" i="14" s="1"/>
  <c r="L343" i="14" s="1"/>
  <c r="H69" i="14"/>
  <c r="I69" i="14" s="1"/>
  <c r="L69" i="14" s="1"/>
  <c r="J133" i="14"/>
  <c r="N133" i="14" s="1"/>
  <c r="J18" i="14"/>
  <c r="N18" i="14" s="1"/>
  <c r="J100" i="14"/>
  <c r="N100" i="14" s="1"/>
  <c r="H11" i="14"/>
  <c r="I11" i="14" s="1"/>
  <c r="L11" i="14" s="1"/>
  <c r="H37" i="14"/>
  <c r="I37" i="14" s="1"/>
  <c r="L37" i="14" s="1"/>
  <c r="H55" i="14"/>
  <c r="I55" i="14" s="1"/>
  <c r="L55" i="14" s="1"/>
  <c r="J81" i="14"/>
  <c r="N81" i="14" s="1"/>
  <c r="J101" i="14"/>
  <c r="N101" i="14" s="1"/>
  <c r="H125" i="14"/>
  <c r="H149" i="14"/>
  <c r="J179" i="14"/>
  <c r="N179" i="14" s="1"/>
  <c r="J10" i="14"/>
  <c r="N10" i="14" s="1"/>
  <c r="H22" i="14"/>
  <c r="I22" i="14" s="1"/>
  <c r="L22" i="14" s="1"/>
  <c r="J38" i="14"/>
  <c r="N38" i="14" s="1"/>
  <c r="H60" i="14"/>
  <c r="J86" i="14"/>
  <c r="N86" i="14" s="1"/>
  <c r="H110" i="14"/>
  <c r="I110" i="14" s="1"/>
  <c r="L110" i="14" s="1"/>
  <c r="J138" i="14"/>
  <c r="N138" i="14" s="1"/>
  <c r="J164" i="14"/>
  <c r="N164" i="14" s="1"/>
  <c r="H188" i="14"/>
  <c r="J31" i="14"/>
  <c r="N31" i="14" s="1"/>
  <c r="H107" i="14"/>
  <c r="I107" i="14" s="1"/>
  <c r="L107" i="14" s="1"/>
  <c r="J159" i="14"/>
  <c r="N159" i="14" s="1"/>
  <c r="J326" i="14"/>
  <c r="N326" i="14" s="1"/>
  <c r="J242" i="14"/>
  <c r="N242" i="14" s="1"/>
  <c r="H274" i="14"/>
  <c r="I274" i="14" s="1"/>
  <c r="L274" i="14" s="1"/>
  <c r="H319" i="14"/>
  <c r="H355" i="14"/>
  <c r="H337" i="14"/>
  <c r="J332" i="14"/>
  <c r="N332" i="14" s="1"/>
  <c r="H260" i="14"/>
  <c r="I260" i="14" s="1"/>
  <c r="L260" i="14" s="1"/>
  <c r="H365" i="14"/>
  <c r="I365" i="14" s="1"/>
  <c r="L365" i="14" s="1"/>
  <c r="J278" i="14"/>
  <c r="N278" i="14" s="1"/>
  <c r="H372" i="14"/>
  <c r="I372" i="14" s="1"/>
  <c r="L372" i="14" s="1"/>
  <c r="J338" i="14"/>
  <c r="N338" i="14" s="1"/>
  <c r="H370" i="14"/>
  <c r="I370" i="14" s="1"/>
  <c r="L370" i="14" s="1"/>
  <c r="J216" i="14"/>
  <c r="N216" i="14" s="1"/>
  <c r="H389" i="14"/>
  <c r="I389" i="14" s="1"/>
  <c r="L389" i="14" s="1"/>
  <c r="H245" i="14"/>
  <c r="I245" i="14" s="1"/>
  <c r="L245" i="14" s="1"/>
  <c r="H246" i="14"/>
  <c r="I246" i="14" s="1"/>
  <c r="L246" i="14" s="1"/>
  <c r="H373" i="14"/>
  <c r="I373" i="14" s="1"/>
  <c r="L373" i="14" s="1"/>
  <c r="H33" i="14"/>
  <c r="I33" i="14" s="1"/>
  <c r="L33" i="14" s="1"/>
  <c r="J75" i="14"/>
  <c r="N75" i="14" s="1"/>
  <c r="H121" i="14"/>
  <c r="H129" i="14"/>
  <c r="I129" i="14" s="1"/>
  <c r="L129" i="14" s="1"/>
  <c r="H169" i="14"/>
  <c r="I169" i="14" s="1"/>
  <c r="L169" i="14" s="1"/>
  <c r="H191" i="14"/>
  <c r="I191" i="14" s="1"/>
  <c r="L191" i="14" s="1"/>
  <c r="J8" i="14"/>
  <c r="N8" i="14" s="1"/>
  <c r="J16" i="14"/>
  <c r="N16" i="14" s="1"/>
  <c r="J24" i="14"/>
  <c r="N24" i="14" s="1"/>
  <c r="J32" i="14"/>
  <c r="N32" i="14" s="1"/>
  <c r="J42" i="14"/>
  <c r="N42" i="14" s="1"/>
  <c r="H52" i="14"/>
  <c r="I52" i="14" s="1"/>
  <c r="L52" i="14" s="1"/>
  <c r="J66" i="14"/>
  <c r="N66" i="14" s="1"/>
  <c r="J78" i="14"/>
  <c r="N78" i="14" s="1"/>
  <c r="J92" i="14"/>
  <c r="N92" i="14" s="1"/>
  <c r="H102" i="14"/>
  <c r="I102" i="14" s="1"/>
  <c r="L102" i="14" s="1"/>
  <c r="H116" i="14"/>
  <c r="M116" i="14" s="1"/>
  <c r="J130" i="14"/>
  <c r="N130" i="14" s="1"/>
  <c r="H142" i="14"/>
  <c r="J156" i="14"/>
  <c r="N156" i="14" s="1"/>
  <c r="J166" i="14"/>
  <c r="N166" i="14" s="1"/>
  <c r="H180" i="14"/>
  <c r="I180" i="14" s="1"/>
  <c r="L180" i="14" s="1"/>
  <c r="H194" i="14"/>
  <c r="I194" i="14" s="1"/>
  <c r="L194" i="14" s="1"/>
  <c r="J15" i="14"/>
  <c r="N15" i="14" s="1"/>
  <c r="J43" i="14"/>
  <c r="N43" i="14" s="1"/>
  <c r="H79" i="14"/>
  <c r="H131" i="14"/>
  <c r="I131" i="14" s="1"/>
  <c r="L131" i="14" s="1"/>
  <c r="J195" i="14"/>
  <c r="N195" i="14" s="1"/>
  <c r="J183" i="14"/>
  <c r="N183" i="14" s="1"/>
  <c r="H317" i="14"/>
  <c r="J214" i="14"/>
  <c r="N214" i="14" s="1"/>
  <c r="H324" i="14"/>
  <c r="J322" i="14"/>
  <c r="N322" i="14" s="1"/>
  <c r="J231" i="14"/>
  <c r="N231" i="14" s="1"/>
  <c r="H338" i="14"/>
  <c r="I338" i="14" s="1"/>
  <c r="L338" i="14" s="1"/>
  <c r="H231" i="14"/>
  <c r="C3" i="20"/>
  <c r="J378" i="14"/>
  <c r="N378" i="14" s="1"/>
  <c r="J397" i="14"/>
  <c r="N397" i="14" s="1"/>
  <c r="J227" i="14"/>
  <c r="N227" i="14" s="1"/>
  <c r="H334" i="14"/>
  <c r="J365" i="14"/>
  <c r="N365" i="14" s="1"/>
  <c r="J396" i="14"/>
  <c r="N396" i="14" s="1"/>
  <c r="H282" i="14"/>
  <c r="I282" i="14" s="1"/>
  <c r="L282" i="14" s="1"/>
  <c r="H374" i="14"/>
  <c r="H353" i="14"/>
  <c r="I353" i="14" s="1"/>
  <c r="L353" i="14" s="1"/>
  <c r="H367" i="14"/>
  <c r="J394" i="14"/>
  <c r="N394" i="14" s="1"/>
  <c r="H259" i="14"/>
  <c r="I259" i="14" s="1"/>
  <c r="L259" i="14" s="1"/>
  <c r="AG93" i="23"/>
  <c r="AG118" i="23"/>
  <c r="AG89" i="23"/>
  <c r="C65" i="20"/>
  <c r="C53" i="20"/>
  <c r="C26" i="20"/>
  <c r="C20" i="20"/>
  <c r="C21" i="20"/>
  <c r="C15" i="20"/>
  <c r="AG117" i="23"/>
  <c r="AG113" i="23"/>
  <c r="C37" i="20"/>
  <c r="C46" i="20"/>
  <c r="C25" i="20"/>
  <c r="C12" i="20"/>
  <c r="C13" i="20"/>
  <c r="C14" i="20"/>
  <c r="J349" i="14"/>
  <c r="N349" i="14" s="1"/>
  <c r="H346" i="14"/>
  <c r="H250" i="14"/>
  <c r="I250" i="14" s="1"/>
  <c r="L250" i="14" s="1"/>
  <c r="J363" i="14"/>
  <c r="N363" i="14" s="1"/>
  <c r="H239" i="14"/>
  <c r="I239" i="14" s="1"/>
  <c r="L239" i="14" s="1"/>
  <c r="J204" i="14"/>
  <c r="N204" i="14" s="1"/>
  <c r="H277" i="14"/>
  <c r="H225" i="14"/>
  <c r="J298" i="14"/>
  <c r="N298" i="14" s="1"/>
  <c r="H344" i="14"/>
  <c r="I344" i="14" s="1"/>
  <c r="L344" i="14" s="1"/>
  <c r="J230" i="14"/>
  <c r="N230" i="14" s="1"/>
  <c r="H309" i="14"/>
  <c r="J376" i="14"/>
  <c r="N376" i="14" s="1"/>
  <c r="J254" i="14"/>
  <c r="N254" i="14" s="1"/>
  <c r="J337" i="14"/>
  <c r="N337" i="14" s="1"/>
  <c r="J203" i="14"/>
  <c r="N203" i="14" s="1"/>
  <c r="J286" i="14"/>
  <c r="N286" i="14" s="1"/>
  <c r="H369" i="14"/>
  <c r="H207" i="14"/>
  <c r="I207" i="14" s="1"/>
  <c r="L207" i="14" s="1"/>
  <c r="H286" i="14"/>
  <c r="I286" i="14" s="1"/>
  <c r="L286" i="14" s="1"/>
  <c r="J369" i="14"/>
  <c r="N369" i="14" s="1"/>
  <c r="J219" i="14"/>
  <c r="N219" i="14" s="1"/>
  <c r="H330" i="14"/>
  <c r="H256" i="14"/>
  <c r="J199" i="14"/>
  <c r="N199" i="14" s="1"/>
  <c r="J343" i="14"/>
  <c r="N343" i="14" s="1"/>
  <c r="H290" i="14"/>
  <c r="I290" i="14" s="1"/>
  <c r="L290" i="14" s="1"/>
  <c r="H233" i="14"/>
  <c r="H393" i="14"/>
  <c r="I393" i="14" s="1"/>
  <c r="L393" i="14" s="1"/>
  <c r="J272" i="14"/>
  <c r="N272" i="14" s="1"/>
  <c r="H215" i="14"/>
  <c r="M215" i="14" s="1"/>
  <c r="H359" i="14"/>
  <c r="J306" i="14"/>
  <c r="N306" i="14" s="1"/>
  <c r="J249" i="14"/>
  <c r="N249" i="14" s="1"/>
  <c r="J393" i="14"/>
  <c r="N393" i="14" s="1"/>
  <c r="J244" i="14"/>
  <c r="N244" i="14" s="1"/>
  <c r="H203" i="14"/>
  <c r="H347" i="14"/>
  <c r="I347" i="14" s="1"/>
  <c r="L347" i="14" s="1"/>
  <c r="J294" i="14"/>
  <c r="N294" i="14" s="1"/>
  <c r="H237" i="14"/>
  <c r="H381" i="14"/>
  <c r="H189" i="14"/>
  <c r="I189" i="14" s="1"/>
  <c r="L189" i="14" s="1"/>
  <c r="H159" i="14"/>
  <c r="I159" i="14" s="1"/>
  <c r="L159" i="14" s="1"/>
  <c r="H137" i="14"/>
  <c r="I137" i="14" s="1"/>
  <c r="L137" i="14" s="1"/>
  <c r="H171" i="14"/>
  <c r="I171" i="14" s="1"/>
  <c r="L171" i="14" s="1"/>
  <c r="H139" i="14"/>
  <c r="J111" i="14"/>
  <c r="N111" i="14" s="1"/>
  <c r="H83" i="14"/>
  <c r="I83" i="14" s="1"/>
  <c r="L83" i="14" s="1"/>
  <c r="J67" i="14"/>
  <c r="N67" i="14" s="1"/>
  <c r="H49" i="14"/>
  <c r="M49" i="14" s="1"/>
  <c r="AG100" i="23"/>
  <c r="AG125" i="23"/>
  <c r="AG96" i="23"/>
  <c r="AG121" i="23"/>
  <c r="C16" i="20"/>
  <c r="C39" i="20"/>
  <c r="C11" i="20"/>
  <c r="C5" i="20"/>
  <c r="C6" i="20"/>
  <c r="C71" i="20"/>
  <c r="AG124" i="23"/>
  <c r="AG120" i="23"/>
  <c r="C68" i="20"/>
  <c r="C69" i="20"/>
  <c r="C70" i="20"/>
  <c r="C57" i="20"/>
  <c r="AG107" i="23"/>
  <c r="AG114" i="23"/>
  <c r="AG128" i="23"/>
  <c r="C59" i="20"/>
  <c r="C61" i="20"/>
  <c r="C62" i="20"/>
  <c r="C56" i="20"/>
  <c r="C50" i="20"/>
  <c r="H312" i="14"/>
  <c r="H287" i="14"/>
  <c r="I287" i="14" s="1"/>
  <c r="L287" i="14" s="1"/>
  <c r="H252" i="14"/>
  <c r="I252" i="14" s="1"/>
  <c r="L252" i="14" s="1"/>
  <c r="H387" i="14"/>
  <c r="I387" i="14" s="1"/>
  <c r="L387" i="14" s="1"/>
  <c r="J318" i="14"/>
  <c r="N318" i="14" s="1"/>
  <c r="J207" i="14"/>
  <c r="N207" i="14" s="1"/>
  <c r="H211" i="14"/>
  <c r="I211" i="14" s="1"/>
  <c r="L211" i="14" s="1"/>
  <c r="J232" i="14"/>
  <c r="N232" i="14" s="1"/>
  <c r="H305" i="14"/>
  <c r="I305" i="14" s="1"/>
  <c r="L305" i="14" s="1"/>
  <c r="J271" i="14"/>
  <c r="N271" i="14" s="1"/>
  <c r="J330" i="14"/>
  <c r="N330" i="14" s="1"/>
  <c r="J385" i="14"/>
  <c r="N385" i="14" s="1"/>
  <c r="J303" i="14"/>
  <c r="N303" i="14" s="1"/>
  <c r="H362" i="14"/>
  <c r="J200" i="14"/>
  <c r="N200" i="14" s="1"/>
  <c r="J331" i="14"/>
  <c r="N331" i="14" s="1"/>
  <c r="H390" i="14"/>
  <c r="H228" i="14"/>
  <c r="I228" i="14" s="1"/>
  <c r="L228" i="14" s="1"/>
  <c r="J335" i="14"/>
  <c r="N335" i="14" s="1"/>
  <c r="H394" i="14"/>
  <c r="H236" i="14"/>
  <c r="I236" i="14" s="1"/>
  <c r="L236" i="14" s="1"/>
  <c r="H371" i="14"/>
  <c r="M371" i="14" s="1"/>
  <c r="H229" i="14"/>
  <c r="J304" i="14"/>
  <c r="N304" i="14" s="1"/>
  <c r="J247" i="14"/>
  <c r="N247" i="14" s="1"/>
  <c r="H210" i="14"/>
  <c r="I210" i="14" s="1"/>
  <c r="L210" i="14" s="1"/>
  <c r="H354" i="14"/>
  <c r="H297" i="14"/>
  <c r="H320" i="14"/>
  <c r="H263" i="14"/>
  <c r="J210" i="14"/>
  <c r="N210" i="14" s="1"/>
  <c r="J370" i="14"/>
  <c r="N370" i="14" s="1"/>
  <c r="J313" i="14"/>
  <c r="N313" i="14" s="1"/>
  <c r="H308" i="14"/>
  <c r="H251" i="14"/>
  <c r="I251" i="14" s="1"/>
  <c r="L251" i="14" s="1"/>
  <c r="H395" i="14"/>
  <c r="J342" i="14"/>
  <c r="N342" i="14" s="1"/>
  <c r="H285" i="14"/>
  <c r="H181" i="14"/>
  <c r="I181" i="14" s="1"/>
  <c r="L181" i="14" s="1"/>
  <c r="H151" i="14"/>
  <c r="I151" i="14" s="1"/>
  <c r="L151" i="14" s="1"/>
  <c r="H195" i="14"/>
  <c r="J163" i="14"/>
  <c r="N163" i="14" s="1"/>
  <c r="J131" i="14"/>
  <c r="N131" i="14" s="1"/>
  <c r="H99" i="14"/>
  <c r="J79" i="14"/>
  <c r="N79" i="14" s="1"/>
  <c r="J57" i="14"/>
  <c r="N57" i="14" s="1"/>
  <c r="H39" i="14"/>
  <c r="I39" i="14" s="1"/>
  <c r="L39" i="14" s="1"/>
  <c r="J21" i="14"/>
  <c r="N21" i="14" s="1"/>
  <c r="J7" i="14"/>
  <c r="N7" i="14" s="1"/>
  <c r="J194" i="14"/>
  <c r="N194" i="14" s="1"/>
  <c r="J186" i="14"/>
  <c r="N186" i="14" s="1"/>
  <c r="J178" i="14"/>
  <c r="N178" i="14" s="1"/>
  <c r="J170" i="14"/>
  <c r="N170" i="14" s="1"/>
  <c r="J162" i="14"/>
  <c r="N162" i="14" s="1"/>
  <c r="J154" i="14"/>
  <c r="N154" i="14" s="1"/>
  <c r="J146" i="14"/>
  <c r="N146" i="14" s="1"/>
  <c r="H138" i="14"/>
  <c r="I138" i="14" s="1"/>
  <c r="L138" i="14" s="1"/>
  <c r="H130" i="14"/>
  <c r="H122" i="14"/>
  <c r="H114" i="14"/>
  <c r="H106" i="14"/>
  <c r="H98" i="14"/>
  <c r="I98" i="14" s="1"/>
  <c r="L98" i="14" s="1"/>
  <c r="H90" i="14"/>
  <c r="H82" i="14"/>
  <c r="I82" i="14" s="1"/>
  <c r="L82" i="14" s="1"/>
  <c r="H74" i="14"/>
  <c r="H66" i="14"/>
  <c r="I66" i="14" s="1"/>
  <c r="L66" i="14" s="1"/>
  <c r="H58" i="14"/>
  <c r="M58" i="14" s="1"/>
  <c r="H50" i="14"/>
  <c r="I50" i="14" s="1"/>
  <c r="L50" i="14" s="1"/>
  <c r="H42" i="14"/>
  <c r="H34" i="14"/>
  <c r="I34" i="14" s="1"/>
  <c r="L34" i="14" s="1"/>
  <c r="AG122" i="23"/>
  <c r="AG103" i="23"/>
  <c r="C38" i="20"/>
  <c r="AG86" i="23"/>
  <c r="AG111" i="23"/>
  <c r="AG82" i="23"/>
  <c r="C31" i="20"/>
  <c r="C67" i="20"/>
  <c r="C47" i="20"/>
  <c r="C41" i="20"/>
  <c r="C35" i="20"/>
  <c r="C36" i="20"/>
  <c r="J399" i="14"/>
  <c r="N399" i="14" s="1"/>
  <c r="H270" i="14"/>
  <c r="I270" i="14" s="1"/>
  <c r="L270" i="14" s="1"/>
  <c r="J392" i="14"/>
  <c r="N392" i="14" s="1"/>
  <c r="H366" i="14"/>
  <c r="J398" i="14"/>
  <c r="N398" i="14" s="1"/>
  <c r="J253" i="14"/>
  <c r="N253" i="14" s="1"/>
  <c r="J245" i="14"/>
  <c r="N245" i="14" s="1"/>
  <c r="J270" i="14"/>
  <c r="N270" i="14" s="1"/>
  <c r="J339" i="14"/>
  <c r="N339" i="14" s="1"/>
  <c r="H360" i="14"/>
  <c r="J268" i="14"/>
  <c r="N268" i="14" s="1"/>
  <c r="H323" i="14"/>
  <c r="J382" i="14"/>
  <c r="N382" i="14" s="1"/>
  <c r="H296" i="14"/>
  <c r="I296" i="14" s="1"/>
  <c r="L296" i="14" s="1"/>
  <c r="H351" i="14"/>
  <c r="I351" i="14" s="1"/>
  <c r="L351" i="14" s="1"/>
  <c r="J209" i="14"/>
  <c r="N209" i="14" s="1"/>
  <c r="H300" i="14"/>
  <c r="I300" i="14" s="1"/>
  <c r="L300" i="14" s="1"/>
  <c r="J383" i="14"/>
  <c r="N383" i="14" s="1"/>
  <c r="H241" i="14"/>
  <c r="H328" i="14"/>
  <c r="I328" i="14" s="1"/>
  <c r="L328" i="14" s="1"/>
  <c r="H383" i="14"/>
  <c r="I383" i="14" s="1"/>
  <c r="L383" i="14" s="1"/>
  <c r="J241" i="14"/>
  <c r="N241" i="14" s="1"/>
  <c r="J344" i="14"/>
  <c r="N344" i="14" s="1"/>
  <c r="J222" i="14"/>
  <c r="N222" i="14" s="1"/>
  <c r="J277" i="14"/>
  <c r="N277" i="14" s="1"/>
  <c r="J352" i="14"/>
  <c r="N352" i="14" s="1"/>
  <c r="J295" i="14"/>
  <c r="N295" i="14" s="1"/>
  <c r="H242" i="14"/>
  <c r="I242" i="14" s="1"/>
  <c r="L242" i="14" s="1"/>
  <c r="H386" i="14"/>
  <c r="H329" i="14"/>
  <c r="I329" i="14" s="1"/>
  <c r="L329" i="14" s="1"/>
  <c r="J208" i="14"/>
  <c r="N208" i="14" s="1"/>
  <c r="H352" i="14"/>
  <c r="H311" i="14"/>
  <c r="J258" i="14"/>
  <c r="N258" i="14" s="1"/>
  <c r="J201" i="14"/>
  <c r="N201" i="14" s="1"/>
  <c r="J345" i="14"/>
  <c r="N345" i="14" s="1"/>
  <c r="H340" i="14"/>
  <c r="I340" i="14" s="1"/>
  <c r="L340" i="14" s="1"/>
  <c r="H283" i="14"/>
  <c r="I283" i="14" s="1"/>
  <c r="L283" i="14" s="1"/>
  <c r="H230" i="14"/>
  <c r="I230" i="14" s="1"/>
  <c r="L230" i="14" s="1"/>
  <c r="J390" i="14"/>
  <c r="N390" i="14" s="1"/>
  <c r="H333" i="14"/>
  <c r="I333" i="14" s="1"/>
  <c r="L333" i="14" s="1"/>
  <c r="J193" i="14"/>
  <c r="N193" i="14" s="1"/>
  <c r="H175" i="14"/>
  <c r="J145" i="14"/>
  <c r="N145" i="14" s="1"/>
  <c r="H185" i="14"/>
  <c r="I185" i="14" s="1"/>
  <c r="L185" i="14" s="1"/>
  <c r="J157" i="14"/>
  <c r="N157" i="14" s="1"/>
  <c r="J119" i="14"/>
  <c r="N119" i="14" s="1"/>
  <c r="H93" i="14"/>
  <c r="I93" i="14" s="1"/>
  <c r="L93" i="14" s="1"/>
  <c r="J73" i="14"/>
  <c r="N73" i="14" s="1"/>
  <c r="J53" i="14"/>
  <c r="N53" i="14" s="1"/>
  <c r="H35" i="14"/>
  <c r="I35" i="14" s="1"/>
  <c r="L35" i="14" s="1"/>
  <c r="J17" i="14"/>
  <c r="N17" i="14" s="1"/>
  <c r="H2" i="14"/>
  <c r="J192" i="14"/>
  <c r="N192" i="14" s="1"/>
  <c r="H184" i="14"/>
  <c r="I184" i="14" s="1"/>
  <c r="L184" i="14" s="1"/>
  <c r="J176" i="14"/>
  <c r="N176" i="14" s="1"/>
  <c r="H168" i="14"/>
  <c r="I168" i="14" s="1"/>
  <c r="L168" i="14" s="1"/>
  <c r="H160" i="14"/>
  <c r="H152" i="14"/>
  <c r="I152" i="14" s="1"/>
  <c r="L152" i="14" s="1"/>
  <c r="J144" i="14"/>
  <c r="N144" i="14" s="1"/>
  <c r="H136" i="14"/>
  <c r="H128" i="14"/>
  <c r="H120" i="14"/>
  <c r="M120" i="14" s="1"/>
  <c r="H112" i="14"/>
  <c r="H104" i="14"/>
  <c r="I104" i="14" s="1"/>
  <c r="L104" i="14" s="1"/>
  <c r="H96" i="14"/>
  <c r="H88" i="14"/>
  <c r="M88" i="14" s="1"/>
  <c r="H80" i="14"/>
  <c r="H72" i="14"/>
  <c r="H64" i="14"/>
  <c r="I64" i="14" s="1"/>
  <c r="L64" i="14" s="1"/>
  <c r="H56" i="14"/>
  <c r="M56" i="14" s="1"/>
  <c r="H48" i="14"/>
  <c r="H40" i="14"/>
  <c r="AG110" i="23"/>
  <c r="C60" i="20"/>
  <c r="C40" i="20"/>
  <c r="C27" i="20"/>
  <c r="C28" i="20"/>
  <c r="C29" i="20"/>
  <c r="H400" i="14"/>
  <c r="H326" i="14"/>
  <c r="H332" i="14"/>
  <c r="I332" i="14" s="1"/>
  <c r="L332" i="14" s="1"/>
  <c r="J236" i="14"/>
  <c r="N236" i="14" s="1"/>
  <c r="H284" i="14"/>
  <c r="I284" i="14" s="1"/>
  <c r="L284" i="14" s="1"/>
  <c r="H232" i="14"/>
  <c r="I232" i="14" s="1"/>
  <c r="L232" i="14" s="1"/>
  <c r="J381" i="14"/>
  <c r="N381" i="14" s="1"/>
  <c r="J346" i="14"/>
  <c r="N346" i="14" s="1"/>
  <c r="J218" i="14"/>
  <c r="N218" i="14" s="1"/>
  <c r="H291" i="14"/>
  <c r="I291" i="14" s="1"/>
  <c r="L291" i="14" s="1"/>
  <c r="J296" i="14"/>
  <c r="N296" i="14" s="1"/>
  <c r="J351" i="14"/>
  <c r="N351" i="14" s="1"/>
  <c r="J229" i="14"/>
  <c r="N229" i="14" s="1"/>
  <c r="J324" i="14"/>
  <c r="N324" i="14" s="1"/>
  <c r="J379" i="14"/>
  <c r="N379" i="14" s="1"/>
  <c r="H261" i="14"/>
  <c r="I261" i="14" s="1"/>
  <c r="L261" i="14" s="1"/>
  <c r="J328" i="14"/>
  <c r="N328" i="14" s="1"/>
  <c r="J206" i="14"/>
  <c r="N206" i="14" s="1"/>
  <c r="J289" i="14"/>
  <c r="N289" i="14" s="1"/>
  <c r="J356" i="14"/>
  <c r="N356" i="14" s="1"/>
  <c r="H214" i="14"/>
  <c r="I214" i="14" s="1"/>
  <c r="L214" i="14" s="1"/>
  <c r="H293" i="14"/>
  <c r="J364" i="14"/>
  <c r="N364" i="14" s="1"/>
  <c r="J250" i="14"/>
  <c r="N250" i="14" s="1"/>
  <c r="J333" i="14"/>
  <c r="N333" i="14" s="1"/>
  <c r="J224" i="14"/>
  <c r="N224" i="14" s="1"/>
  <c r="J368" i="14"/>
  <c r="N368" i="14" s="1"/>
  <c r="J311" i="14"/>
  <c r="N311" i="14" s="1"/>
  <c r="H258" i="14"/>
  <c r="I258" i="14" s="1"/>
  <c r="L258" i="14" s="1"/>
  <c r="H201" i="14"/>
  <c r="I201" i="14" s="1"/>
  <c r="L201" i="14" s="1"/>
  <c r="H345" i="14"/>
  <c r="H224" i="14"/>
  <c r="H384" i="14"/>
  <c r="H327" i="14"/>
  <c r="J274" i="14"/>
  <c r="N274" i="14" s="1"/>
  <c r="J217" i="14"/>
  <c r="N217" i="14" s="1"/>
  <c r="J361" i="14"/>
  <c r="N361" i="14" s="1"/>
  <c r="J212" i="14"/>
  <c r="N212" i="14" s="1"/>
  <c r="H356" i="14"/>
  <c r="I356" i="14" s="1"/>
  <c r="L356" i="14" s="1"/>
  <c r="H299" i="14"/>
  <c r="I299" i="14" s="1"/>
  <c r="L299" i="14" s="1"/>
  <c r="J262" i="14"/>
  <c r="N262" i="14" s="1"/>
  <c r="H205" i="14"/>
  <c r="I205" i="14" s="1"/>
  <c r="L205" i="14" s="1"/>
  <c r="H349" i="14"/>
  <c r="I349" i="14" s="1"/>
  <c r="L349" i="14" s="1"/>
  <c r="H193" i="14"/>
  <c r="I193" i="14" s="1"/>
  <c r="L193" i="14" s="1"/>
  <c r="J167" i="14"/>
  <c r="N167" i="14" s="1"/>
  <c r="H145" i="14"/>
  <c r="I145" i="14" s="1"/>
  <c r="L145" i="14" s="1"/>
  <c r="J177" i="14"/>
  <c r="N177" i="14" s="1"/>
  <c r="H157" i="14"/>
  <c r="I157" i="14" s="1"/>
  <c r="L157" i="14" s="1"/>
  <c r="J115" i="14"/>
  <c r="N115" i="14" s="1"/>
  <c r="H87" i="14"/>
  <c r="H73" i="14"/>
  <c r="I73" i="14" s="1"/>
  <c r="L73" i="14" s="1"/>
  <c r="H53" i="14"/>
  <c r="I53" i="14" s="1"/>
  <c r="L53" i="14" s="1"/>
  <c r="J35" i="14"/>
  <c r="N35" i="14" s="1"/>
  <c r="H17" i="14"/>
  <c r="J2" i="14"/>
  <c r="N2" i="14" s="1"/>
  <c r="H192" i="14"/>
  <c r="J184" i="14"/>
  <c r="N184" i="14" s="1"/>
  <c r="H176" i="14"/>
  <c r="J168" i="14"/>
  <c r="N168" i="14" s="1"/>
  <c r="J160" i="14"/>
  <c r="N160" i="14" s="1"/>
  <c r="J152" i="14"/>
  <c r="N152" i="14" s="1"/>
  <c r="H144" i="14"/>
  <c r="J136" i="14"/>
  <c r="N136" i="14" s="1"/>
  <c r="J128" i="14"/>
  <c r="N128" i="14" s="1"/>
  <c r="J120" i="14"/>
  <c r="N120" i="14" s="1"/>
  <c r="J112" i="14"/>
  <c r="N112" i="14" s="1"/>
  <c r="J104" i="14"/>
  <c r="N104" i="14" s="1"/>
  <c r="J96" i="14"/>
  <c r="N96" i="14" s="1"/>
  <c r="J88" i="14"/>
  <c r="N88" i="14" s="1"/>
  <c r="J80" i="14"/>
  <c r="N80" i="14" s="1"/>
  <c r="J72" i="14"/>
  <c r="N72" i="14" s="1"/>
  <c r="J64" i="14"/>
  <c r="N64" i="14" s="1"/>
  <c r="J56" i="14"/>
  <c r="N56" i="14" s="1"/>
  <c r="H247" i="14"/>
  <c r="I247" i="14" s="1"/>
  <c r="L247" i="14" s="1"/>
  <c r="J279" i="14"/>
  <c r="N279" i="14" s="1"/>
  <c r="J205" i="14"/>
  <c r="N205" i="14" s="1"/>
  <c r="J283" i="14"/>
  <c r="N283" i="14" s="1"/>
  <c r="J362" i="14"/>
  <c r="N362" i="14" s="1"/>
  <c r="J251" i="14"/>
  <c r="N251" i="14" s="1"/>
  <c r="H302" i="14"/>
  <c r="H280" i="14"/>
  <c r="H325" i="14"/>
  <c r="I325" i="14" s="1"/>
  <c r="L325" i="14" s="1"/>
  <c r="C55" i="20"/>
  <c r="H3" i="14"/>
  <c r="J19" i="14"/>
  <c r="N19" i="14" s="1"/>
  <c r="J47" i="14"/>
  <c r="N47" i="14" s="1"/>
  <c r="H61" i="14"/>
  <c r="I61" i="14" s="1"/>
  <c r="L61" i="14" s="1"/>
  <c r="J91" i="14"/>
  <c r="N91" i="14" s="1"/>
  <c r="J103" i="14"/>
  <c r="N103" i="14" s="1"/>
  <c r="H143" i="14"/>
  <c r="I143" i="14" s="1"/>
  <c r="L143" i="14" s="1"/>
  <c r="J3" i="14"/>
  <c r="N3" i="14" s="1"/>
  <c r="H19" i="14"/>
  <c r="J33" i="14"/>
  <c r="N33" i="14" s="1"/>
  <c r="H47" i="14"/>
  <c r="J61" i="14"/>
  <c r="N61" i="14" s="1"/>
  <c r="H75" i="14"/>
  <c r="I75" i="14" s="1"/>
  <c r="L75" i="14" s="1"/>
  <c r="H91" i="14"/>
  <c r="I91" i="14" s="1"/>
  <c r="L91" i="14" s="1"/>
  <c r="H103" i="14"/>
  <c r="I103" i="14" s="1"/>
  <c r="L103" i="14" s="1"/>
  <c r="J121" i="14"/>
  <c r="N121" i="14" s="1"/>
  <c r="J129" i="14"/>
  <c r="N129" i="14" s="1"/>
  <c r="J143" i="14"/>
  <c r="N143" i="14" s="1"/>
  <c r="J169" i="14"/>
  <c r="N169" i="14" s="1"/>
  <c r="J191" i="14"/>
  <c r="N191" i="14" s="1"/>
  <c r="H8" i="14"/>
  <c r="I8" i="14" s="1"/>
  <c r="H16" i="14"/>
  <c r="I16" i="14" s="1"/>
  <c r="L16" i="14" s="1"/>
  <c r="H24" i="14"/>
  <c r="H32" i="14"/>
  <c r="I32" i="14" s="1"/>
  <c r="L32" i="14" s="1"/>
  <c r="J44" i="14"/>
  <c r="N44" i="14" s="1"/>
  <c r="J54" i="14"/>
  <c r="N54" i="14" s="1"/>
  <c r="J68" i="14"/>
  <c r="N68" i="14" s="1"/>
  <c r="H78" i="14"/>
  <c r="H92" i="14"/>
  <c r="I92" i="14" s="1"/>
  <c r="L92" i="14" s="1"/>
  <c r="J106" i="14"/>
  <c r="N106" i="14" s="1"/>
  <c r="J118" i="14"/>
  <c r="N118" i="14" s="1"/>
  <c r="J132" i="14"/>
  <c r="N132" i="14" s="1"/>
  <c r="J142" i="14"/>
  <c r="N142" i="14" s="1"/>
  <c r="H156" i="14"/>
  <c r="I156" i="14" s="1"/>
  <c r="L156" i="14" s="1"/>
  <c r="H170" i="14"/>
  <c r="I170" i="14" s="1"/>
  <c r="L170" i="14" s="1"/>
  <c r="J182" i="14"/>
  <c r="N182" i="14" s="1"/>
  <c r="J196" i="14"/>
  <c r="N196" i="14" s="1"/>
  <c r="H15" i="14"/>
  <c r="H43" i="14"/>
  <c r="I43" i="14" s="1"/>
  <c r="L43" i="14" s="1"/>
  <c r="J83" i="14"/>
  <c r="N83" i="14" s="1"/>
  <c r="J139" i="14"/>
  <c r="N139" i="14" s="1"/>
  <c r="H105" i="14"/>
  <c r="H183" i="14"/>
  <c r="H269" i="14"/>
  <c r="H379" i="14"/>
  <c r="H292" i="14"/>
  <c r="I292" i="14" s="1"/>
  <c r="L292" i="14" s="1"/>
  <c r="J377" i="14"/>
  <c r="N377" i="14" s="1"/>
  <c r="J290" i="14"/>
  <c r="N290" i="14" s="1"/>
  <c r="H199" i="14"/>
  <c r="I199" i="14" s="1"/>
  <c r="L199" i="14" s="1"/>
  <c r="H306" i="14"/>
  <c r="I306" i="14" s="1"/>
  <c r="L306" i="14" s="1"/>
  <c r="J215" i="14"/>
  <c r="N215" i="14" s="1"/>
  <c r="H278" i="14"/>
  <c r="J341" i="14"/>
  <c r="N341" i="14" s="1"/>
  <c r="H380" i="14"/>
  <c r="I380" i="14" s="1"/>
  <c r="L380" i="14" s="1"/>
  <c r="J234" i="14"/>
  <c r="N234" i="14" s="1"/>
  <c r="J309" i="14"/>
  <c r="N309" i="14" s="1"/>
  <c r="H348" i="14"/>
  <c r="I348" i="14" s="1"/>
  <c r="L348" i="14" s="1"/>
  <c r="J371" i="14"/>
  <c r="N371" i="14" s="1"/>
  <c r="J238" i="14"/>
  <c r="N238" i="14" s="1"/>
  <c r="J221" i="14"/>
  <c r="N221" i="14" s="1"/>
  <c r="J308" i="14"/>
  <c r="N308" i="14" s="1"/>
  <c r="J315" i="14"/>
  <c r="N315" i="14" s="1"/>
  <c r="H335" i="14"/>
  <c r="I335" i="14" s="1"/>
  <c r="L335" i="14" s="1"/>
  <c r="C43" i="20"/>
  <c r="H392" i="14"/>
  <c r="H238" i="14"/>
  <c r="I238" i="14" s="1"/>
  <c r="L238" i="14" s="1"/>
  <c r="H341" i="14"/>
  <c r="I341" i="14" s="1"/>
  <c r="L341" i="14" s="1"/>
  <c r="H376" i="14"/>
  <c r="H206" i="14"/>
  <c r="I206" i="14" s="1"/>
  <c r="L206" i="14" s="1"/>
  <c r="J285" i="14"/>
  <c r="N285" i="14" s="1"/>
  <c r="J316" i="14"/>
  <c r="N316" i="14" s="1"/>
  <c r="H294" i="14"/>
  <c r="I294" i="14" s="1"/>
  <c r="L294" i="14" s="1"/>
  <c r="H357" i="14"/>
  <c r="J211" i="14"/>
  <c r="N211" i="14" s="1"/>
  <c r="J259" i="14"/>
  <c r="N259" i="14" s="1"/>
  <c r="H13" i="14"/>
  <c r="H29" i="14"/>
  <c r="H45" i="14"/>
  <c r="J59" i="14"/>
  <c r="N59" i="14" s="1"/>
  <c r="J71" i="14"/>
  <c r="N71" i="14" s="1"/>
  <c r="H89" i="14"/>
  <c r="H101" i="14"/>
  <c r="H117" i="14"/>
  <c r="I117" i="14" s="1"/>
  <c r="L117" i="14" s="1"/>
  <c r="J127" i="14"/>
  <c r="N127" i="14" s="1"/>
  <c r="H141" i="14"/>
  <c r="I141" i="14" s="1"/>
  <c r="L141" i="14" s="1"/>
  <c r="H161" i="14"/>
  <c r="I161" i="14" s="1"/>
  <c r="L161" i="14" s="1"/>
  <c r="H187" i="14"/>
  <c r="I187" i="14" s="1"/>
  <c r="L187" i="14" s="1"/>
  <c r="J6" i="14"/>
  <c r="N6" i="14" s="1"/>
  <c r="J14" i="14"/>
  <c r="N14" i="14" s="1"/>
  <c r="J22" i="14"/>
  <c r="N22" i="14" s="1"/>
  <c r="J30" i="14"/>
  <c r="N30" i="14" s="1"/>
  <c r="H38" i="14"/>
  <c r="I38" i="14" s="1"/>
  <c r="L38" i="14" s="1"/>
  <c r="J50" i="14"/>
  <c r="N50" i="14" s="1"/>
  <c r="J62" i="14"/>
  <c r="N62" i="14" s="1"/>
  <c r="J76" i="14"/>
  <c r="N76" i="14" s="1"/>
  <c r="H86" i="14"/>
  <c r="I86" i="14" s="1"/>
  <c r="L86" i="14" s="1"/>
  <c r="H100" i="14"/>
  <c r="M100" i="14" s="1"/>
  <c r="J114" i="14"/>
  <c r="N114" i="14" s="1"/>
  <c r="J126" i="14"/>
  <c r="N126" i="14" s="1"/>
  <c r="J140" i="14"/>
  <c r="N140" i="14" s="1"/>
  <c r="H150" i="14"/>
  <c r="I150" i="14" s="1"/>
  <c r="L150" i="14" s="1"/>
  <c r="H164" i="14"/>
  <c r="I164" i="14" s="1"/>
  <c r="L164" i="14" s="1"/>
  <c r="H178" i="14"/>
  <c r="I178" i="14" s="1"/>
  <c r="L178" i="14" s="1"/>
  <c r="H190" i="14"/>
  <c r="I190" i="14" s="1"/>
  <c r="L190" i="14" s="1"/>
  <c r="H9" i="14"/>
  <c r="H31" i="14"/>
  <c r="H67" i="14"/>
  <c r="I67" i="14" s="1"/>
  <c r="L67" i="14" s="1"/>
  <c r="H111" i="14"/>
  <c r="H177" i="14"/>
  <c r="I177" i="14" s="1"/>
  <c r="L177" i="14" s="1"/>
  <c r="H167" i="14"/>
  <c r="I167" i="14" s="1"/>
  <c r="L167" i="14" s="1"/>
  <c r="H397" i="14"/>
  <c r="I397" i="14" s="1"/>
  <c r="L397" i="14" s="1"/>
  <c r="J310" i="14"/>
  <c r="N310" i="14" s="1"/>
  <c r="H219" i="14"/>
  <c r="I219" i="14" s="1"/>
  <c r="L219" i="14" s="1"/>
  <c r="J386" i="14"/>
  <c r="N386" i="14" s="1"/>
  <c r="H279" i="14"/>
  <c r="H217" i="14"/>
  <c r="J327" i="14"/>
  <c r="N327" i="14" s="1"/>
  <c r="H240" i="14"/>
  <c r="I240" i="14" s="1"/>
  <c r="L240" i="14" s="1"/>
  <c r="H257" i="14"/>
  <c r="I257" i="14" s="1"/>
  <c r="L257" i="14" s="1"/>
  <c r="J292" i="14"/>
  <c r="N292" i="14" s="1"/>
  <c r="J355" i="14"/>
  <c r="N355" i="14" s="1"/>
  <c r="H213" i="14"/>
  <c r="I213" i="14" s="1"/>
  <c r="L213" i="14" s="1"/>
  <c r="H248" i="14"/>
  <c r="J323" i="14"/>
  <c r="N323" i="14" s="1"/>
  <c r="H358" i="14"/>
  <c r="I358" i="14" s="1"/>
  <c r="L358" i="14" s="1"/>
  <c r="H216" i="14"/>
  <c r="I216" i="14" s="1"/>
  <c r="L216" i="14" s="1"/>
  <c r="J287" i="14"/>
  <c r="N287" i="14" s="1"/>
  <c r="H378" i="14"/>
  <c r="I378" i="14" s="1"/>
  <c r="L378" i="14" s="1"/>
  <c r="J319" i="14"/>
  <c r="N319" i="14" s="1"/>
  <c r="H273" i="14"/>
  <c r="C42" i="20"/>
  <c r="C45" i="20"/>
  <c r="C23" i="20"/>
  <c r="AG2" i="23"/>
  <c r="AG34" i="23"/>
  <c r="AG105" i="23"/>
  <c r="AG112" i="23"/>
  <c r="AG95" i="23"/>
  <c r="AG102" i="23"/>
  <c r="AG109" i="23"/>
  <c r="AG116" i="23"/>
  <c r="AG123" i="23"/>
  <c r="C72" i="20"/>
  <c r="C52" i="20"/>
  <c r="C30" i="20"/>
  <c r="AG106" i="23"/>
  <c r="AG97" i="23"/>
  <c r="AG33" i="23"/>
  <c r="AG104" i="23"/>
  <c r="AG87" i="23"/>
  <c r="AG94" i="23"/>
  <c r="AG101" i="23"/>
  <c r="AG108" i="23"/>
  <c r="AG115" i="23"/>
  <c r="J77" i="14"/>
  <c r="N77" i="14" s="1"/>
  <c r="J93" i="14"/>
  <c r="N93" i="14" s="1"/>
  <c r="H115" i="14"/>
  <c r="I115" i="14" s="1"/>
  <c r="L115" i="14" s="1"/>
  <c r="J147" i="14"/>
  <c r="N147" i="14" s="1"/>
  <c r="J171" i="14"/>
  <c r="N171" i="14" s="1"/>
  <c r="J105" i="14"/>
  <c r="N105" i="14" s="1"/>
  <c r="J153" i="14"/>
  <c r="N153" i="14" s="1"/>
  <c r="J181" i="14"/>
  <c r="N181" i="14" s="1"/>
  <c r="H301" i="14"/>
  <c r="J374" i="14"/>
  <c r="N374" i="14" s="1"/>
  <c r="J246" i="14"/>
  <c r="N246" i="14" s="1"/>
  <c r="H315" i="14"/>
  <c r="I315" i="14" s="1"/>
  <c r="L315" i="14" s="1"/>
  <c r="H388" i="14"/>
  <c r="J260" i="14"/>
  <c r="N260" i="14" s="1"/>
  <c r="J281" i="14"/>
  <c r="N281" i="14" s="1"/>
  <c r="J354" i="14"/>
  <c r="N354" i="14" s="1"/>
  <c r="J226" i="14"/>
  <c r="N226" i="14" s="1"/>
  <c r="H295" i="14"/>
  <c r="I295" i="14" s="1"/>
  <c r="L295" i="14" s="1"/>
  <c r="H368" i="14"/>
  <c r="J240" i="14"/>
  <c r="N240" i="14" s="1"/>
  <c r="H377" i="14"/>
  <c r="I377" i="14" s="1"/>
  <c r="L377" i="14" s="1"/>
  <c r="H249" i="14"/>
  <c r="I249" i="14" s="1"/>
  <c r="L249" i="14" s="1"/>
  <c r="H322" i="14"/>
  <c r="I322" i="14" s="1"/>
  <c r="L322" i="14" s="1"/>
  <c r="J391" i="14"/>
  <c r="N391" i="14" s="1"/>
  <c r="J263" i="14"/>
  <c r="N263" i="14" s="1"/>
  <c r="J336" i="14"/>
  <c r="N336" i="14" s="1"/>
  <c r="H208" i="14"/>
  <c r="H385" i="14"/>
  <c r="H350" i="14"/>
  <c r="I350" i="14" s="1"/>
  <c r="L350" i="14" s="1"/>
  <c r="J347" i="14"/>
  <c r="N347" i="14" s="1"/>
  <c r="H316" i="14"/>
  <c r="I316" i="14" s="1"/>
  <c r="L316" i="14" s="1"/>
  <c r="H321" i="14"/>
  <c r="I321" i="14" s="1"/>
  <c r="L321" i="14" s="1"/>
  <c r="J314" i="14"/>
  <c r="N314" i="14" s="1"/>
  <c r="H307" i="14"/>
  <c r="I307" i="14" s="1"/>
  <c r="L307" i="14" s="1"/>
  <c r="J300" i="14"/>
  <c r="N300" i="14" s="1"/>
  <c r="J317" i="14"/>
  <c r="N317" i="14" s="1"/>
  <c r="H314" i="14"/>
  <c r="H303" i="14"/>
  <c r="I303" i="14" s="1"/>
  <c r="L303" i="14" s="1"/>
  <c r="H276" i="14"/>
  <c r="I276" i="14" s="1"/>
  <c r="L276" i="14" s="1"/>
  <c r="H289" i="14"/>
  <c r="I289" i="14" s="1"/>
  <c r="L289" i="14" s="1"/>
  <c r="J282" i="14"/>
  <c r="N282" i="14" s="1"/>
  <c r="H275" i="14"/>
  <c r="I275" i="14" s="1"/>
  <c r="L275" i="14" s="1"/>
  <c r="H268" i="14"/>
  <c r="I268" i="14" s="1"/>
  <c r="L268" i="14" s="1"/>
  <c r="J257" i="14"/>
  <c r="N257" i="14" s="1"/>
  <c r="H254" i="14"/>
  <c r="I254" i="14" s="1"/>
  <c r="L254" i="14" s="1"/>
  <c r="J243" i="14"/>
  <c r="N243" i="14" s="1"/>
  <c r="H244" i="14"/>
  <c r="I244" i="14" s="1"/>
  <c r="L244" i="14" s="1"/>
  <c r="J367" i="14"/>
  <c r="N367" i="14" s="1"/>
  <c r="J293" i="14"/>
  <c r="N293" i="14" s="1"/>
  <c r="J340" i="14"/>
  <c r="N340" i="14" s="1"/>
  <c r="H218" i="14"/>
  <c r="J291" i="14"/>
  <c r="N291" i="14" s="1"/>
  <c r="J307" i="14"/>
  <c r="N307" i="14" s="1"/>
  <c r="J239" i="14"/>
  <c r="N239" i="14" s="1"/>
  <c r="J266" i="14"/>
  <c r="N266" i="14" s="1"/>
  <c r="J380" i="14"/>
  <c r="N380" i="14" s="1"/>
  <c r="J273" i="14"/>
  <c r="N273" i="14" s="1"/>
  <c r="J325" i="14"/>
  <c r="N325" i="14" s="1"/>
  <c r="H398" i="14"/>
  <c r="J400" i="14"/>
  <c r="N400" i="14" s="1"/>
  <c r="C8" i="20"/>
  <c r="C64" i="20"/>
  <c r="C49" i="20"/>
  <c r="C34" i="20"/>
  <c r="C19" i="20"/>
  <c r="C4" i="20"/>
  <c r="C66" i="20"/>
  <c r="C44" i="20"/>
  <c r="AG88" i="23"/>
  <c r="AG71" i="23"/>
  <c r="AG85" i="23"/>
  <c r="AG92" i="23"/>
  <c r="AG99" i="23"/>
  <c r="C10" i="20"/>
  <c r="C2" i="20"/>
  <c r="C51" i="20"/>
  <c r="AG90" i="23"/>
  <c r="AG73" i="23"/>
  <c r="AG119" i="23"/>
  <c r="AG70" i="23"/>
  <c r="AG84" i="23"/>
  <c r="AG91" i="23"/>
  <c r="J305" i="14"/>
  <c r="N305" i="14" s="1"/>
  <c r="J302" i="14"/>
  <c r="N302" i="14" s="1"/>
  <c r="H271" i="14"/>
  <c r="I271" i="14" s="1"/>
  <c r="L271" i="14" s="1"/>
  <c r="H264" i="14"/>
  <c r="I264" i="14" s="1"/>
  <c r="L264" i="14" s="1"/>
  <c r="J269" i="14"/>
  <c r="N269" i="14" s="1"/>
  <c r="H266" i="14"/>
  <c r="J255" i="14"/>
  <c r="N255" i="14" s="1"/>
  <c r="J252" i="14"/>
  <c r="N252" i="14" s="1"/>
  <c r="J261" i="14"/>
  <c r="N261" i="14" s="1"/>
  <c r="H262" i="14"/>
  <c r="I262" i="14" s="1"/>
  <c r="L262" i="14" s="1"/>
  <c r="H255" i="14"/>
  <c r="I255" i="14" s="1"/>
  <c r="L255" i="14" s="1"/>
  <c r="H220" i="14"/>
  <c r="J237" i="14"/>
  <c r="N237" i="14" s="1"/>
  <c r="H234" i="14"/>
  <c r="H223" i="14"/>
  <c r="J220" i="14"/>
  <c r="N220" i="14" s="1"/>
  <c r="H209" i="14"/>
  <c r="I209" i="14" s="1"/>
  <c r="L209" i="14" s="1"/>
  <c r="J202" i="14"/>
  <c r="N202" i="14" s="1"/>
  <c r="H396" i="14"/>
  <c r="I396" i="14" s="1"/>
  <c r="L396" i="14" s="1"/>
  <c r="J373" i="14"/>
  <c r="N373" i="14" s="1"/>
  <c r="J235" i="14"/>
  <c r="N235" i="14" s="1"/>
  <c r="J350" i="14"/>
  <c r="N350" i="14" s="1"/>
  <c r="H204" i="14"/>
  <c r="J267" i="14"/>
  <c r="N267" i="14" s="1"/>
  <c r="J321" i="14"/>
  <c r="N321" i="14" s="1"/>
  <c r="H364" i="14"/>
  <c r="J225" i="14"/>
  <c r="N225" i="14" s="1"/>
  <c r="J388" i="14"/>
  <c r="N388" i="14" s="1"/>
  <c r="J301" i="14"/>
  <c r="N301" i="14" s="1"/>
  <c r="J395" i="14"/>
  <c r="N395" i="14" s="1"/>
  <c r="J387" i="14"/>
  <c r="N387" i="14" s="1"/>
  <c r="H399" i="14"/>
  <c r="I399" i="14" s="1"/>
  <c r="L399" i="14" s="1"/>
  <c r="C22" i="20"/>
  <c r="C7" i="20"/>
  <c r="C63" i="20"/>
  <c r="C48" i="20"/>
  <c r="C33" i="20"/>
  <c r="C18" i="20"/>
  <c r="C32" i="20"/>
  <c r="C17" i="20"/>
  <c r="C24" i="20"/>
  <c r="C9" i="20"/>
  <c r="C58" i="20"/>
  <c r="AG129" i="23"/>
  <c r="AG98" i="23"/>
  <c r="AG72" i="23"/>
  <c r="AG126" i="23"/>
  <c r="AG127" i="23"/>
  <c r="AG83" i="23"/>
  <c r="Z27" i="2"/>
  <c r="D39" i="26"/>
  <c r="Z2" i="2"/>
  <c r="Z17" i="2"/>
  <c r="Z7" i="2"/>
  <c r="Z37" i="2"/>
  <c r="AA86" i="2"/>
  <c r="AA19" i="2"/>
  <c r="U7" i="31" s="1"/>
  <c r="AA6" i="2"/>
  <c r="Z34" i="2"/>
  <c r="AA34" i="2"/>
  <c r="U23" i="31" s="1"/>
  <c r="E37" i="26"/>
  <c r="P14" i="9"/>
  <c r="B11" i="15"/>
  <c r="V10" i="31" l="1"/>
  <c r="V3" i="31"/>
  <c r="P22" i="9"/>
  <c r="U3" i="31"/>
  <c r="U10" i="31"/>
  <c r="V2" i="31"/>
  <c r="P12" i="9"/>
  <c r="U2" i="31"/>
  <c r="G56" i="26"/>
  <c r="G58" i="26" s="1"/>
  <c r="L4" i="14"/>
  <c r="F56" i="26"/>
  <c r="F58" i="26" s="1"/>
  <c r="L8" i="14"/>
  <c r="L6" i="14"/>
  <c r="L10" i="14"/>
  <c r="L7" i="14"/>
  <c r="E56" i="26"/>
  <c r="E58" i="26" s="1"/>
  <c r="D56" i="26"/>
  <c r="D58" i="26" s="1"/>
  <c r="C56" i="26"/>
  <c r="C58" i="26" s="1"/>
  <c r="H56" i="26"/>
  <c r="H58" i="26" s="1"/>
  <c r="M7" i="14"/>
  <c r="M226" i="14"/>
  <c r="M391" i="14"/>
  <c r="M375" i="14"/>
  <c r="M41" i="14"/>
  <c r="M363" i="14"/>
  <c r="I65" i="14"/>
  <c r="L65" i="14" s="1"/>
  <c r="M146" i="14"/>
  <c r="M118" i="14"/>
  <c r="M26" i="14"/>
  <c r="M243" i="14"/>
  <c r="M57" i="14"/>
  <c r="M12" i="14"/>
  <c r="M85" i="14"/>
  <c r="M172" i="14"/>
  <c r="M127" i="14"/>
  <c r="M147" i="14"/>
  <c r="I68" i="14"/>
  <c r="L68" i="14" s="1"/>
  <c r="M182" i="14"/>
  <c r="M44" i="14"/>
  <c r="M196" i="14"/>
  <c r="H9" i="26"/>
  <c r="H25" i="26"/>
  <c r="M197" i="14"/>
  <c r="M331" i="14"/>
  <c r="P11" i="9"/>
  <c r="P20" i="9"/>
  <c r="P19" i="9"/>
  <c r="M342" i="14"/>
  <c r="I124" i="14"/>
  <c r="L124" i="14" s="1"/>
  <c r="M298" i="14"/>
  <c r="M14" i="14"/>
  <c r="M163" i="14"/>
  <c r="M361" i="14"/>
  <c r="M382" i="14"/>
  <c r="M21" i="14"/>
  <c r="M25" i="14"/>
  <c r="M165" i="14"/>
  <c r="M109" i="14"/>
  <c r="M54" i="14"/>
  <c r="M336" i="14"/>
  <c r="M4" i="14"/>
  <c r="M313" i="14"/>
  <c r="M310" i="14"/>
  <c r="M95" i="14"/>
  <c r="M113" i="14"/>
  <c r="I132" i="14"/>
  <c r="L132" i="14" s="1"/>
  <c r="M198" i="14"/>
  <c r="M158" i="14"/>
  <c r="M253" i="14"/>
  <c r="M23" i="14"/>
  <c r="M133" i="14"/>
  <c r="M173" i="14"/>
  <c r="M304" i="14"/>
  <c r="M252" i="14"/>
  <c r="M232" i="14"/>
  <c r="M28" i="14"/>
  <c r="M94" i="14"/>
  <c r="M18" i="14"/>
  <c r="M155" i="14"/>
  <c r="M227" i="14"/>
  <c r="M318" i="14"/>
  <c r="M222" i="14"/>
  <c r="M341" i="14"/>
  <c r="M62" i="14"/>
  <c r="M66" i="14"/>
  <c r="M254" i="14"/>
  <c r="M33" i="14"/>
  <c r="M194" i="14"/>
  <c r="M235" i="14"/>
  <c r="M307" i="14"/>
  <c r="M171" i="14"/>
  <c r="M63" i="14"/>
  <c r="M83" i="14"/>
  <c r="M51" i="14"/>
  <c r="I58" i="14"/>
  <c r="L58" i="14" s="1"/>
  <c r="M115" i="14"/>
  <c r="M145" i="14"/>
  <c r="M69" i="14"/>
  <c r="M365" i="14"/>
  <c r="M213" i="14"/>
  <c r="I36" i="14"/>
  <c r="L36" i="14" s="1"/>
  <c r="M372" i="14"/>
  <c r="M221" i="14"/>
  <c r="M22" i="14"/>
  <c r="M71" i="14"/>
  <c r="M37" i="14"/>
  <c r="M10" i="14"/>
  <c r="M153" i="14"/>
  <c r="M185" i="14"/>
  <c r="M148" i="14"/>
  <c r="M50" i="14"/>
  <c r="M157" i="14"/>
  <c r="M356" i="14"/>
  <c r="M251" i="14"/>
  <c r="I97" i="14"/>
  <c r="L97" i="14" s="1"/>
  <c r="M110" i="14"/>
  <c r="M306" i="14"/>
  <c r="M210" i="14"/>
  <c r="M265" i="14"/>
  <c r="M274" i="14"/>
  <c r="M294" i="14"/>
  <c r="M187" i="14"/>
  <c r="M377" i="14"/>
  <c r="M276" i="14"/>
  <c r="M11" i="14"/>
  <c r="I116" i="14"/>
  <c r="L116" i="14" s="1"/>
  <c r="M349" i="14"/>
  <c r="M328" i="14"/>
  <c r="M117" i="14"/>
  <c r="I56" i="14"/>
  <c r="L56" i="14" s="1"/>
  <c r="M242" i="14"/>
  <c r="M264" i="14"/>
  <c r="M207" i="14"/>
  <c r="M250" i="14"/>
  <c r="M82" i="14"/>
  <c r="M393" i="14"/>
  <c r="M268" i="14"/>
  <c r="M316" i="14"/>
  <c r="I9" i="14"/>
  <c r="L9" i="14" s="1"/>
  <c r="M9" i="14"/>
  <c r="I3" i="14"/>
  <c r="L3" i="14" s="1"/>
  <c r="M3" i="14"/>
  <c r="M112" i="14"/>
  <c r="I112" i="14"/>
  <c r="L112" i="14" s="1"/>
  <c r="I74" i="14"/>
  <c r="L74" i="14" s="1"/>
  <c r="M74" i="14"/>
  <c r="M390" i="14"/>
  <c r="I390" i="14"/>
  <c r="L390" i="14" s="1"/>
  <c r="M89" i="14"/>
  <c r="I89" i="14"/>
  <c r="L89" i="14" s="1"/>
  <c r="I19" i="14"/>
  <c r="L19" i="14" s="1"/>
  <c r="M19" i="14"/>
  <c r="I352" i="14"/>
  <c r="L352" i="14" s="1"/>
  <c r="M352" i="14"/>
  <c r="I233" i="14"/>
  <c r="L233" i="14" s="1"/>
  <c r="M233" i="14"/>
  <c r="I317" i="14"/>
  <c r="L317" i="14" s="1"/>
  <c r="M317" i="14"/>
  <c r="M60" i="14"/>
  <c r="I60" i="14"/>
  <c r="L60" i="14" s="1"/>
  <c r="I126" i="14"/>
  <c r="L126" i="14" s="1"/>
  <c r="M126" i="14"/>
  <c r="M53" i="14"/>
  <c r="M93" i="14"/>
  <c r="M339" i="14"/>
  <c r="M364" i="14"/>
  <c r="I364" i="14"/>
  <c r="L364" i="14" s="1"/>
  <c r="I301" i="14"/>
  <c r="L301" i="14" s="1"/>
  <c r="M301" i="14"/>
  <c r="I357" i="14"/>
  <c r="L357" i="14" s="1"/>
  <c r="M357" i="14"/>
  <c r="I392" i="14"/>
  <c r="L392" i="14" s="1"/>
  <c r="M392" i="14"/>
  <c r="M48" i="14"/>
  <c r="I48" i="14"/>
  <c r="L48" i="14" s="1"/>
  <c r="I195" i="14"/>
  <c r="L195" i="14" s="1"/>
  <c r="M195" i="14"/>
  <c r="I312" i="14"/>
  <c r="L312" i="14" s="1"/>
  <c r="M312" i="14"/>
  <c r="I309" i="14"/>
  <c r="L309" i="14" s="1"/>
  <c r="M309" i="14"/>
  <c r="I374" i="14"/>
  <c r="L374" i="14" s="1"/>
  <c r="M374" i="14"/>
  <c r="M84" i="14"/>
  <c r="I84" i="14"/>
  <c r="L84" i="14" s="1"/>
  <c r="M343" i="14"/>
  <c r="M73" i="14"/>
  <c r="M166" i="14"/>
  <c r="M290" i="14"/>
  <c r="M378" i="14"/>
  <c r="M55" i="14"/>
  <c r="M43" i="14"/>
  <c r="M190" i="14"/>
  <c r="M169" i="14"/>
  <c r="M39" i="14"/>
  <c r="I49" i="14"/>
  <c r="L49" i="14" s="1"/>
  <c r="M16" i="14"/>
  <c r="M288" i="14"/>
  <c r="M107" i="14"/>
  <c r="M178" i="14"/>
  <c r="I120" i="14"/>
  <c r="L120" i="14" s="1"/>
  <c r="M103" i="14"/>
  <c r="M181" i="14"/>
  <c r="M186" i="14"/>
  <c r="M230" i="14"/>
  <c r="M329" i="14"/>
  <c r="M240" i="14"/>
  <c r="M289" i="14"/>
  <c r="M351" i="14"/>
  <c r="M282" i="14"/>
  <c r="M399" i="14"/>
  <c r="M332" i="14"/>
  <c r="M162" i="14"/>
  <c r="I81" i="14"/>
  <c r="L81" i="14" s="1"/>
  <c r="M150" i="14"/>
  <c r="M141" i="14"/>
  <c r="M32" i="14"/>
  <c r="M151" i="14"/>
  <c r="M189" i="14"/>
  <c r="M283" i="14"/>
  <c r="M292" i="14"/>
  <c r="M205" i="14"/>
  <c r="M335" i="14"/>
  <c r="M92" i="14"/>
  <c r="M129" i="14"/>
  <c r="M102" i="14"/>
  <c r="M170" i="14"/>
  <c r="M52" i="14"/>
  <c r="M86" i="14"/>
  <c r="M20" i="14"/>
  <c r="M75" i="14"/>
  <c r="M159" i="14"/>
  <c r="M281" i="14"/>
  <c r="M321" i="14"/>
  <c r="M389" i="14"/>
  <c r="M259" i="14"/>
  <c r="M325" i="14"/>
  <c r="I273" i="14"/>
  <c r="L273" i="14" s="1"/>
  <c r="M273" i="14"/>
  <c r="I31" i="14"/>
  <c r="L31" i="14" s="1"/>
  <c r="M31" i="14"/>
  <c r="M101" i="14"/>
  <c r="I101" i="14"/>
  <c r="L101" i="14" s="1"/>
  <c r="I105" i="14"/>
  <c r="L105" i="14" s="1"/>
  <c r="M105" i="14"/>
  <c r="I40" i="14"/>
  <c r="L40" i="14" s="1"/>
  <c r="M40" i="14"/>
  <c r="I311" i="14"/>
  <c r="L311" i="14" s="1"/>
  <c r="M311" i="14"/>
  <c r="I130" i="14"/>
  <c r="L130" i="14" s="1"/>
  <c r="M130" i="14"/>
  <c r="I308" i="14"/>
  <c r="L308" i="14" s="1"/>
  <c r="M308" i="14"/>
  <c r="I203" i="14"/>
  <c r="L203" i="14" s="1"/>
  <c r="M203" i="14"/>
  <c r="I212" i="14"/>
  <c r="L212" i="14" s="1"/>
  <c r="M212" i="14"/>
  <c r="I123" i="14"/>
  <c r="L123" i="14" s="1"/>
  <c r="M123" i="14"/>
  <c r="I76" i="14"/>
  <c r="L76" i="14" s="1"/>
  <c r="M76" i="14"/>
  <c r="M174" i="14"/>
  <c r="M299" i="14"/>
  <c r="M338" i="14"/>
  <c r="M249" i="14"/>
  <c r="M380" i="14"/>
  <c r="M38" i="14"/>
  <c r="M154" i="14"/>
  <c r="M98" i="14"/>
  <c r="M91" i="14"/>
  <c r="M8" i="14"/>
  <c r="M104" i="14"/>
  <c r="M258" i="14"/>
  <c r="M370" i="14"/>
  <c r="I215" i="14"/>
  <c r="L215" i="14" s="1"/>
  <c r="I142" i="14"/>
  <c r="L142" i="14" s="1"/>
  <c r="M142" i="14"/>
  <c r="I355" i="14"/>
  <c r="L355" i="14" s="1"/>
  <c r="M355" i="14"/>
  <c r="I46" i="14"/>
  <c r="L46" i="14" s="1"/>
  <c r="M46" i="14"/>
  <c r="I202" i="14"/>
  <c r="L202" i="14" s="1"/>
  <c r="M202" i="14"/>
  <c r="I27" i="14"/>
  <c r="L27" i="14" s="1"/>
  <c r="M27" i="14"/>
  <c r="M275" i="14"/>
  <c r="M400" i="14"/>
  <c r="I400" i="14"/>
  <c r="L400" i="14" s="1"/>
  <c r="M300" i="14"/>
  <c r="M238" i="14"/>
  <c r="M287" i="14"/>
  <c r="I234" i="14"/>
  <c r="L234" i="14" s="1"/>
  <c r="M234" i="14"/>
  <c r="I266" i="14"/>
  <c r="L266" i="14" s="1"/>
  <c r="M266" i="14"/>
  <c r="I388" i="14"/>
  <c r="L388" i="14" s="1"/>
  <c r="M388" i="14"/>
  <c r="I29" i="14"/>
  <c r="L29" i="14" s="1"/>
  <c r="M29" i="14"/>
  <c r="I224" i="14"/>
  <c r="L224" i="14" s="1"/>
  <c r="M224" i="14"/>
  <c r="I366" i="14"/>
  <c r="L366" i="14" s="1"/>
  <c r="M366" i="14"/>
  <c r="I106" i="14"/>
  <c r="L106" i="14" s="1"/>
  <c r="M106" i="14"/>
  <c r="I359" i="14"/>
  <c r="L359" i="14" s="1"/>
  <c r="M359" i="14"/>
  <c r="I319" i="14"/>
  <c r="L319" i="14" s="1"/>
  <c r="M319" i="14"/>
  <c r="M108" i="14"/>
  <c r="I108" i="14"/>
  <c r="L108" i="14" s="1"/>
  <c r="P17" i="9"/>
  <c r="M384" i="14"/>
  <c r="I384" i="14"/>
  <c r="L384" i="14" s="1"/>
  <c r="M136" i="14"/>
  <c r="I136" i="14"/>
  <c r="L136" i="14" s="1"/>
  <c r="I381" i="14"/>
  <c r="L381" i="14" s="1"/>
  <c r="M381" i="14"/>
  <c r="M216" i="14"/>
  <c r="M383" i="14"/>
  <c r="M284" i="14"/>
  <c r="I278" i="14"/>
  <c r="L278" i="14" s="1"/>
  <c r="M278" i="14"/>
  <c r="I269" i="14"/>
  <c r="L269" i="14" s="1"/>
  <c r="M269" i="14"/>
  <c r="I78" i="14"/>
  <c r="L78" i="14" s="1"/>
  <c r="M78" i="14"/>
  <c r="I345" i="14"/>
  <c r="L345" i="14" s="1"/>
  <c r="M345" i="14"/>
  <c r="I175" i="14"/>
  <c r="L175" i="14" s="1"/>
  <c r="M175" i="14"/>
  <c r="I114" i="14"/>
  <c r="L114" i="14" s="1"/>
  <c r="M114" i="14"/>
  <c r="M297" i="14"/>
  <c r="I297" i="14"/>
  <c r="L297" i="14" s="1"/>
  <c r="I394" i="14"/>
  <c r="L394" i="14" s="1"/>
  <c r="M394" i="14"/>
  <c r="I277" i="14"/>
  <c r="L277" i="14" s="1"/>
  <c r="M277" i="14"/>
  <c r="I149" i="14"/>
  <c r="L149" i="14" s="1"/>
  <c r="M149" i="14"/>
  <c r="I179" i="14"/>
  <c r="L179" i="14" s="1"/>
  <c r="M179" i="14"/>
  <c r="I30" i="14"/>
  <c r="L30" i="14" s="1"/>
  <c r="M30" i="14"/>
  <c r="I280" i="14"/>
  <c r="L280" i="14" s="1"/>
  <c r="M280" i="14"/>
  <c r="I9" i="8"/>
  <c r="L9" i="8" s="1"/>
  <c r="K9" i="8" s="1"/>
  <c r="I285" i="14"/>
  <c r="L285" i="14" s="1"/>
  <c r="M285" i="14"/>
  <c r="M168" i="14"/>
  <c r="M34" i="14"/>
  <c r="M156" i="14"/>
  <c r="M131" i="14"/>
  <c r="M396" i="14"/>
  <c r="I220" i="14"/>
  <c r="L220" i="14" s="1"/>
  <c r="M220" i="14"/>
  <c r="I368" i="14"/>
  <c r="L368" i="14" s="1"/>
  <c r="M368" i="14"/>
  <c r="I248" i="14"/>
  <c r="L248" i="14" s="1"/>
  <c r="M248" i="14"/>
  <c r="I279" i="14"/>
  <c r="L279" i="14" s="1"/>
  <c r="M279" i="14"/>
  <c r="I47" i="14"/>
  <c r="L47" i="14" s="1"/>
  <c r="M47" i="14"/>
  <c r="I17" i="14"/>
  <c r="L17" i="14" s="1"/>
  <c r="M17" i="14"/>
  <c r="I360" i="14"/>
  <c r="L360" i="14" s="1"/>
  <c r="M360" i="14"/>
  <c r="I354" i="14"/>
  <c r="L354" i="14" s="1"/>
  <c r="M354" i="14"/>
  <c r="I139" i="14"/>
  <c r="L139" i="14" s="1"/>
  <c r="M139" i="14"/>
  <c r="I324" i="14"/>
  <c r="L324" i="14" s="1"/>
  <c r="M324" i="14"/>
  <c r="I125" i="14"/>
  <c r="L125" i="14" s="1"/>
  <c r="M125" i="14"/>
  <c r="I59" i="14"/>
  <c r="L59" i="14" s="1"/>
  <c r="M59" i="14"/>
  <c r="I134" i="14"/>
  <c r="L134" i="14" s="1"/>
  <c r="M134" i="14"/>
  <c r="I200" i="14"/>
  <c r="L200" i="14" s="1"/>
  <c r="M200" i="14"/>
  <c r="M191" i="14"/>
  <c r="I100" i="14"/>
  <c r="L100" i="14" s="1"/>
  <c r="M180" i="14"/>
  <c r="M219" i="14"/>
  <c r="M286" i="14"/>
  <c r="M305" i="14"/>
  <c r="M260" i="14"/>
  <c r="M137" i="14"/>
  <c r="M6" i="14"/>
  <c r="M135" i="14"/>
  <c r="M184" i="14"/>
  <c r="M199" i="14"/>
  <c r="M209" i="14"/>
  <c r="I314" i="14"/>
  <c r="L314" i="14" s="1"/>
  <c r="M314" i="14"/>
  <c r="I379" i="14"/>
  <c r="L379" i="14" s="1"/>
  <c r="M379" i="14"/>
  <c r="I302" i="14"/>
  <c r="L302" i="14" s="1"/>
  <c r="M302" i="14"/>
  <c r="I192" i="14"/>
  <c r="L192" i="14" s="1"/>
  <c r="M192" i="14"/>
  <c r="M80" i="14"/>
  <c r="I80" i="14"/>
  <c r="L80" i="14" s="1"/>
  <c r="I323" i="14"/>
  <c r="L323" i="14" s="1"/>
  <c r="M323" i="14"/>
  <c r="I42" i="14"/>
  <c r="L42" i="14" s="1"/>
  <c r="M42" i="14"/>
  <c r="I320" i="14"/>
  <c r="L320" i="14" s="1"/>
  <c r="M320" i="14"/>
  <c r="I237" i="14"/>
  <c r="L237" i="14" s="1"/>
  <c r="M237" i="14"/>
  <c r="I256" i="14"/>
  <c r="L256" i="14" s="1"/>
  <c r="M256" i="14"/>
  <c r="I225" i="14"/>
  <c r="L225" i="14" s="1"/>
  <c r="M225" i="14"/>
  <c r="I334" i="14"/>
  <c r="L334" i="14" s="1"/>
  <c r="M334" i="14"/>
  <c r="I79" i="14"/>
  <c r="L79" i="14" s="1"/>
  <c r="M79" i="14"/>
  <c r="I272" i="14"/>
  <c r="L272" i="14" s="1"/>
  <c r="M272" i="14"/>
  <c r="I5" i="14"/>
  <c r="L5" i="14" s="1"/>
  <c r="M5" i="14"/>
  <c r="I385" i="14"/>
  <c r="L385" i="14" s="1"/>
  <c r="M385" i="14"/>
  <c r="I13" i="14"/>
  <c r="L13" i="14" s="1"/>
  <c r="M13" i="14"/>
  <c r="I376" i="14"/>
  <c r="L376" i="14" s="1"/>
  <c r="M376" i="14"/>
  <c r="I241" i="14"/>
  <c r="L241" i="14" s="1"/>
  <c r="M241" i="14"/>
  <c r="I99" i="14"/>
  <c r="L99" i="14" s="1"/>
  <c r="M99" i="14"/>
  <c r="I395" i="14"/>
  <c r="L395" i="14" s="1"/>
  <c r="M395" i="14"/>
  <c r="I330" i="14"/>
  <c r="L330" i="14" s="1"/>
  <c r="M330" i="14"/>
  <c r="I217" i="14"/>
  <c r="L217" i="14" s="1"/>
  <c r="M217" i="14"/>
  <c r="I398" i="14"/>
  <c r="L398" i="14" s="1"/>
  <c r="M398" i="14"/>
  <c r="I183" i="14"/>
  <c r="L183" i="14" s="1"/>
  <c r="M183" i="14"/>
  <c r="I293" i="14"/>
  <c r="L293" i="14" s="1"/>
  <c r="M293" i="14"/>
  <c r="I160" i="14"/>
  <c r="L160" i="14" s="1"/>
  <c r="M160" i="14"/>
  <c r="I122" i="14"/>
  <c r="L122" i="14" s="1"/>
  <c r="M122" i="14"/>
  <c r="I367" i="14"/>
  <c r="L367" i="14" s="1"/>
  <c r="M367" i="14"/>
  <c r="I267" i="14"/>
  <c r="L267" i="14" s="1"/>
  <c r="M267" i="14"/>
  <c r="I111" i="14"/>
  <c r="L111" i="14" s="1"/>
  <c r="M111" i="14"/>
  <c r="I96" i="14"/>
  <c r="L96" i="14" s="1"/>
  <c r="M96" i="14"/>
  <c r="M67" i="14"/>
  <c r="M35" i="14"/>
  <c r="M164" i="14"/>
  <c r="M167" i="14"/>
  <c r="M322" i="14"/>
  <c r="M303" i="14"/>
  <c r="M236" i="14"/>
  <c r="M244" i="14"/>
  <c r="M257" i="14"/>
  <c r="M296" i="14"/>
  <c r="I371" i="14"/>
  <c r="L371" i="14" s="1"/>
  <c r="M387" i="14"/>
  <c r="I218" i="14"/>
  <c r="L218" i="14" s="1"/>
  <c r="M218" i="14"/>
  <c r="I208" i="14"/>
  <c r="L208" i="14" s="1"/>
  <c r="M208" i="14"/>
  <c r="I144" i="14"/>
  <c r="L144" i="14" s="1"/>
  <c r="M144" i="14"/>
  <c r="M143" i="14"/>
  <c r="M61" i="14"/>
  <c r="I88" i="14"/>
  <c r="L88" i="14" s="1"/>
  <c r="M340" i="14"/>
  <c r="M247" i="14"/>
  <c r="M397" i="14"/>
  <c r="M344" i="14"/>
  <c r="M291" i="14"/>
  <c r="M270" i="14"/>
  <c r="M358" i="14"/>
  <c r="M206" i="14"/>
  <c r="M64" i="14"/>
  <c r="M161" i="14"/>
  <c r="M152" i="14"/>
  <c r="M177" i="14"/>
  <c r="M315" i="14"/>
  <c r="M347" i="14"/>
  <c r="M201" i="14"/>
  <c r="M261" i="14"/>
  <c r="M211" i="14"/>
  <c r="M350" i="14"/>
  <c r="M373" i="14"/>
  <c r="I24" i="14"/>
  <c r="L24" i="14" s="1"/>
  <c r="M24" i="14"/>
  <c r="I176" i="14"/>
  <c r="L176" i="14" s="1"/>
  <c r="M176" i="14"/>
  <c r="I87" i="14"/>
  <c r="L87" i="14" s="1"/>
  <c r="M87" i="14"/>
  <c r="I327" i="14"/>
  <c r="L327" i="14" s="1"/>
  <c r="M327" i="14"/>
  <c r="I326" i="14"/>
  <c r="L326" i="14" s="1"/>
  <c r="M326" i="14"/>
  <c r="I128" i="14"/>
  <c r="L128" i="14" s="1"/>
  <c r="M128" i="14"/>
  <c r="I90" i="14"/>
  <c r="L90" i="14" s="1"/>
  <c r="M90" i="14"/>
  <c r="I229" i="14"/>
  <c r="L229" i="14" s="1"/>
  <c r="M229" i="14"/>
  <c r="M369" i="14"/>
  <c r="I369" i="14"/>
  <c r="L369" i="14" s="1"/>
  <c r="I346" i="14"/>
  <c r="L346" i="14" s="1"/>
  <c r="M346" i="14"/>
  <c r="I231" i="14"/>
  <c r="L231" i="14" s="1"/>
  <c r="M231" i="14"/>
  <c r="I337" i="14"/>
  <c r="L337" i="14" s="1"/>
  <c r="M337" i="14"/>
  <c r="I140" i="14"/>
  <c r="L140" i="14" s="1"/>
  <c r="M140" i="14"/>
  <c r="I204" i="14"/>
  <c r="L204" i="14" s="1"/>
  <c r="M204" i="14"/>
  <c r="I223" i="14"/>
  <c r="L223" i="14" s="1"/>
  <c r="M223" i="14"/>
  <c r="I45" i="14"/>
  <c r="L45" i="14" s="1"/>
  <c r="M45" i="14"/>
  <c r="I15" i="14"/>
  <c r="L15" i="14" s="1"/>
  <c r="M15" i="14"/>
  <c r="I72" i="14"/>
  <c r="L72" i="14" s="1"/>
  <c r="M72" i="14"/>
  <c r="I386" i="14"/>
  <c r="L386" i="14" s="1"/>
  <c r="M386" i="14"/>
  <c r="I263" i="14"/>
  <c r="L263" i="14" s="1"/>
  <c r="M263" i="14"/>
  <c r="I362" i="14"/>
  <c r="L362" i="14" s="1"/>
  <c r="M362" i="14"/>
  <c r="I121" i="14"/>
  <c r="L121" i="14" s="1"/>
  <c r="M121" i="14"/>
  <c r="I188" i="14"/>
  <c r="L188" i="14" s="1"/>
  <c r="M188" i="14"/>
  <c r="I77" i="14"/>
  <c r="L77" i="14" s="1"/>
  <c r="M77" i="14"/>
  <c r="M119" i="14"/>
  <c r="M295" i="14"/>
  <c r="M255" i="14"/>
  <c r="M271" i="14"/>
  <c r="M193" i="14"/>
  <c r="M138" i="14"/>
  <c r="M70" i="14"/>
  <c r="M333" i="14"/>
  <c r="M262" i="14"/>
  <c r="M228" i="14"/>
  <c r="M353" i="14"/>
  <c r="M245" i="14"/>
  <c r="M214" i="14"/>
  <c r="M348" i="14"/>
  <c r="M239" i="14"/>
  <c r="M246" i="14"/>
  <c r="E39" i="26"/>
  <c r="F37" i="26"/>
  <c r="P7" i="9"/>
  <c r="F7" i="15"/>
  <c r="F8" i="15" s="1"/>
  <c r="P6" i="9"/>
  <c r="I2" i="14"/>
  <c r="L2" i="14" s="1"/>
  <c r="M2" i="14"/>
  <c r="I10" i="8" l="1"/>
  <c r="I11" i="8" s="1"/>
  <c r="F39" i="26"/>
  <c r="G39" i="26"/>
  <c r="E5" i="16"/>
  <c r="E42" i="8"/>
  <c r="J9" i="8"/>
  <c r="P5" i="9"/>
  <c r="L10" i="8" l="1"/>
  <c r="K10" i="8" s="1"/>
  <c r="J10" i="8" s="1"/>
  <c r="A10" i="8" s="1"/>
  <c r="I12" i="8"/>
  <c r="L11" i="8"/>
  <c r="K11" i="8" s="1"/>
  <c r="J11" i="8" s="1"/>
  <c r="A11" i="8" s="1"/>
  <c r="E9" i="8"/>
  <c r="F9" i="8"/>
  <c r="C9" i="8"/>
  <c r="D9" i="8"/>
  <c r="A9" i="8"/>
  <c r="C10" i="8" l="1"/>
  <c r="D10" i="8"/>
  <c r="E10" i="8"/>
  <c r="F10" i="8"/>
  <c r="F11" i="8"/>
  <c r="C11" i="8"/>
  <c r="D11" i="8"/>
  <c r="E11" i="8"/>
  <c r="I13" i="8"/>
  <c r="L12" i="8"/>
  <c r="K12" i="8" s="1"/>
  <c r="J12" i="8" s="1"/>
  <c r="E12" i="8" l="1"/>
  <c r="A12" i="8"/>
  <c r="C12" i="8"/>
  <c r="F12" i="8"/>
  <c r="D12" i="8"/>
  <c r="I14" i="8"/>
  <c r="L13" i="8"/>
  <c r="K13" i="8" s="1"/>
  <c r="J13" i="8" s="1"/>
  <c r="D7" i="15"/>
  <c r="D8" i="15" s="1"/>
  <c r="D2" i="2"/>
  <c r="D6" i="2"/>
  <c r="D84" i="2"/>
  <c r="D33" i="2"/>
  <c r="D28" i="2"/>
  <c r="D24" i="2"/>
  <c r="D20" i="2"/>
  <c r="D14" i="2"/>
  <c r="D9" i="2"/>
  <c r="D5" i="2"/>
  <c r="D88" i="2"/>
  <c r="D83" i="2"/>
  <c r="D32" i="2"/>
  <c r="D27" i="2"/>
  <c r="D23" i="2"/>
  <c r="D19" i="2"/>
  <c r="D13" i="2"/>
  <c r="D8" i="2"/>
  <c r="D4" i="2"/>
  <c r="D87" i="2"/>
  <c r="D86" i="2"/>
  <c r="D82" i="2"/>
  <c r="D30" i="2"/>
  <c r="D26" i="2"/>
  <c r="D22" i="2"/>
  <c r="D18" i="2"/>
  <c r="D11" i="2"/>
  <c r="D7" i="2"/>
  <c r="D3" i="2"/>
  <c r="D89" i="2"/>
  <c r="D85" i="2"/>
  <c r="D81" i="2"/>
  <c r="D29" i="2"/>
  <c r="D25" i="2"/>
  <c r="D21" i="2"/>
  <c r="D17" i="2"/>
  <c r="D10" i="2"/>
  <c r="C16" i="26" l="1"/>
  <c r="C15" i="26"/>
  <c r="D16" i="26"/>
  <c r="D15" i="26"/>
  <c r="E16" i="26"/>
  <c r="E15" i="26"/>
  <c r="F16" i="26"/>
  <c r="F15" i="26"/>
  <c r="G16" i="26"/>
  <c r="G15" i="26"/>
  <c r="H15" i="26"/>
  <c r="H16" i="26"/>
  <c r="H82" i="26"/>
  <c r="I82" i="26" s="1"/>
  <c r="H81" i="26"/>
  <c r="I81" i="26" s="1"/>
  <c r="H88" i="26"/>
  <c r="I88" i="26" s="1"/>
  <c r="H87" i="26"/>
  <c r="I87" i="26" s="1"/>
  <c r="I15" i="8"/>
  <c r="L14" i="8"/>
  <c r="K14" i="8" s="1"/>
  <c r="J14" i="8" s="1"/>
  <c r="D13" i="8"/>
  <c r="A13" i="8"/>
  <c r="E13" i="8"/>
  <c r="C13" i="8"/>
  <c r="F13" i="8"/>
  <c r="B21" i="15"/>
  <c r="F21" i="15"/>
  <c r="H17" i="26" l="1"/>
  <c r="G17" i="26"/>
  <c r="C17" i="26"/>
  <c r="F17" i="26"/>
  <c r="D17" i="26"/>
  <c r="E17" i="26"/>
  <c r="E14" i="8"/>
  <c r="D14" i="8"/>
  <c r="A14" i="8"/>
  <c r="C14" i="8"/>
  <c r="F14" i="8"/>
  <c r="I16" i="8"/>
  <c r="L15" i="8"/>
  <c r="K15" i="8" s="1"/>
  <c r="J15" i="8" s="1"/>
  <c r="E19" i="26" l="1"/>
  <c r="D19" i="26"/>
  <c r="F19" i="26"/>
  <c r="G27" i="26"/>
  <c r="G19" i="26"/>
  <c r="H26" i="26"/>
  <c r="H19" i="26"/>
  <c r="G26" i="26"/>
  <c r="D26" i="26"/>
  <c r="F26" i="26"/>
  <c r="C26" i="26"/>
  <c r="E26" i="26"/>
  <c r="E15" i="8"/>
  <c r="A15" i="8"/>
  <c r="F15" i="8"/>
  <c r="C15" i="8"/>
  <c r="D15" i="8"/>
  <c r="I17" i="8"/>
  <c r="L16" i="8"/>
  <c r="K16" i="8" s="1"/>
  <c r="J16" i="8" s="1"/>
  <c r="I18" i="8" l="1"/>
  <c r="L17" i="8"/>
  <c r="K17" i="8" s="1"/>
  <c r="J17" i="8" s="1"/>
  <c r="A16" i="8"/>
  <c r="E16" i="8"/>
  <c r="D16" i="8"/>
  <c r="C16" i="8"/>
  <c r="F16" i="8"/>
  <c r="F17" i="8" l="1"/>
  <c r="E17" i="8"/>
  <c r="C17" i="8"/>
  <c r="D17" i="8"/>
  <c r="A17" i="8"/>
  <c r="I19" i="8"/>
  <c r="L18" i="8"/>
  <c r="K18" i="8" s="1"/>
  <c r="J18" i="8" s="1"/>
  <c r="D18" i="8" l="1"/>
  <c r="E18" i="8"/>
  <c r="F18" i="8"/>
  <c r="C18" i="8"/>
  <c r="A18" i="8"/>
  <c r="I20" i="8"/>
  <c r="L19" i="8"/>
  <c r="K19" i="8" s="1"/>
  <c r="J19" i="8" s="1"/>
  <c r="F19" i="8" l="1"/>
  <c r="C19" i="8"/>
  <c r="A19" i="8"/>
  <c r="D19" i="8"/>
  <c r="E19" i="8"/>
  <c r="I21" i="8"/>
  <c r="L20" i="8"/>
  <c r="K20" i="8" s="1"/>
  <c r="J20" i="8" s="1"/>
  <c r="I22" i="8" l="1"/>
  <c r="L21" i="8"/>
  <c r="K21" i="8" s="1"/>
  <c r="J21" i="8" s="1"/>
  <c r="A20" i="8"/>
  <c r="C20" i="8"/>
  <c r="F20" i="8"/>
  <c r="E20" i="8"/>
  <c r="D20" i="8"/>
  <c r="F21" i="8" l="1"/>
  <c r="C21" i="8"/>
  <c r="D21" i="8"/>
  <c r="E21" i="8"/>
  <c r="A21" i="8"/>
  <c r="I23" i="8"/>
  <c r="L22" i="8"/>
  <c r="K22" i="8" s="1"/>
  <c r="J22" i="8" s="1"/>
  <c r="E22" i="8" l="1"/>
  <c r="F22" i="8"/>
  <c r="A22" i="8"/>
  <c r="C22" i="8"/>
  <c r="D22" i="8"/>
  <c r="I24" i="8"/>
  <c r="L23" i="8"/>
  <c r="K23" i="8" s="1"/>
  <c r="J23" i="8" s="1"/>
  <c r="I25" i="8" l="1"/>
  <c r="L24" i="8"/>
  <c r="K24" i="8" s="1"/>
  <c r="J24" i="8" s="1"/>
  <c r="F23" i="8"/>
  <c r="D23" i="8"/>
  <c r="E23" i="8"/>
  <c r="C23" i="8"/>
  <c r="A23" i="8"/>
  <c r="F24" i="8" l="1"/>
  <c r="C24" i="8"/>
  <c r="E24" i="8"/>
  <c r="A24" i="8"/>
  <c r="D24" i="8"/>
  <c r="L25" i="8"/>
  <c r="K25" i="8" s="1"/>
  <c r="J25" i="8" s="1"/>
  <c r="I26" i="8"/>
  <c r="I27" i="8" l="1"/>
  <c r="L26" i="8"/>
  <c r="K26" i="8" s="1"/>
  <c r="J26" i="8" s="1"/>
  <c r="A25" i="8"/>
  <c r="F25" i="8"/>
  <c r="C25" i="8"/>
  <c r="E25" i="8"/>
  <c r="D25" i="8"/>
  <c r="C26" i="8" l="1"/>
  <c r="F26" i="8"/>
  <c r="E26" i="8"/>
  <c r="D26" i="8"/>
  <c r="A26" i="8"/>
  <c r="I28" i="8"/>
  <c r="L27" i="8"/>
  <c r="K27" i="8" s="1"/>
  <c r="J27" i="8" s="1"/>
  <c r="C27" i="8" l="1"/>
  <c r="A27" i="8"/>
  <c r="E27" i="8"/>
  <c r="D27" i="8"/>
  <c r="F27" i="8"/>
  <c r="L28" i="8"/>
  <c r="K28" i="8" s="1"/>
  <c r="J28" i="8" s="1"/>
  <c r="I29" i="8"/>
  <c r="C28" i="8" l="1"/>
  <c r="D28" i="8"/>
  <c r="F28" i="8"/>
  <c r="A28" i="8"/>
  <c r="E28" i="8"/>
  <c r="L29" i="8"/>
  <c r="K29" i="8" s="1"/>
  <c r="J29" i="8" s="1"/>
  <c r="I30" i="8"/>
  <c r="L30" i="8" l="1"/>
  <c r="K30" i="8" s="1"/>
  <c r="J30" i="8" s="1"/>
  <c r="I31" i="8"/>
  <c r="E29" i="8"/>
  <c r="A29" i="8"/>
  <c r="F29" i="8"/>
  <c r="D29" i="8"/>
  <c r="C29" i="8"/>
  <c r="A30" i="8" l="1"/>
  <c r="E30" i="8"/>
  <c r="F30" i="8"/>
  <c r="C30" i="8"/>
  <c r="D30" i="8"/>
  <c r="L31" i="8"/>
  <c r="K31" i="8" s="1"/>
  <c r="J31" i="8" s="1"/>
  <c r="I32" i="8"/>
  <c r="C31" i="8" l="1"/>
  <c r="E31" i="8"/>
  <c r="D31" i="8"/>
  <c r="A31" i="8"/>
  <c r="F31" i="8"/>
  <c r="L32" i="8"/>
  <c r="K32" i="8" s="1"/>
  <c r="J32" i="8" s="1"/>
  <c r="I33" i="8"/>
  <c r="L33" i="8" l="1"/>
  <c r="K33" i="8" s="1"/>
  <c r="J33" i="8" s="1"/>
  <c r="I34" i="8"/>
  <c r="A32" i="8"/>
  <c r="F32" i="8"/>
  <c r="C32" i="8"/>
  <c r="D32" i="8"/>
  <c r="E32" i="8"/>
  <c r="L34" i="8" l="1"/>
  <c r="K34" i="8" s="1"/>
  <c r="J34" i="8" s="1"/>
  <c r="I35" i="8"/>
  <c r="C33" i="8"/>
  <c r="F33" i="8"/>
  <c r="A33" i="8"/>
  <c r="E33" i="8"/>
  <c r="D33" i="8"/>
  <c r="L35" i="8" l="1"/>
  <c r="K35" i="8" s="1"/>
  <c r="J35" i="8" s="1"/>
  <c r="I36" i="8"/>
  <c r="E34" i="8"/>
  <c r="C34" i="8"/>
  <c r="F34" i="8"/>
  <c r="D34" i="8"/>
  <c r="A34" i="8"/>
  <c r="L36" i="8" l="1"/>
  <c r="K36" i="8" s="1"/>
  <c r="J36" i="8" s="1"/>
  <c r="I37" i="8"/>
  <c r="D35" i="8"/>
  <c r="C35" i="8"/>
  <c r="E35" i="8"/>
  <c r="A35" i="8"/>
  <c r="F35" i="8"/>
  <c r="I38" i="8" l="1"/>
  <c r="L37" i="8"/>
  <c r="K37" i="8" s="1"/>
  <c r="J37" i="8" s="1"/>
  <c r="F36" i="8"/>
  <c r="D36" i="8"/>
  <c r="A36" i="8"/>
  <c r="C36" i="8"/>
  <c r="E36" i="8"/>
  <c r="C37" i="8" l="1"/>
  <c r="A37" i="8"/>
  <c r="D37" i="8"/>
  <c r="F37" i="8"/>
  <c r="E37" i="8"/>
  <c r="L38" i="8"/>
  <c r="K38" i="8" s="1"/>
  <c r="J38" i="8" s="1"/>
  <c r="I39" i="8"/>
  <c r="E38" i="8" l="1"/>
  <c r="D38" i="8"/>
  <c r="A38" i="8"/>
  <c r="F38" i="8"/>
  <c r="C38" i="8"/>
  <c r="L39" i="8"/>
  <c r="K39" i="8" s="1"/>
  <c r="J39" i="8" s="1"/>
  <c r="I40" i="8"/>
  <c r="D39" i="8" l="1"/>
  <c r="A39" i="8"/>
  <c r="E39" i="8"/>
  <c r="F39" i="8"/>
  <c r="C39" i="8"/>
  <c r="L40" i="8"/>
  <c r="K40" i="8" s="1"/>
  <c r="J40" i="8" s="1"/>
  <c r="I41" i="8"/>
  <c r="L41" i="8" s="1"/>
  <c r="K41" i="8" s="1"/>
  <c r="J41" i="8" s="1"/>
  <c r="D41" i="8" l="1"/>
  <c r="F41" i="8"/>
  <c r="C41" i="8"/>
  <c r="E41" i="8"/>
  <c r="A41" i="8"/>
  <c r="F40" i="8"/>
  <c r="E40" i="8"/>
  <c r="A40" i="8"/>
  <c r="D40" i="8"/>
  <c r="C40" i="8"/>
  <c r="B5" i="8"/>
  <c r="F4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tc={8BC863D8-EB47-4AC7-BE25-597BA91D26F9}</author>
  </authors>
  <commentList>
    <comment ref="M18" authorId="0" shapeId="0" xr:uid="{8BC863D8-EB47-4AC7-BE25-597BA91D26F9}">
      <text>
        <t>[Threaded comment]
Your version of Excel allows you to read this threaded comment; however, any edits to it will get removed if the file is opened in a newer version of Excel. Learn more: https://go.microsoft.com/fwlink/?linkid=870924
Comment:
    Bhamas reg number - not UAE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L1" authorId="0" shapeId="0" xr:uid="{6EB69477-7F80-B04D-919C-E0E35FAE2C7E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Does not take into account the tiered pricing as yet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<sst xmlns="http://schemas.openxmlformats.org/spreadsheetml/2006/main" count="6787" uniqueCount="2174">
  <si>
    <t>Subscription ID</t>
  </si>
  <si>
    <t>Status</t>
  </si>
  <si>
    <t>Type</t>
  </si>
  <si>
    <t>Contracting Party Legal Entity Name</t>
  </si>
  <si>
    <t>Org Type</t>
  </si>
  <si>
    <t xml:space="preserve">Business Reg. No. </t>
  </si>
  <si>
    <t>Party LEI</t>
  </si>
  <si>
    <t>Primary Contact(s)</t>
  </si>
  <si>
    <t>Contact Number(s)</t>
  </si>
  <si>
    <t>Affiliate Model</t>
  </si>
  <si>
    <t>Billing Address</t>
  </si>
  <si>
    <t>Billing Email Notifications</t>
  </si>
  <si>
    <t>Billing Start</t>
  </si>
  <si>
    <t>Billing End</t>
  </si>
  <si>
    <t>Auto Renewal</t>
  </si>
  <si>
    <t xml:space="preserve">Identity Purchased </t>
  </si>
  <si>
    <t>Hosting Type</t>
  </si>
  <si>
    <t>Identity Price (USD)</t>
  </si>
  <si>
    <t>CNF Sponsored</t>
  </si>
  <si>
    <t>Invoice Total Amount (USD)</t>
  </si>
  <si>
    <t>Invoice Sent</t>
  </si>
  <si>
    <t>Active Identities</t>
  </si>
  <si>
    <t>Too Many Identites ?</t>
  </si>
  <si>
    <t># Events this month</t>
  </si>
  <si>
    <t>Total # of Events</t>
  </si>
  <si>
    <t>Member</t>
  </si>
  <si>
    <t>Contour Pte. Ltd.</t>
  </si>
  <si>
    <t>Types</t>
  </si>
  <si>
    <t>Cloud</t>
  </si>
  <si>
    <t>Yes</t>
  </si>
  <si>
    <t>HSBC Global Services (Hong Kong) Limited</t>
  </si>
  <si>
    <t>Bank</t>
  </si>
  <si>
    <t>213800CFYTAE19NXXG38</t>
  </si>
  <si>
    <t>HSBC HK Accounts Payable Team</t>
  </si>
  <si>
    <t>+852 22888750
+852 2822 4011</t>
  </si>
  <si>
    <t>N/A</t>
  </si>
  <si>
    <r>
      <rPr>
        <b/>
        <sz val="12"/>
        <color theme="1"/>
        <rFont val="Calibri"/>
        <family val="2"/>
        <scheme val="minor"/>
      </rPr>
      <t>Hybrid</t>
    </r>
    <r>
      <rPr>
        <sz val="12"/>
        <color theme="1"/>
        <rFont val="Calibri"/>
        <family val="2"/>
        <scheme val="minor"/>
      </rPr>
      <t>:  majority will be Master Signatory model; selected regional HSBC entities may use Acceding Affiliate model due to regulatory issues</t>
    </r>
  </si>
  <si>
    <t>Attention: Mr. Jason Lai (jasonwclai@hsbc.com.hk)
L23 HSBC Main Building
1 Queen's Road, Central
Hong Kong Special Administrative Region of the People's Republic of China</t>
  </si>
  <si>
    <t>supplier.invoice.hk@hsbc.com.hk</t>
  </si>
  <si>
    <t>Self-Managed</t>
  </si>
  <si>
    <t>INV-2101-0001</t>
  </si>
  <si>
    <t>Standard Chartered Bank (Singapore) Limited</t>
  </si>
  <si>
    <t>201224747C</t>
  </si>
  <si>
    <t>549300MDYVVHJ8D1DW28</t>
  </si>
  <si>
    <t>Samuel John Mathew</t>
  </si>
  <si>
    <t>+65- 65964347</t>
  </si>
  <si>
    <t>Acceding Affiliate</t>
  </si>
  <si>
    <t>Attention: Mr. Samuel John Mathew
8 Marina Boulevard
Marina Bay Financial Centre Tower 1
Level 21
Singapore 018981</t>
  </si>
  <si>
    <t>samuel-john.mathew@sc.com</t>
  </si>
  <si>
    <t>AA</t>
  </si>
  <si>
    <t>Standard Chartered Bank, Bangladesh Branch</t>
  </si>
  <si>
    <t>03-077300</t>
  </si>
  <si>
    <t>Mohammad Raisul Amin</t>
  </si>
  <si>
    <t>+880- 9666355400</t>
  </si>
  <si>
    <t xml:space="preserve">Q2DE14S1`Aq sd </t>
  </si>
  <si>
    <t>Attention: Mr. Mohammad Raisul Amin
67 Gulshan Avenue
Gulshan 1, Dhaka-1212
Bangladesh</t>
  </si>
  <si>
    <t>mohammad-raisul.amin@sc.com</t>
  </si>
  <si>
    <t>Bank of China (Hong Kong)</t>
  </si>
  <si>
    <t>-</t>
  </si>
  <si>
    <t>NA</t>
  </si>
  <si>
    <t>Teng Lin Hui</t>
  </si>
  <si>
    <t>852- 31983892</t>
  </si>
  <si>
    <t>Attention: Transaction Banking Department - Trade Finance Division - eCommerce Team
14/F, Bank of China Tower
1 Garden Road
Hong Kong</t>
  </si>
  <si>
    <t>emilybhng@bochk.com
hkchan@bochk.com
cw_lau@bochk.com</t>
  </si>
  <si>
    <t>INV-2103-0001</t>
  </si>
  <si>
    <t>Xiamen ITG</t>
  </si>
  <si>
    <t>Corporate</t>
  </si>
  <si>
    <t>Yiwei  Xu</t>
  </si>
  <si>
    <t>86- 592- 5860278</t>
  </si>
  <si>
    <t>Master Signatory</t>
  </si>
  <si>
    <t>Attention: Xu Yiwei
Building A of Guomao Centre
No. 4688 Xianyue Road
Huli District, Xiamen
China</t>
  </si>
  <si>
    <t>xuyiwei@itg.com.cn</t>
  </si>
  <si>
    <t>INV-2103-0002</t>
  </si>
  <si>
    <t>BNP Paribas SA</t>
  </si>
  <si>
    <t>662 042 449 RCS PARIS</t>
  </si>
  <si>
    <t>Emmanuel de Marnix</t>
  </si>
  <si>
    <t>Attention: Nhan-Duc Morelon (Costs center - C39707)
BNP Paribas SA
Corporate &amp; Institutional Banking
BNPP1CAPP
TSA 10001
14913 Caen Cedex 9
France</t>
  </si>
  <si>
    <t>emmanuel.demarnix@bnpparibasfortis.com
ext.invoices@bnpparibas.com
jean-francois.denis@bnpparibasfortis.com
frank.melckenbeeck@bnpparibasfortis.com</t>
  </si>
  <si>
    <t>INV-2103-0003</t>
  </si>
  <si>
    <t>Bangkok Bank Public Company Limited</t>
  </si>
  <si>
    <t>0107536000374</t>
  </si>
  <si>
    <t>549300CCL2BKJGMYXV60</t>
  </si>
  <si>
    <t>Kajohnsak Manaviriyakul</t>
  </si>
  <si>
    <t>+66 2-230-1144</t>
  </si>
  <si>
    <t>Attention: Mr. Kajohnsak Manaviriyakul
333 Silom Road, Bangrak
Bangkok 10500
Thailand</t>
  </si>
  <si>
    <t>Kajohnsak.manaviriyakul@bangkokbank.com</t>
  </si>
  <si>
    <t>INV-2103-0005</t>
  </si>
  <si>
    <t>Rio Tinto Commercial Pte. Ltd.</t>
  </si>
  <si>
    <t>200711921E</t>
  </si>
  <si>
    <t>875500B0FWFIGPISQH05</t>
  </si>
  <si>
    <t>Michel  Alves</t>
  </si>
  <si>
    <t>+65- 66799512</t>
  </si>
  <si>
    <t>Attention: Michel Alves
12 Marina Boulevard,
#20-01 Marina Bay Financial Centre Tower 3,
Singapore 018982</t>
  </si>
  <si>
    <t>Michel.Alves@riotinto.com</t>
  </si>
  <si>
    <t>INV-2103-0006</t>
  </si>
  <si>
    <t>Skandinaviska Enskilda Banken AB (publ)</t>
  </si>
  <si>
    <t>Org: 502032-9081
VAT: SE502032908101</t>
  </si>
  <si>
    <t>Helen  Seemann</t>
  </si>
  <si>
    <t>+46- 70- 7391404</t>
  </si>
  <si>
    <t>Attention: Helen Seemann, Transaction Services/Product Management
Skandinaviska Enskilda Banken AB (publ)
Accounts Payable
SE-106 40 Stockholm, Sweden</t>
  </si>
  <si>
    <t>Helen.seemann@seb.se</t>
  </si>
  <si>
    <t>INV-2103-0007</t>
  </si>
  <si>
    <t>PT Bank Permata Tbk</t>
  </si>
  <si>
    <t>LEI 5493003MGU02RFSRZT53</t>
  </si>
  <si>
    <t>Henny  Sastiawan</t>
  </si>
  <si>
    <t>+628118335215 
+628118337701</t>
  </si>
  <si>
    <t>Attention: Henny Sastiawan and Andi Hendrata
World Trade Center II (WTC II) Tower,
21-30 floor, Jalan Jendral Sudirman
No.Kav. 29 - 31, RW.3
Karet Kuningan, South Jakarta City
Jakarta 12920</t>
  </si>
  <si>
    <t>hsastiawan@permatabank.co.id</t>
  </si>
  <si>
    <t>INV-2103-0008</t>
  </si>
  <si>
    <t>ICBC Xiamen</t>
  </si>
  <si>
    <t>91350200854989713W</t>
  </si>
  <si>
    <t>Xiao Ping  Xu</t>
  </si>
  <si>
    <t>0086- 0592- 5505035</t>
  </si>
  <si>
    <t>Trial</t>
  </si>
  <si>
    <t>Both options unamended in MA .  Single identity purchased so presumably Master Signatory</t>
  </si>
  <si>
    <t>Attention: Xu Xiao Ping
ICBC Building,
No. 17 Hubin Road,
North, Xiamen, China</t>
  </si>
  <si>
    <t>xuxiaoping2@xm.icbc.com.cn</t>
  </si>
  <si>
    <t>TBC</t>
  </si>
  <si>
    <t>Universal Tube and Plastic Industries Ltd.</t>
  </si>
  <si>
    <t>34231B</t>
  </si>
  <si>
    <t>Lovely John</t>
  </si>
  <si>
    <t>04-8835966</t>
  </si>
  <si>
    <t>Attention: Lovely John
Ansbacher (Bahamas) Limited
PO Box N-7768, Bank Lane
In the city of Nassau
Commonwealth of Bahamas</t>
  </si>
  <si>
    <t>lovelyjohn@universaltubes.com</t>
  </si>
  <si>
    <t>Tata Steel Limited</t>
  </si>
  <si>
    <t>DBS Bank Limited</t>
  </si>
  <si>
    <t>196800306E</t>
  </si>
  <si>
    <t>ATUEL7OJR5057F2PV266</t>
  </si>
  <si>
    <t>Acasius Leong</t>
  </si>
  <si>
    <t>+65 6878 7076 
+65 6878 4202</t>
  </si>
  <si>
    <t>Attention: Acasius Leong / Daniel Lit
12, Marina Boulevard,
Marina Bay Financial Centre
Singapore 018982
Level 44</t>
  </si>
  <si>
    <t>acasiusleong@dbs.com</t>
  </si>
  <si>
    <t>INV-2104-0001</t>
  </si>
  <si>
    <t>The Saudi British Bank (SABB)</t>
  </si>
  <si>
    <t>558600QGCPV1HM9F0N55</t>
  </si>
  <si>
    <t>Fahdah  Alkhuthailah</t>
  </si>
  <si>
    <t>00966- 11- 4408536</t>
  </si>
  <si>
    <t>Attention: Fahdah Alkhuthailah
Prince Abdulaziz Bin Mossaid Bin Jalawi Street (Dabaab)
P.O Box 9084
Riyadh 11413
Saudi Arabia</t>
  </si>
  <si>
    <t>Fahdah.n.alkhuthailah@sabb.com</t>
  </si>
  <si>
    <t>INV-2104-0003</t>
  </si>
  <si>
    <t>Hangzhou Iron &amp; Steel (H.K.) Co Ltd</t>
  </si>
  <si>
    <t>Memo Chen</t>
  </si>
  <si>
    <t>+852-34051888</t>
  </si>
  <si>
    <t>CWP</t>
  </si>
  <si>
    <t>Attention: Memo Chen
Flat B, 35/F,
United Centre
95 Queensway
Hong Kong</t>
  </si>
  <si>
    <t>office@fuchuen.com</t>
  </si>
  <si>
    <t>CWP - NO INVOICE</t>
  </si>
  <si>
    <t>HBIS Group Hong Kong Co., Limited</t>
  </si>
  <si>
    <t>51709350-000-01-21-3</t>
  </si>
  <si>
    <t>Po Cheong  Hung</t>
  </si>
  <si>
    <t>Attention: Mr. Hung Po Cheong
Suite 2705 27/F
9 Queen's Road
Central HK</t>
  </si>
  <si>
    <t>pchung@hbisco.com</t>
  </si>
  <si>
    <t>Vale International SA</t>
  </si>
  <si>
    <t>CHE-112.796.530</t>
  </si>
  <si>
    <t>549300N2ZJ4466RLRV29</t>
  </si>
  <si>
    <t>Vera  Silva</t>
  </si>
  <si>
    <t>+603 2243 2188
+603 2243 2180</t>
  </si>
  <si>
    <t>Attention: Vera Silva / Zulkefli Mohamed/ Firdaus/ Ester
Unit 10-08, Bangsar South Office Suite
Vertical II Tower B, Bangsar South
59200 Kuala Lumpur
Malaysia</t>
  </si>
  <si>
    <t>verachin.silva@vale.com
zulkefli.mohamed@vale.com</t>
  </si>
  <si>
    <t>INV-2105-0001</t>
  </si>
  <si>
    <t>Toptip Holding Pte. Ltd</t>
  </si>
  <si>
    <t>200805680W</t>
  </si>
  <si>
    <t>549300L8TAS7NXL71I52</t>
  </si>
  <si>
    <t>Ivy Zhong</t>
  </si>
  <si>
    <t>6235 2570 / 6235 1725</t>
  </si>
  <si>
    <t>Attention: Ops/finance
8 Temasek Blvd
#28-02 Suntec Tower Three
Singapore 038988</t>
  </si>
  <si>
    <t>ops@toptip.com.sg
finance@toptip.com.sg</t>
  </si>
  <si>
    <t>Sumitomo Mitsui Banking Corporation (SMBC)</t>
  </si>
  <si>
    <t>Mr. Koji Horikawa</t>
  </si>
  <si>
    <t>+81-3-4333-8013</t>
  </si>
  <si>
    <t>Attention: Mr. Koji Horikawa, Global Trade Finance Department
1-1-2 Marunouchi
Chiyoda-ku
Tokyo
Japan</t>
  </si>
  <si>
    <t>horikawa_koji@rk.smbc.co.jp</t>
  </si>
  <si>
    <t>INV-2106-0001</t>
  </si>
  <si>
    <t>Singapore Jinteng International Pte. Ltd.</t>
  </si>
  <si>
    <t>201318265D</t>
  </si>
  <si>
    <t>Zhiying  Liao</t>
  </si>
  <si>
    <t>+65 6238 6239</t>
  </si>
  <si>
    <t>Attention: Liao Zhiying / Yu Shui
8 Temasek Boulevard
Suntec Tower Three, #29-01
Singapore 038988</t>
  </si>
  <si>
    <t>liaozhiying@njsteel.com.cn</t>
  </si>
  <si>
    <t xml:space="preserve">Chandra Asri Trading Company Pte. Ltd. </t>
  </si>
  <si>
    <t>200919215M</t>
  </si>
  <si>
    <t>Jenny Gunawan</t>
  </si>
  <si>
    <t>Attention: Jenny Gunawan
1 Kim Seng Promenade
#09-07
Great World City
Singapore 237994</t>
  </si>
  <si>
    <t>jenny.gunawan@capcx.com</t>
  </si>
  <si>
    <t>Hong Kong Jinteng Development Ltd.</t>
  </si>
  <si>
    <t>2528 5880</t>
  </si>
  <si>
    <t>Attention: Liao Zhiying / Bin Feng / Liu Ning
Room 1201, 12F, No.88 Gloucester Road
Wanchai, Hong Kong</t>
  </si>
  <si>
    <t>liaozhiying@njsteel.com.cn
jinteng.coral@gmail.com
nglln@126.com</t>
  </si>
  <si>
    <t>Cemcoa Limited</t>
  </si>
  <si>
    <t>11264267-000-08-18-2</t>
  </si>
  <si>
    <t>Ibnaan Shamir Pasha</t>
  </si>
  <si>
    <t>+852 28232223</t>
  </si>
  <si>
    <t>Attention: Kineks Cheung / Joesph Kwan
Unit 1913-16, 19F
China Merchants Tower, Shun Tak Ctr
200 Connaught Road
Central HK</t>
  </si>
  <si>
    <t>accounts.trading@thecemcoa.com
nontrade.payments@thecemcoa.com</t>
  </si>
  <si>
    <t>Citibank, N.A.</t>
  </si>
  <si>
    <t>Opeyemi Olomo</t>
  </si>
  <si>
    <t>+44 (20) 7500 4666</t>
  </si>
  <si>
    <t>Attention: Opeyemi Olomo
Citigroup Centre
Canada Square
Canary Wharf
London E14 5LB
England</t>
  </si>
  <si>
    <t>poinvoice.ukie@citi.com</t>
  </si>
  <si>
    <t>Metal One (Thailand) Co., Ltd</t>
  </si>
  <si>
    <t>Mayuree Hanab</t>
  </si>
  <si>
    <t>+66827443010 ext 601</t>
  </si>
  <si>
    <t>Attention: Mayuree Hanab
No. 1 M.D. Tower 5th Floor, Bangna-Trad Road, Bangna Nue, Bangna, Bangkok 10260 Thailand</t>
  </si>
  <si>
    <t>mayuree@mtlo.co.th</t>
  </si>
  <si>
    <t>SCG Performance Chemicals Co., Ltd</t>
  </si>
  <si>
    <t>0105551069531</t>
  </si>
  <si>
    <t>Patcharaporn Mookdaharn</t>
  </si>
  <si>
    <t>+66816466225</t>
  </si>
  <si>
    <t>Attention: Patcharaporn Mookdaharn 
1 Siam Cement Road, Bangsue, Bangkok
Thailand 10800</t>
  </si>
  <si>
    <t>patcharm@scg.com</t>
  </si>
  <si>
    <t>SCG Plastics Co., Ltd.</t>
  </si>
  <si>
    <t>0105538050741</t>
  </si>
  <si>
    <t>PALM-OLEO SDN BHD</t>
  </si>
  <si>
    <t>185886V</t>
  </si>
  <si>
    <t>Kow Tiat Yong</t>
  </si>
  <si>
    <t>03-78098833</t>
  </si>
  <si>
    <t>Attention: Finance Shared Services Centre
Level 6, Menara KLK, No.1, Jalan PJU 7/6,
Mutiara Damansara, 47810 Petaling Jaya</t>
  </si>
  <si>
    <t>POR-FinanceAR@klkoleo.com
po-shipdocs@klkoleo.com</t>
  </si>
  <si>
    <t>PT Arista Latindo</t>
  </si>
  <si>
    <t>Celly</t>
  </si>
  <si>
    <t>Attention: Lius
JI. KH. MOH. MANSYUR NO. 128, KEL TANAH SEREAL TAMBORA, JAKARTA BARAT, DKI JAKARTA RAYA 11210 INDONESIA</t>
  </si>
  <si>
    <t>celly@aristagloves.com</t>
  </si>
  <si>
    <t>ArcelorMittal Nippon Steel India Ltd</t>
  </si>
  <si>
    <t>U2700GJ1976FLC013787</t>
  </si>
  <si>
    <t>Rohit Sharma / Pradeep Parte</t>
  </si>
  <si>
    <t>Pradeep Parte - 9879101840</t>
  </si>
  <si>
    <t>Attention: Rajesh Patel / Pradeep Parte
2nd Floor, Birla Centurion
Century Mills Compound Pandurang Budhkar Marg, Worli, Mumbai 400 030, Maharashtra</t>
  </si>
  <si>
    <t>Rohit.Sharma1@amns.in
Pradeep.Parte@amns.in
rajesh.patel@amns.in</t>
  </si>
  <si>
    <t>Ms Tran Thi Hoa</t>
  </si>
  <si>
    <t>038212931</t>
  </si>
  <si>
    <t>Attention: Ms Tran Thi Hoa
LOT CN11+CN12 An Dong IP, Nam Sach
Town, Nam Sach Dist., Hai Duong, Viet Nam</t>
  </si>
  <si>
    <t>tthoakt@anphatbioplastics.com</t>
  </si>
  <si>
    <t>British American Tobacco Bangladesh Company Ltd</t>
  </si>
  <si>
    <t>0000000180009</t>
  </si>
  <si>
    <t>213800UHX6IFHXQL8F39</t>
  </si>
  <si>
    <t>Ahmed Zohair Nasim</t>
  </si>
  <si>
    <t>+880-1313700902</t>
  </si>
  <si>
    <t>Attention: Ahmed Zohair Nasim
New DOHS Road, Mohakhali, Dhaka-1206</t>
  </si>
  <si>
    <t>ahmed_nasim@bat.com</t>
  </si>
  <si>
    <t>CHEMTECH CO.LTD</t>
  </si>
  <si>
    <t>3700603175</t>
  </si>
  <si>
    <t>Tra, Nguyen Thanh (Ms.)</t>
  </si>
  <si>
    <t>84-274 3784992</t>
  </si>
  <si>
    <t>Attention: Ms. Tra, Nguyen Tranh
D_8A4_CN, My Phuoc 3 Industrial park, thoi
hoa ward, Ben Cat town, Binh Duong Province</t>
  </si>
  <si>
    <t>thanhtra@scg.com</t>
  </si>
  <si>
    <t>MACWORLD INDUSTRIES LIMITED</t>
  </si>
  <si>
    <t>LL08375</t>
  </si>
  <si>
    <t>2549009CKWERKPL5KY60</t>
  </si>
  <si>
    <t>Ms. Shams</t>
  </si>
  <si>
    <t>+603-7954 7059</t>
  </si>
  <si>
    <t>Attention: Ms. Shams
3-11,PHILEO DAMAN SARA 2,
PETALING JAYA</t>
  </si>
  <si>
    <t>teamaccounts@macworldinc.com</t>
  </si>
  <si>
    <t>DBS BANK (HONG KONG) LIMITED</t>
  </si>
  <si>
    <t>00513603-000-04-21-2</t>
  </si>
  <si>
    <t>JB11ZK3Z2RFU15QNWV97</t>
  </si>
  <si>
    <t>Patrick Ng
Louisa Tang</t>
  </si>
  <si>
    <t>+852 36685655
+852 36685254</t>
  </si>
  <si>
    <t>Attention: Patrick Ng, Louisa Tang
Global Transaction Services, DBS Bank (Hong Kong) Limited, 16/F, The Center, 99 Queen's Road Central Hong Kong</t>
  </si>
  <si>
    <t>patrickng@dbs.com
Louisatang@dbs.com</t>
  </si>
  <si>
    <t>DBS BANK (CHINA) LIMITED</t>
  </si>
  <si>
    <t>913100006624264735</t>
  </si>
  <si>
    <t>549300BPHEJP44XN4232</t>
  </si>
  <si>
    <t>Ian Ding
Jeremy Zheng</t>
  </si>
  <si>
    <t>+86 21 38968179</t>
  </si>
  <si>
    <t>Attention: Ian Ding, Jeremy Zheng
15 Floor, No.1318, Lujiazui Ring Road, Pudong, Shanghai</t>
  </si>
  <si>
    <t>ianding@dbs.com
jeremyzheng@dbs.com</t>
  </si>
  <si>
    <t>Polyplex (Thailand) Public Company Limited</t>
  </si>
  <si>
    <t>0107547000729</t>
  </si>
  <si>
    <t>Mrs. Supritha Pai Kasturi</t>
  </si>
  <si>
    <t>+66811423548</t>
  </si>
  <si>
    <t>5096618147</t>
  </si>
  <si>
    <t>Attention: Mrs. Supritha Pai Kasturi
75/26, 18th Floor, Ocean Tower 2, Sukhumvit
Soi 19, Wattana, BANGKOK 10110</t>
  </si>
  <si>
    <t>supritha@polyplex.com</t>
  </si>
  <si>
    <t>Standard Chartered Global Business Services Private Limited</t>
  </si>
  <si>
    <t>U67190TN2000PTC049177</t>
  </si>
  <si>
    <t>335800QQ8KN4Q9EF4133</t>
  </si>
  <si>
    <t>Govindasamy Devaraj</t>
  </si>
  <si>
    <t>+919841402261</t>
  </si>
  <si>
    <t>Attention: Govindasamy Devaraj, Head of Risk, GBS
Asia Building 1st Floor, No.1 Haddows Road, Chennai – 600006</t>
  </si>
  <si>
    <t>govindasamy.devaraj@sc.com</t>
  </si>
  <si>
    <t>Thailand Anthracite Company Limited</t>
  </si>
  <si>
    <t>0105535023964</t>
  </si>
  <si>
    <t>Nutthawan Tanongkongsawat</t>
  </si>
  <si>
    <t>+ (66) 2-274-1455 ext. 405</t>
  </si>
  <si>
    <t>Attention: Nutthawan Tanongkongsawat
240/40 Ayodhaya Tower,20 Fl., Ratchadapisek
Rd., Huaykwang, Bangkok 10310 Thailand</t>
  </si>
  <si>
    <t>nutthawan@thailandanthracite.com</t>
  </si>
  <si>
    <t>STAVIAN CHEMICAL JOINT STOCK COMPANY</t>
  </si>
  <si>
    <t>0104160054</t>
  </si>
  <si>
    <t>Nguyen Thi Thu Hien (Ms.Jessica)</t>
  </si>
  <si>
    <t>+84 24 7306 8868</t>
  </si>
  <si>
    <t>Attention: Nguyen Thi Thu Hien (Ms.Jessica)
Lot 16, Road 206 Zone A, Pho Noi A Industrial
Zone, Dinh Du, Van Lam, Hung Yen, Vietnam</t>
  </si>
  <si>
    <t>hien.nguyen@stavianchem.com</t>
  </si>
  <si>
    <t>Aptec Distribution FZ-LLC</t>
  </si>
  <si>
    <t>20264</t>
  </si>
  <si>
    <t>Mohammad Usman Chaudhry</t>
  </si>
  <si>
    <t>+941 4 3697111</t>
  </si>
  <si>
    <t>Attention: Mohammad Usman Chaudhry
Innovation Hub, Building 1, Floor 1&amp;2, Al
Falak Street, P.O.Box 33550, Dubai UAE</t>
  </si>
  <si>
    <t>mohammad.usman@ingrammicro.com</t>
  </si>
  <si>
    <t>Singapore (Cogeneration) Steel Pte Ltd</t>
  </si>
  <si>
    <t>200923888C</t>
  </si>
  <si>
    <t>213800UADFMBBZ6DYX92</t>
  </si>
  <si>
    <t>Kiki Xu</t>
  </si>
  <si>
    <t>Attention: Kiki Xu
8 Eu Tong Sen Street, #19-93/94 The Central,
Singapore 059818</t>
  </si>
  <si>
    <t>xujing@ciec.com</t>
  </si>
  <si>
    <t>LONGTEX RUBBER INDUSTRY CO.,LTD.</t>
  </si>
  <si>
    <t>0105527011707</t>
  </si>
  <si>
    <t>Mrs. Paksarun Wei</t>
  </si>
  <si>
    <t>+66 02 464 0450</t>
  </si>
  <si>
    <t>Attention: Import &amp; Export Manager
121/32 Moo 8 Soi Suksawad 74, Suksawad
Road, Bangkru, Prapradaeng, Bkk,1013 TH</t>
  </si>
  <si>
    <t>purchase@longtex.co.th</t>
  </si>
  <si>
    <t>Anglo American Marketing Limited</t>
  </si>
  <si>
    <t>00405724</t>
  </si>
  <si>
    <t>549300OQM2EOMFY1G222</t>
  </si>
  <si>
    <t>Loke Choong Foo</t>
  </si>
  <si>
    <t>Attention: Loke Choong Foo
10 Collyer Quay, Level 38, Ocean Financial
Centre, Singapore 049315</t>
  </si>
  <si>
    <t>lokechoong.foo@angloamerican.com</t>
  </si>
  <si>
    <t>Anglo American Marketing Limited,
Singapore Branch</t>
  </si>
  <si>
    <t>T11FC0199H</t>
  </si>
  <si>
    <t>THAI ACRYLIC FIBRE CO. LTD.</t>
  </si>
  <si>
    <t>1695/2530</t>
  </si>
  <si>
    <t>Sachin</t>
  </si>
  <si>
    <t>66-36240100</t>
  </si>
  <si>
    <t>Attention: Head- Finance &amp; Accounts
54 Moo 5, Sudbantad Road T. Tandiew,
A.Kaengkhoi Saraburi, Thailand 18110</t>
  </si>
  <si>
    <t>sachin.nama@adityabirla.com
b.patel@adityabirla.com</t>
  </si>
  <si>
    <t>WIN FAITH TRADING LIMITED</t>
  </si>
  <si>
    <t>51287310-000-07-20-9</t>
  </si>
  <si>
    <t>WIN FAITH TRA</t>
  </si>
  <si>
    <t>852-24681531</t>
  </si>
  <si>
    <t>Attention: FINANCIAL DEPARTMENT
ROOM 4002, 40/F, COSCO TOWER,
183 QUEEN'S</t>
  </si>
  <si>
    <t>WINFAITHFINANCE@SUMEC.COM.CN</t>
  </si>
  <si>
    <t>PT Chandra Asri Petrochemical Tbk</t>
  </si>
  <si>
    <t>Jonathan Kandinata</t>
  </si>
  <si>
    <t>+6221 5307950 
ext 8269</t>
  </si>
  <si>
    <t>Attention: Erni Sugandi
Wisama Barito Pacific Tower A, 2nd Floor Jalan Let. Jend. S. Parman Kav. 62-63 Jakarta 11410, Indonesia</t>
  </si>
  <si>
    <t>erni.sugandi@capcx.com
jonathan.kandinata@capcx.com</t>
  </si>
  <si>
    <t>RANGPUR METAL INDUSTRIES LIMITED</t>
  </si>
  <si>
    <t>000637834-0704</t>
  </si>
  <si>
    <t>Md Shafiqul Islam</t>
  </si>
  <si>
    <t>+8801841461705</t>
  </si>
  <si>
    <t>Attention: Md Shafiqul Islam
105 Pragati Sarani, Middle Badda, GPO 83,</t>
  </si>
  <si>
    <t>rfl1210@rflgroupbd.com</t>
  </si>
  <si>
    <t>HBIS Group Singapore Pte Ltd</t>
  </si>
  <si>
    <t>201134899R</t>
  </si>
  <si>
    <t>3003008RTA7C48MFUG08</t>
  </si>
  <si>
    <t>Jeffrey Ni</t>
  </si>
  <si>
    <t>+65 65926783</t>
  </si>
  <si>
    <t>Attention: Jeffrey Ni
20 Collyer Quay, Tung Centre, #11-02 Singapore 049319</t>
  </si>
  <si>
    <t>nijie@hbisco.com</t>
  </si>
  <si>
    <t>Industrial and Commercial Bank of China (Asia) Limited</t>
  </si>
  <si>
    <t>Rainy / Zoe</t>
  </si>
  <si>
    <t>+852 25338881</t>
  </si>
  <si>
    <t>Attention: Business Management Section
Level 36, Tower 1, Millennium City 1, 388 Kwun Tong Road, Kwun Tong, Hong Kong</t>
  </si>
  <si>
    <t>tradefinance@icbcasia.com</t>
  </si>
  <si>
    <t>Eldon Development Ltd</t>
  </si>
  <si>
    <t>Zhang Zaike</t>
  </si>
  <si>
    <t>+852-35204216</t>
  </si>
  <si>
    <t>Attention: Zhang Zaike
42/F, Office Tower, Convention Plaza, 1 Harbour Road, Wanchai, Hong Kong</t>
  </si>
  <si>
    <t>zzk@eldon-hk.com</t>
  </si>
  <si>
    <t>Kumba Singapore Pte Ltd</t>
  </si>
  <si>
    <t>201212769W</t>
  </si>
  <si>
    <t>Military Commercial Joint Stock Bank</t>
  </si>
  <si>
    <t>0100283873</t>
  </si>
  <si>
    <t>Ms Nguyen Thi Nguyet Thu</t>
  </si>
  <si>
    <t>(+84)0904683548</t>
  </si>
  <si>
    <t>Attention: Ms. Nguyen Thi Nguyet Thu - Deputy Head of SME Division
Trade Finance Center - 18th Floor, MBBank Tower, 18 Le Van Luong, Trung Hoa, Cau Giay, Ha Noi, Viet Nam</t>
  </si>
  <si>
    <t>tfcenter.ho@mbbank.com.vn</t>
  </si>
  <si>
    <t>Indorama Polyster Industries PCL</t>
  </si>
  <si>
    <t>0107537002451</t>
  </si>
  <si>
    <t>Mr. Manish Gupta</t>
  </si>
  <si>
    <t>+66 2 661 6661</t>
  </si>
  <si>
    <t>Attention: Mr. Manish Gupta
75/92, Ocean Tower 2, 35th Floor, Soi Sukhumvit 19 (Wattana), Asoke Road, Klongtoey Nuer Sub-district, Wattana District, Bangkok</t>
  </si>
  <si>
    <t>ivl_finance_trade@indorama.net</t>
  </si>
  <si>
    <t>Jidong Development (HK) International Limited</t>
  </si>
  <si>
    <t>Helen He</t>
  </si>
  <si>
    <t>+86-18631561768</t>
  </si>
  <si>
    <t>Attention: Zhangfeng
9th Floor, Block A, Golden Tower, 82 East 4th Ring Middle Road, ChaoYang District Beijing, China</t>
  </si>
  <si>
    <t>zhangfeng@ijdhk.com</t>
  </si>
  <si>
    <t>105424B</t>
  </si>
  <si>
    <t>Attention: Lovely John
Ansbacher (Bahamas)
PO Box 77568, Bank Lane
In the city of Nassau</t>
  </si>
  <si>
    <t>Bajaj Auto Limited</t>
  </si>
  <si>
    <t>335800DLAO5NCNN8G863</t>
  </si>
  <si>
    <t>Sadhna Valecha/ Varun Malhotra</t>
  </si>
  <si>
    <t>020-66106682 / 
9921929196</t>
  </si>
  <si>
    <t>Attention: Sadhna Valecha
Akurdi, Pune - 411035</t>
  </si>
  <si>
    <t>savalecha@bajajauto.co.in
vdmalhotra@bajajauto.co.in</t>
  </si>
  <si>
    <t>TPT Petrochemicals PCL</t>
  </si>
  <si>
    <t>0107538000711</t>
  </si>
  <si>
    <t>Attention: Mr. Manish Gupta
75/116-117, Ocean Tower 2, 41st Floor, Soi Sukhumvit 19 (Wattana), Sukhumvit Road, Klongtoey Nuer Sub-district, Wattana District, Bangkok</t>
  </si>
  <si>
    <t>Indorama Petrochem Ltd</t>
  </si>
  <si>
    <t>0105546057211</t>
  </si>
  <si>
    <t>549300MB5BDYV4UR5O77</t>
  </si>
  <si>
    <t>Attention: Mr. Manish Gupta
75/93, Ocean Tower 2, 35th Floor, Soi Sukhumvit 19 (Wattana), Asoke Road, Klongtoey Nuer Sub-district, Wattana District, Bangkok</t>
  </si>
  <si>
    <t>Raghupathy Subramanian</t>
  </si>
  <si>
    <t>+60395485888</t>
  </si>
  <si>
    <t>Attention: Raghupathy Subramanian
Wisma Standard Chartered, Jalan Teknologi 8,
Taman Teknologi Malaysia, Bukit Jalil, 57000
Kuala Lumpur, Malaysia</t>
  </si>
  <si>
    <t>Raghupathy.Subramanian@sc.com</t>
  </si>
  <si>
    <t>Asia Pet (Thailand) Ltd.</t>
  </si>
  <si>
    <t>0105544061679</t>
  </si>
  <si>
    <t>Attention: Mr. Manish Gupta
75/102, Ocean Tower 2, 37th Floor, Soi Sukhumvit 19 (Wattana), Asoke Road, Klongtoey Nuer Sub-district, Wattana District, Bangkok</t>
  </si>
  <si>
    <t>EMIRCOM LLC</t>
  </si>
  <si>
    <t>CN-1018601</t>
  </si>
  <si>
    <t>YUSAFALI</t>
  </si>
  <si>
    <t>+971 2 693 4300</t>
  </si>
  <si>
    <t>Attention: YUSAFALI
PO BOX 34895 ABU DHABI UAE</t>
  </si>
  <si>
    <t>bank@emircom.com</t>
  </si>
  <si>
    <t>Genesis Fashions Ltd.</t>
  </si>
  <si>
    <t>C-23274(1679)/92</t>
  </si>
  <si>
    <t>Syed Harun/Rashid</t>
  </si>
  <si>
    <t>+8809610101010</t>
  </si>
  <si>
    <t>Attention: Syed Harun or Rashid
13th Floor, 17 Mohakhali C/A, Dhaka 1212,BD</t>
  </si>
  <si>
    <t>syed_harun@mj-group.com</t>
  </si>
  <si>
    <t>Columbia Garments Ltd.</t>
  </si>
  <si>
    <t>C-18822(676)/89</t>
  </si>
  <si>
    <t>549300IF5HJJZ4H32K82</t>
  </si>
  <si>
    <t>Attention: Syed Harun or Rashid
8th Floor, 17 Mohakhali C/A, Dhaka 1212, BD</t>
  </si>
  <si>
    <t>Columbia Apparels Ltd.</t>
  </si>
  <si>
    <t>C-38340(298)/99</t>
  </si>
  <si>
    <t>Columbia Washing Plant Ltd.</t>
  </si>
  <si>
    <t>C-38341(299)/99</t>
  </si>
  <si>
    <t>Epyllion Style Ltd</t>
  </si>
  <si>
    <t>C-55796(2479)/05</t>
  </si>
  <si>
    <t>Md. Mazharul Islam</t>
  </si>
  <si>
    <t>+8801730-006715</t>
  </si>
  <si>
    <t>Attention: Md. Mazharul Islam 
Nina Kabbo, 227/A Tejgaon I/A, Dhaka-1208</t>
  </si>
  <si>
    <t>mazharacc@epylliongroup.com</t>
  </si>
  <si>
    <t>Epyllion Knitwears Ltd</t>
  </si>
  <si>
    <t>C-49243(1232)/2003</t>
  </si>
  <si>
    <t>254900MCDRCHRFQMBK52</t>
  </si>
  <si>
    <t>VALIN STEEL (SINGAPORE) PTE LTD</t>
  </si>
  <si>
    <t>201406497E</t>
  </si>
  <si>
    <t>Ms. Zhang Suxin</t>
  </si>
  <si>
    <t>+86 18773281012</t>
  </si>
  <si>
    <t>Attention: Ms. Zhang Suxin
No. 222 Xiangfu Road, Tianxin District, Changsha, Hunan, P.R. CHINA</t>
  </si>
  <si>
    <t>zhangsuxin@chinavalin.com</t>
  </si>
  <si>
    <t>Add a new row, by right clicking in table and clicking Insert-&gt;Row Below</t>
  </si>
  <si>
    <t>Code</t>
  </si>
  <si>
    <t>Initiative</t>
  </si>
  <si>
    <t>Issued To</t>
  </si>
  <si>
    <t>Expiry</t>
  </si>
  <si>
    <t>Discount</t>
  </si>
  <si>
    <t>Planned For</t>
  </si>
  <si>
    <t>In Use By</t>
  </si>
  <si>
    <t>Set-up Date</t>
  </si>
  <si>
    <t>Column1</t>
  </si>
  <si>
    <t>650D81</t>
  </si>
  <si>
    <t>HSBC</t>
  </si>
  <si>
    <t>Redeemed</t>
  </si>
  <si>
    <t>HBIS GROUP HONG KONG CO., LTD</t>
  </si>
  <si>
    <t>514U73</t>
  </si>
  <si>
    <t>Indorama Holdings Ltd.</t>
  </si>
  <si>
    <t>274O83</t>
  </si>
  <si>
    <t>987I53</t>
  </si>
  <si>
    <t>658Q64</t>
  </si>
  <si>
    <t>Indorama Petrochem Ltd.</t>
  </si>
  <si>
    <t>279P56</t>
  </si>
  <si>
    <t>TPT Petrochemicals Pcl</t>
  </si>
  <si>
    <t>314A47</t>
  </si>
  <si>
    <t>Linde Bangladesh Limited</t>
  </si>
  <si>
    <t>423U78</t>
  </si>
  <si>
    <t>Tube Investments of India Limited</t>
  </si>
  <si>
    <t>936F68</t>
  </si>
  <si>
    <t>British American Tobacco (BAT)</t>
  </si>
  <si>
    <t>715S67</t>
  </si>
  <si>
    <t>HSBC (HASE)</t>
  </si>
  <si>
    <t>Hong Kong Jinteng Development Limited</t>
  </si>
  <si>
    <t>427T62</t>
  </si>
  <si>
    <t>Palm-Oleo Sdn Bhd</t>
  </si>
  <si>
    <t>410K14</t>
  </si>
  <si>
    <t>Emircom LLC</t>
  </si>
  <si>
    <t>900V68</t>
  </si>
  <si>
    <t>Aptech Distribution FZE</t>
  </si>
  <si>
    <t>580H89</t>
  </si>
  <si>
    <t>HBIS Group Singapore Pte. Ltd.</t>
  </si>
  <si>
    <t>402C59</t>
  </si>
  <si>
    <t>SABIC Asia Pacific Pte Ltd</t>
  </si>
  <si>
    <t>461C28</t>
  </si>
  <si>
    <t>MacWorld Industries Limited</t>
  </si>
  <si>
    <t>892M13</t>
  </si>
  <si>
    <t>Rangpur Metal Industries Limited</t>
  </si>
  <si>
    <t>Universal Tubes and Plastics Industries Ltd</t>
  </si>
  <si>
    <t>THL Tube and Pipe Industries LLC</t>
  </si>
  <si>
    <t>KHK Scaffolding and Foamwork LTD LLC</t>
  </si>
  <si>
    <t>487D13</t>
  </si>
  <si>
    <t>Win Faith Trading Limited</t>
  </si>
  <si>
    <t>743V98</t>
  </si>
  <si>
    <t>796M83</t>
  </si>
  <si>
    <t>31/07/2021</t>
  </si>
  <si>
    <t>742N17</t>
  </si>
  <si>
    <t>897X42</t>
  </si>
  <si>
    <t>816X36</t>
  </si>
  <si>
    <t>709J90</t>
  </si>
  <si>
    <t>956Q96</t>
  </si>
  <si>
    <t>337P38</t>
  </si>
  <si>
    <t>350Y71</t>
  </si>
  <si>
    <t>887Y80</t>
  </si>
  <si>
    <t>229G48</t>
  </si>
  <si>
    <t>325S45</t>
  </si>
  <si>
    <t>597G11</t>
  </si>
  <si>
    <t>959C58</t>
  </si>
  <si>
    <t>836J24</t>
  </si>
  <si>
    <t>574H64</t>
  </si>
  <si>
    <t>955G31</t>
  </si>
  <si>
    <t>452F19</t>
  </si>
  <si>
    <t>111M22</t>
  </si>
  <si>
    <t>414L49</t>
  </si>
  <si>
    <t>266O85</t>
  </si>
  <si>
    <t>634H36</t>
  </si>
  <si>
    <t>431O40</t>
  </si>
  <si>
    <t>790W73</t>
  </si>
  <si>
    <t>444A67</t>
  </si>
  <si>
    <t>603Y24</t>
  </si>
  <si>
    <t>771G59</t>
  </si>
  <si>
    <t>974U94</t>
  </si>
  <si>
    <t>484C72</t>
  </si>
  <si>
    <t>366G25</t>
  </si>
  <si>
    <t>184K95</t>
  </si>
  <si>
    <t>680P61</t>
  </si>
  <si>
    <t>477X93</t>
  </si>
  <si>
    <t>161B63</t>
  </si>
  <si>
    <t>415H39</t>
  </si>
  <si>
    <t>150I39</t>
  </si>
  <si>
    <t>791G26</t>
  </si>
  <si>
    <t>885O13</t>
  </si>
  <si>
    <t>182M55</t>
  </si>
  <si>
    <t>195V40</t>
  </si>
  <si>
    <t>130N54</t>
  </si>
  <si>
    <t>518K18</t>
  </si>
  <si>
    <t>641O55</t>
  </si>
  <si>
    <t>453S56</t>
  </si>
  <si>
    <t>239D16</t>
  </si>
  <si>
    <t>309P71</t>
  </si>
  <si>
    <t>739G51</t>
  </si>
  <si>
    <t>194A86</t>
  </si>
  <si>
    <t>583D69</t>
  </si>
  <si>
    <t>841C30</t>
  </si>
  <si>
    <t>615R24</t>
  </si>
  <si>
    <t>432F69</t>
  </si>
  <si>
    <t>902P79</t>
  </si>
  <si>
    <t>701X31</t>
  </si>
  <si>
    <t>553H74</t>
  </si>
  <si>
    <t>736H70</t>
  </si>
  <si>
    <t>517L62</t>
  </si>
  <si>
    <t>631X49</t>
  </si>
  <si>
    <t>803T74</t>
  </si>
  <si>
    <t>245N93</t>
  </si>
  <si>
    <t>960G85</t>
  </si>
  <si>
    <t>774B62</t>
  </si>
  <si>
    <t>940U44</t>
  </si>
  <si>
    <t>209R48</t>
  </si>
  <si>
    <t>595C97</t>
  </si>
  <si>
    <t>249Z84</t>
  </si>
  <si>
    <t>799H93</t>
  </si>
  <si>
    <t>950S80</t>
  </si>
  <si>
    <t>446Y47</t>
  </si>
  <si>
    <t>967K20</t>
  </si>
  <si>
    <t>286L49</t>
  </si>
  <si>
    <t>361Q42</t>
  </si>
  <si>
    <t>783F72</t>
  </si>
  <si>
    <t>835S68</t>
  </si>
  <si>
    <t>489N30</t>
  </si>
  <si>
    <t>716P60</t>
  </si>
  <si>
    <t>442A99</t>
  </si>
  <si>
    <t>965K64</t>
  </si>
  <si>
    <t>GF</t>
  </si>
  <si>
    <t>HSBC UAE</t>
  </si>
  <si>
    <t>17/06/2022</t>
  </si>
  <si>
    <t>17/06/2021</t>
  </si>
  <si>
    <t>901M75</t>
  </si>
  <si>
    <t>981F72</t>
  </si>
  <si>
    <t>891Z60</t>
  </si>
  <si>
    <t>381M82</t>
  </si>
  <si>
    <t>979M56</t>
  </si>
  <si>
    <t>541B49</t>
  </si>
  <si>
    <t>639H31</t>
  </si>
  <si>
    <t>648O39</t>
  </si>
  <si>
    <t>919A41</t>
  </si>
  <si>
    <t>670B96</t>
  </si>
  <si>
    <t>332D16</t>
  </si>
  <si>
    <t>625W78</t>
  </si>
  <si>
    <t>734V39</t>
  </si>
  <si>
    <t>497G71</t>
  </si>
  <si>
    <t>778D13</t>
  </si>
  <si>
    <t>879O67</t>
  </si>
  <si>
    <t>197O88</t>
  </si>
  <si>
    <t>544H34</t>
  </si>
  <si>
    <t>467L18</t>
  </si>
  <si>
    <t>186X87</t>
  </si>
  <si>
    <t>436R26</t>
  </si>
  <si>
    <t>101F63</t>
  </si>
  <si>
    <t>438H37</t>
  </si>
  <si>
    <t>505F35</t>
  </si>
  <si>
    <t>462I87</t>
  </si>
  <si>
    <t>440G47</t>
  </si>
  <si>
    <t>757B36</t>
  </si>
  <si>
    <t>548X87</t>
  </si>
  <si>
    <t>507M36</t>
  </si>
  <si>
    <t>784X57</t>
  </si>
  <si>
    <t>344W67</t>
  </si>
  <si>
    <t>795Q21</t>
  </si>
  <si>
    <t>867V79</t>
  </si>
  <si>
    <t>425A84</t>
  </si>
  <si>
    <t>217Z16</t>
  </si>
  <si>
    <t>273P84</t>
  </si>
  <si>
    <t>912X52</t>
  </si>
  <si>
    <t>672L86</t>
  </si>
  <si>
    <t>280V72</t>
  </si>
  <si>
    <t>612P70</t>
  </si>
  <si>
    <t>597M36</t>
  </si>
  <si>
    <t>923Y56</t>
  </si>
  <si>
    <t>790G66</t>
  </si>
  <si>
    <t>638S39</t>
  </si>
  <si>
    <t>894M99</t>
  </si>
  <si>
    <t>772U89</t>
  </si>
  <si>
    <t>808K78</t>
  </si>
  <si>
    <t>567I91</t>
  </si>
  <si>
    <t>363J71</t>
  </si>
  <si>
    <t>203F91</t>
  </si>
  <si>
    <t>SCB</t>
  </si>
  <si>
    <t>Unilever Bangladesh Ltd</t>
  </si>
  <si>
    <t>31/12/2020</t>
  </si>
  <si>
    <t>220F99</t>
  </si>
  <si>
    <t>935C95</t>
  </si>
  <si>
    <t>Linde Bangladesh Ltd</t>
  </si>
  <si>
    <t>275M97</t>
  </si>
  <si>
    <t>994T18</t>
  </si>
  <si>
    <t>122F28</t>
  </si>
  <si>
    <t>625P57</t>
  </si>
  <si>
    <t>340B83</t>
  </si>
  <si>
    <t>330H59</t>
  </si>
  <si>
    <t>565C51</t>
  </si>
  <si>
    <t>370K47</t>
  </si>
  <si>
    <t>SP</t>
  </si>
  <si>
    <t>30/03/2021</t>
  </si>
  <si>
    <t>725M98</t>
  </si>
  <si>
    <t>324B26</t>
  </si>
  <si>
    <t>692G90</t>
  </si>
  <si>
    <t>448P75</t>
  </si>
  <si>
    <t>447Q38</t>
  </si>
  <si>
    <t>BOCHK</t>
  </si>
  <si>
    <t>Hangzhou Iron &amp; Steel (H.K.)</t>
  </si>
  <si>
    <t>30/12/2020</t>
  </si>
  <si>
    <t>785W55</t>
  </si>
  <si>
    <t>Zhejiang Fuchuen Co Ltd (TBC)</t>
  </si>
  <si>
    <t>633D72</t>
  </si>
  <si>
    <t xml:space="preserve">Jiangxi Copper Hong Kong Co Ltd  </t>
  </si>
  <si>
    <t>414H54</t>
  </si>
  <si>
    <t>976J14</t>
  </si>
  <si>
    <t>BNP</t>
  </si>
  <si>
    <t>Singapore Jinteng International Pte Ltd</t>
  </si>
  <si>
    <t>26/01/2021</t>
  </si>
  <si>
    <t>981X83</t>
  </si>
  <si>
    <t>Toptip Holding Pte Ltd</t>
  </si>
  <si>
    <t>243H63</t>
  </si>
  <si>
    <t>909L23</t>
  </si>
  <si>
    <t>868G78</t>
  </si>
  <si>
    <t>767S67</t>
  </si>
  <si>
    <t>Bangkok Bank </t>
  </si>
  <si>
    <t>SCG Plastics co. ltd</t>
  </si>
  <si>
    <t>24/02/2021</t>
  </si>
  <si>
    <t>765X59</t>
  </si>
  <si>
    <t xml:space="preserve">SCG Performance Chemicals Co., Ltd.  </t>
  </si>
  <si>
    <t>116Y22</t>
  </si>
  <si>
    <t>GC Marketing Solutions Co., Ltd.</t>
  </si>
  <si>
    <t>850F26</t>
  </si>
  <si>
    <t>Polyplex (Thailand) PCL.</t>
  </si>
  <si>
    <t>124M46</t>
  </si>
  <si>
    <t>Bangkok Bank</t>
  </si>
  <si>
    <t xml:space="preserve">Indorama Polyester Industries PCL. </t>
  </si>
  <si>
    <t>376Y65</t>
  </si>
  <si>
    <t>715J24</t>
  </si>
  <si>
    <t>An Phat Bioplastics Jsc.</t>
  </si>
  <si>
    <t>223L71</t>
  </si>
  <si>
    <t>365M45</t>
  </si>
  <si>
    <t>Chemtech Co., Ltd</t>
  </si>
  <si>
    <t>672X65</t>
  </si>
  <si>
    <t>Thailand Anthracite Co., Ltd.</t>
  </si>
  <si>
    <t>513G65</t>
  </si>
  <si>
    <t>31/7/2021</t>
  </si>
  <si>
    <t>474C10</t>
  </si>
  <si>
    <t>923B63</t>
  </si>
  <si>
    <t>618P24</t>
  </si>
  <si>
    <t>664K28</t>
  </si>
  <si>
    <t>966F94</t>
  </si>
  <si>
    <t>134Q50</t>
  </si>
  <si>
    <t>356O86</t>
  </si>
  <si>
    <t>219V73</t>
  </si>
  <si>
    <t>119F62</t>
  </si>
  <si>
    <t>107M20</t>
  </si>
  <si>
    <t>Bangkok Bank (Permata)</t>
  </si>
  <si>
    <t>PT. Arista Latindo</t>
  </si>
  <si>
    <t>26/02/2021</t>
  </si>
  <si>
    <t>220T52</t>
  </si>
  <si>
    <t>554F68</t>
  </si>
  <si>
    <t>719H15</t>
  </si>
  <si>
    <t>416H48</t>
  </si>
  <si>
    <t>788H24</t>
  </si>
  <si>
    <t>IP</t>
  </si>
  <si>
    <t>Thai Acrylic Fibre Co. Ltd</t>
  </si>
  <si>
    <t>734P64</t>
  </si>
  <si>
    <t>Longtex Rubber Industry Co.,Ltd.</t>
  </si>
  <si>
    <t>551A78</t>
  </si>
  <si>
    <t>725R75</t>
  </si>
  <si>
    <t>431K98</t>
  </si>
  <si>
    <t>188R76</t>
  </si>
  <si>
    <t>862K16</t>
  </si>
  <si>
    <t>914Z31</t>
  </si>
  <si>
    <t>456H34</t>
  </si>
  <si>
    <t>791K32</t>
  </si>
  <si>
    <t>238S62</t>
  </si>
  <si>
    <t>118K89</t>
  </si>
  <si>
    <t>688V77</t>
  </si>
  <si>
    <t>108Z12</t>
  </si>
  <si>
    <t>843G15</t>
  </si>
  <si>
    <t>650U34</t>
  </si>
  <si>
    <t>929R83</t>
  </si>
  <si>
    <t>448Z66</t>
  </si>
  <si>
    <t>828L57</t>
  </si>
  <si>
    <t>850N65</t>
  </si>
  <si>
    <t>973J91</t>
  </si>
  <si>
    <t>SABB</t>
  </si>
  <si>
    <t>Alfanar</t>
  </si>
  <si>
    <t>22/03/2021</t>
  </si>
  <si>
    <t>870C25</t>
  </si>
  <si>
    <t>SACO</t>
  </si>
  <si>
    <t>449J71</t>
  </si>
  <si>
    <t>ABB ELECTRICAL INDUSTRIES CO LTD</t>
  </si>
  <si>
    <t>513H14</t>
  </si>
  <si>
    <t>AKLANIAT TECHNOLOGIES CO LTD</t>
  </si>
  <si>
    <t>468H71</t>
  </si>
  <si>
    <t>reserved for SABIC KSA (TBC)</t>
  </si>
  <si>
    <t>417M88</t>
  </si>
  <si>
    <t>SEB</t>
  </si>
  <si>
    <t>27/01/2021</t>
  </si>
  <si>
    <t>402I42</t>
  </si>
  <si>
    <t>282I63</t>
  </si>
  <si>
    <t>235C38</t>
  </si>
  <si>
    <t>505H89</t>
  </si>
  <si>
    <t>532I40</t>
  </si>
  <si>
    <t>SMBC</t>
  </si>
  <si>
    <t>Daicel Asia Pte. Ltd.</t>
  </si>
  <si>
    <t>30/04/2021</t>
  </si>
  <si>
    <t>196D38</t>
  </si>
  <si>
    <t>635Y27</t>
  </si>
  <si>
    <t>576Z41</t>
  </si>
  <si>
    <t>297R20</t>
  </si>
  <si>
    <t>450Q58</t>
  </si>
  <si>
    <t>378C89</t>
  </si>
  <si>
    <t>237R46</t>
  </si>
  <si>
    <t>776P98</t>
  </si>
  <si>
    <t>875C25</t>
  </si>
  <si>
    <t>306R58</t>
  </si>
  <si>
    <t>758W30</t>
  </si>
  <si>
    <t>905O85</t>
  </si>
  <si>
    <t>522F17</t>
  </si>
  <si>
    <t>719R74</t>
  </si>
  <si>
    <t>832T22</t>
  </si>
  <si>
    <t>710Q57</t>
  </si>
  <si>
    <t>952R59</t>
  </si>
  <si>
    <t>201L55</t>
  </si>
  <si>
    <t>331V98</t>
  </si>
  <si>
    <t>975W68</t>
  </si>
  <si>
    <t>DBS</t>
  </si>
  <si>
    <t>31/09/2021</t>
  </si>
  <si>
    <t>25/03/2021</t>
  </si>
  <si>
    <t>830O59</t>
  </si>
  <si>
    <t>188A95</t>
  </si>
  <si>
    <t>358H73</t>
  </si>
  <si>
    <t>846K99</t>
  </si>
  <si>
    <t>157L65</t>
  </si>
  <si>
    <t>586Q42</t>
  </si>
  <si>
    <t>584P17</t>
  </si>
  <si>
    <t>999H52</t>
  </si>
  <si>
    <t>259I92</t>
  </si>
  <si>
    <t>30/06/2021</t>
  </si>
  <si>
    <t>554G31</t>
  </si>
  <si>
    <t>290P23</t>
  </si>
  <si>
    <t>772H38</t>
  </si>
  <si>
    <t>204J82</t>
  </si>
  <si>
    <t>555G91</t>
  </si>
  <si>
    <t>Chandra Asri Trading Company Pte Ltd (CATCO)</t>
  </si>
  <si>
    <t>WIP</t>
  </si>
  <si>
    <t>506P73</t>
  </si>
  <si>
    <t>Singapore Cogeneration Steel Pte. Ltd.</t>
  </si>
  <si>
    <t>30/7/2021</t>
  </si>
  <si>
    <t>967A99</t>
  </si>
  <si>
    <t>813S10</t>
  </si>
  <si>
    <t>313H57</t>
  </si>
  <si>
    <t>ICBC Asia Limited</t>
  </si>
  <si>
    <t>436W20</t>
  </si>
  <si>
    <t>566W85</t>
  </si>
  <si>
    <t>892G71</t>
  </si>
  <si>
    <t>207Q98</t>
  </si>
  <si>
    <t>983H72</t>
  </si>
  <si>
    <t>CTBC</t>
  </si>
  <si>
    <t>956V90</t>
  </si>
  <si>
    <t>145D88</t>
  </si>
  <si>
    <t>449R13</t>
  </si>
  <si>
    <t>727S67</t>
  </si>
  <si>
    <t>268M25</t>
  </si>
  <si>
    <t>Citibank</t>
  </si>
  <si>
    <t>Cummins India Limited</t>
  </si>
  <si>
    <t>868C56</t>
  </si>
  <si>
    <t>HCL Technologies Limited</t>
  </si>
  <si>
    <t>980Y12</t>
  </si>
  <si>
    <t>634C24</t>
  </si>
  <si>
    <t>164C83</t>
  </si>
  <si>
    <t>661Q16</t>
  </si>
  <si>
    <t>692B69</t>
  </si>
  <si>
    <t>866R67</t>
  </si>
  <si>
    <t>148S35</t>
  </si>
  <si>
    <t>504Z80</t>
  </si>
  <si>
    <t>510G50</t>
  </si>
  <si>
    <t>264W79</t>
  </si>
  <si>
    <t>967K96</t>
  </si>
  <si>
    <t>483D43</t>
  </si>
  <si>
    <t>552N30</t>
  </si>
  <si>
    <t>588D93</t>
  </si>
  <si>
    <t>636B44</t>
  </si>
  <si>
    <t>862M86</t>
  </si>
  <si>
    <t>151X17</t>
  </si>
  <si>
    <t>987I54</t>
  </si>
  <si>
    <t>BGWG</t>
  </si>
  <si>
    <t>HSBC / Prime</t>
  </si>
  <si>
    <t>Ananta Apparels Ltd</t>
  </si>
  <si>
    <t>658Q65</t>
  </si>
  <si>
    <t>Ananta Casualwear Ltd</t>
  </si>
  <si>
    <t>279P57</t>
  </si>
  <si>
    <t>Ananta Denim Technology</t>
  </si>
  <si>
    <t>314A48</t>
  </si>
  <si>
    <t xml:space="preserve">Ananta Garments Ltd </t>
  </si>
  <si>
    <t>423U79</t>
  </si>
  <si>
    <t>Ananta Sportswear Ltd</t>
  </si>
  <si>
    <t>936F69</t>
  </si>
  <si>
    <t>Ananta Jeanswear Ltd</t>
  </si>
  <si>
    <t>487D14</t>
  </si>
  <si>
    <t>HSBC / SCB</t>
  </si>
  <si>
    <t>743V99</t>
  </si>
  <si>
    <t xml:space="preserve">Epyllion Style Ltd </t>
  </si>
  <si>
    <t>796M84</t>
  </si>
  <si>
    <t>Etafil Accessories Ltd</t>
  </si>
  <si>
    <t>574H66</t>
  </si>
  <si>
    <t>HSBC / SCB / Prime</t>
  </si>
  <si>
    <t>Viyellatex Limited</t>
  </si>
  <si>
    <t>955G33</t>
  </si>
  <si>
    <t>Interfab Shirt Manufacturing Limited</t>
  </si>
  <si>
    <t>402C60</t>
  </si>
  <si>
    <t>Jinnat Apparels Ltd</t>
  </si>
  <si>
    <t>461C29</t>
  </si>
  <si>
    <t>Jinnat Fashion Ltd</t>
  </si>
  <si>
    <t>892M14</t>
  </si>
  <si>
    <t>Packway Packaging</t>
  </si>
  <si>
    <t>811E87</t>
  </si>
  <si>
    <t>Thanbee Printworld</t>
  </si>
  <si>
    <t>345E31</t>
  </si>
  <si>
    <t>Matin Spinning Mills Limited</t>
  </si>
  <si>
    <t>742N18</t>
  </si>
  <si>
    <t xml:space="preserve"> SCB</t>
  </si>
  <si>
    <t>Genesis Fashions Ltd</t>
  </si>
  <si>
    <t>897X43</t>
  </si>
  <si>
    <t xml:space="preserve">HSBC  </t>
  </si>
  <si>
    <t>Columbia Washing Plant Ltd</t>
  </si>
  <si>
    <t>816X37</t>
  </si>
  <si>
    <t>Columbia Garments Ltd</t>
  </si>
  <si>
    <t>350Y72</t>
  </si>
  <si>
    <t>Refat Garments Ltd</t>
  </si>
  <si>
    <t>887Y81</t>
  </si>
  <si>
    <t>Ha-Meem Denims Ltd</t>
  </si>
  <si>
    <t>325S46</t>
  </si>
  <si>
    <t>KDS Fashion Ltd</t>
  </si>
  <si>
    <t>597G12</t>
  </si>
  <si>
    <t>KDS Accessories Ltd</t>
  </si>
  <si>
    <t>743V100</t>
  </si>
  <si>
    <t>Square Fashion Ltd</t>
  </si>
  <si>
    <t>796M85</t>
  </si>
  <si>
    <t>Square Apparels Ltd</t>
  </si>
  <si>
    <t>742N19</t>
  </si>
  <si>
    <t>Square Denim Ltd</t>
  </si>
  <si>
    <t>897X44</t>
  </si>
  <si>
    <t>Standard Group Ltd</t>
  </si>
  <si>
    <t>816X38</t>
  </si>
  <si>
    <t>The Civil Engineers Ltd</t>
  </si>
  <si>
    <t>709J92</t>
  </si>
  <si>
    <t>Shams Styling Wear Ltd</t>
  </si>
  <si>
    <t>956Q98</t>
  </si>
  <si>
    <t>Tip Top Fashions Limited</t>
  </si>
  <si>
    <t>337P40</t>
  </si>
  <si>
    <t>International Trading Services Ltd</t>
  </si>
  <si>
    <t>887Y82</t>
  </si>
  <si>
    <t>Kenpark Bangladesh Apparel Pvt. Ltd. </t>
  </si>
  <si>
    <t>350Y73</t>
  </si>
  <si>
    <t>Prime</t>
  </si>
  <si>
    <t>Kenpark Bangladesh Pvt. Ltd.</t>
  </si>
  <si>
    <t>634H38</t>
  </si>
  <si>
    <t>Regency Three Ltd.</t>
  </si>
  <si>
    <t>431O42</t>
  </si>
  <si>
    <t>Regency Garments Ltd.</t>
  </si>
  <si>
    <t>790W75</t>
  </si>
  <si>
    <t>ALS-Checkpoint Bangladesh Limited</t>
  </si>
  <si>
    <t>444A69</t>
  </si>
  <si>
    <t>Amann Bangladesh Ltd</t>
  </si>
  <si>
    <t>650D82</t>
  </si>
  <si>
    <t>Apex Lingerie Ltd</t>
  </si>
  <si>
    <t>514U74</t>
  </si>
  <si>
    <t>Cutting Edge Industries Ltd</t>
  </si>
  <si>
    <t>715S68</t>
  </si>
  <si>
    <t>Envoy Textiles Limited</t>
  </si>
  <si>
    <t>580H90</t>
  </si>
  <si>
    <t>Liz Fashion Industry Ltd</t>
  </si>
  <si>
    <t>Mainetti Packaging Bangladesh Pvt</t>
  </si>
  <si>
    <t>836J25</t>
  </si>
  <si>
    <t>Montrims Ltd.</t>
  </si>
  <si>
    <t>574H65</t>
  </si>
  <si>
    <t>Multifab Limited</t>
  </si>
  <si>
    <t>955G32</t>
  </si>
  <si>
    <t>EMS Apparels</t>
  </si>
  <si>
    <t>452F20</t>
  </si>
  <si>
    <t>Norp Knit Industries Limited</t>
  </si>
  <si>
    <t>111M23</t>
  </si>
  <si>
    <t>SML Packaging Solutions Bangladesh</t>
  </si>
  <si>
    <t>790W74</t>
  </si>
  <si>
    <t>Sterling Creations Limited</t>
  </si>
  <si>
    <t>487D15</t>
  </si>
  <si>
    <t>Tex Zippers (BD) Ltd</t>
  </si>
  <si>
    <t>229G50</t>
  </si>
  <si>
    <t>Tarasima Apparels Ltd</t>
  </si>
  <si>
    <t>325S47</t>
  </si>
  <si>
    <t>American And Efird (Bangladesh) Ltd</t>
  </si>
  <si>
    <t>427T63</t>
  </si>
  <si>
    <t>Charming Trim And Packaging (BD)</t>
  </si>
  <si>
    <t>274O84</t>
  </si>
  <si>
    <t>Coats Bangladesh Ltd</t>
  </si>
  <si>
    <t>410K15</t>
  </si>
  <si>
    <t>Hanoch Hook And Eye Fastener</t>
  </si>
  <si>
    <t>900V69</t>
  </si>
  <si>
    <t>Las Fashion Link Ltd</t>
  </si>
  <si>
    <t>229G49</t>
  </si>
  <si>
    <t>Natco Global Packaging Dhaka Ltd</t>
  </si>
  <si>
    <t>959C59</t>
  </si>
  <si>
    <t>Paxar Bangladesh Ltd.</t>
  </si>
  <si>
    <t>414L50</t>
  </si>
  <si>
    <t>Shenzhen Metal Industries Ltd</t>
  </si>
  <si>
    <t>771G60</t>
  </si>
  <si>
    <t>Siam Computerized Elastic</t>
  </si>
  <si>
    <t>Thermax Knit Yarn Ltd</t>
  </si>
  <si>
    <t>974U95</t>
  </si>
  <si>
    <t>Today Knitwears Limited</t>
  </si>
  <si>
    <t>597G13</t>
  </si>
  <si>
    <t>Uniglory Paper And Packaging Ltd</t>
  </si>
  <si>
    <t>959C60</t>
  </si>
  <si>
    <t>Weixing Industrial (Bangladesh) Co.</t>
  </si>
  <si>
    <t>836J26</t>
  </si>
  <si>
    <t>YKK Bangladesh Pte Ltd</t>
  </si>
  <si>
    <t>452F21</t>
  </si>
  <si>
    <t>GMS Composite Knitting Ltd</t>
  </si>
  <si>
    <t>111M24</t>
  </si>
  <si>
    <t>GMS Textiles Ltd</t>
  </si>
  <si>
    <t>709J91</t>
  </si>
  <si>
    <t>GMS Trims</t>
  </si>
  <si>
    <t>956Q97</t>
  </si>
  <si>
    <t>JM Fabric Ltd</t>
  </si>
  <si>
    <t>337P39</t>
  </si>
  <si>
    <t>Knit Asia Ltd</t>
  </si>
  <si>
    <t>266O86</t>
  </si>
  <si>
    <t>Knit Asia Ltd (Unit 2)</t>
  </si>
  <si>
    <t>634H37</t>
  </si>
  <si>
    <t>NRG Composite Yam Dyeing Ltd</t>
  </si>
  <si>
    <t>431O41</t>
  </si>
  <si>
    <t>NRG Hometex Ltd</t>
  </si>
  <si>
    <t>444A68</t>
  </si>
  <si>
    <t>Yokohama Labels And Printing</t>
  </si>
  <si>
    <t>603Y25</t>
  </si>
  <si>
    <t>Zong Sine Textile Ind Ltd</t>
  </si>
  <si>
    <t>414L51</t>
  </si>
  <si>
    <t xml:space="preserve">HSBC </t>
  </si>
  <si>
    <t xml:space="preserve">Columbia Apparels Ltd. </t>
  </si>
  <si>
    <t xml:space="preserve">Columbia Apparel Ltd. </t>
  </si>
  <si>
    <t>266O87</t>
  </si>
  <si>
    <t>Square Texcom Ltd</t>
  </si>
  <si>
    <t>603Y26</t>
  </si>
  <si>
    <t>Square Textiles Ltd</t>
  </si>
  <si>
    <t>771G61</t>
  </si>
  <si>
    <t>974U96</t>
  </si>
  <si>
    <t>Contracting Party</t>
  </si>
  <si>
    <t>Internal</t>
  </si>
  <si>
    <t>Jira Ref</t>
  </si>
  <si>
    <t>Initiative Code</t>
  </si>
  <si>
    <t>Contour Identity</t>
  </si>
  <si>
    <t>Identity Legal Entity Name (O)</t>
  </si>
  <si>
    <t>Identity BIC</t>
  </si>
  <si>
    <t>Identity LEI</t>
  </si>
  <si>
    <t>Identity Reg Number</t>
  </si>
  <si>
    <t>X500-O</t>
  </si>
  <si>
    <t>X500-OU</t>
  </si>
  <si>
    <t>X500-L</t>
  </si>
  <si>
    <t>X500-C</t>
  </si>
  <si>
    <t>Identity Contacts (CSV)</t>
  </si>
  <si>
    <t>Full X500</t>
  </si>
  <si>
    <t>BNO DB Status</t>
  </si>
  <si>
    <t>BNO ID</t>
  </si>
  <si>
    <t>Cordapp Version</t>
  </si>
  <si>
    <t>Billing Run Result</t>
  </si>
  <si>
    <t>Events This Month</t>
  </si>
  <si>
    <t>Total Events</t>
  </si>
  <si>
    <t>BNMS vs BNO</t>
  </si>
  <si>
    <t>HOT-31</t>
  </si>
  <si>
    <t>HSBC India</t>
  </si>
  <si>
    <t>The Hongkong and Shanghai Banking Corporation Limited</t>
  </si>
  <si>
    <t>HSBCINBB</t>
  </si>
  <si>
    <t>F00947</t>
  </si>
  <si>
    <t>Global Trade and Receivables Finance Production</t>
  </si>
  <si>
    <t>Mumbai</t>
  </si>
  <si>
    <t>IN</t>
  </si>
  <si>
    <t xml:space="preserve">andy.x.c.wang@hsbc.com.cn; bing.qu@hsbc.com; eric.e.miao@hsbc.com; keano.y.c.chan@hsbc.com.hk; sandy.j.peng@hsbc.com.cn; henrique.centieiro@hsbc.com.hk </t>
  </si>
  <si>
    <t>HELP-3</t>
  </si>
  <si>
    <t>HSBC Hong Kong</t>
  </si>
  <si>
    <t>HSBCHKHHHKH</t>
  </si>
  <si>
    <t>2HI3YI5320L3RW6NJ957</t>
  </si>
  <si>
    <t>GTRF Production</t>
  </si>
  <si>
    <t>Central District</t>
  </si>
  <si>
    <t>HK</t>
  </si>
  <si>
    <t>HELP-101</t>
  </si>
  <si>
    <t>Standard Chartered Bank - Node 3</t>
  </si>
  <si>
    <t>SCBLSG22</t>
  </si>
  <si>
    <t>CIB ITO-CORDA</t>
  </si>
  <si>
    <t>Singapore</t>
  </si>
  <si>
    <t>SG</t>
  </si>
  <si>
    <t xml:space="preserve">Balaraman.Kunduvara@sc.com; Himanshu.maggo@sc.com; Lisna.Chia@sc.com; Nikhil.Awasthi@sc.com; Urvesh.Mehta@sc.com; Rajaguru.Raman@sc.com; </t>
  </si>
  <si>
    <t>HELP-31</t>
  </si>
  <si>
    <t>Standard Chartered Bank Bangladesh Branch Limited</t>
  </si>
  <si>
    <t>SCBLBDDX</t>
  </si>
  <si>
    <t>Dhaka</t>
  </si>
  <si>
    <t>BD</t>
  </si>
  <si>
    <t>HSBC Bank Middle East Ltd</t>
  </si>
  <si>
    <t>BBMEAEAD</t>
  </si>
  <si>
    <t>549300F99IL9YJDWH369</t>
  </si>
  <si>
    <t>Dubai</t>
  </si>
  <si>
    <t>AE</t>
  </si>
  <si>
    <t>HELP-2</t>
  </si>
  <si>
    <t>HSBC Singapore</t>
  </si>
  <si>
    <t>HSBCSGSG</t>
  </si>
  <si>
    <t>S16FC0010A</t>
  </si>
  <si>
    <t>HELP-39</t>
  </si>
  <si>
    <t>HSBC Bangladesh</t>
  </si>
  <si>
    <t>HSBCBDDH</t>
  </si>
  <si>
    <t>000002671-0002</t>
  </si>
  <si>
    <t>HELP-40</t>
  </si>
  <si>
    <t>HSBC Malaysia</t>
  </si>
  <si>
    <t>HSBC Bank Malaysia Berhad</t>
  </si>
  <si>
    <t>HBMBMYKL</t>
  </si>
  <si>
    <t>P3RPN9OJFCXUPJWB1Q09</t>
  </si>
  <si>
    <t>198401015221 (127776-V)</t>
  </si>
  <si>
    <t>Kuala Lumpur</t>
  </si>
  <si>
    <t>MY</t>
  </si>
  <si>
    <t>HELP-85</t>
  </si>
  <si>
    <t>PT BANK PERMATA TBK</t>
  </si>
  <si>
    <t>PT Bank Permata TBK</t>
  </si>
  <si>
    <t>BBBAIDJAXXX</t>
  </si>
  <si>
    <t>5493003MGU02RFSRZT53</t>
  </si>
  <si>
    <t>Permata</t>
  </si>
  <si>
    <t>Jakarta</t>
  </si>
  <si>
    <t>ID</t>
  </si>
  <si>
    <t xml:space="preserve">andi.saputra@permatabank.co.id; dimas.dwiputra@permatabank.co.id; dwitarsa@permatabank.co.id; geoffrey.laurens@permatabank.co.id; hrprasetyo@permatabank.co.id; rnainggolan@permatabank.co.id; </t>
  </si>
  <si>
    <t>HELP-102</t>
  </si>
  <si>
    <t>Hang Seng Bank Hong Kong</t>
  </si>
  <si>
    <t>Hang Seng Bank Limited</t>
  </si>
  <si>
    <t>HASEHKHH</t>
  </si>
  <si>
    <t>5493009Z5F07LWZYMK62</t>
  </si>
  <si>
    <t>00149472</t>
  </si>
  <si>
    <t>HOT-171</t>
  </si>
  <si>
    <t>HSBC China</t>
  </si>
  <si>
    <t>HSBC Bank (China) Company Limited</t>
  </si>
  <si>
    <t>HSBCCNSHXXX</t>
  </si>
  <si>
    <t>2CZOJRADNJXBLT55G526</t>
  </si>
  <si>
    <t>913100007989808015</t>
  </si>
  <si>
    <t>Shanghai</t>
  </si>
  <si>
    <t>CN</t>
  </si>
  <si>
    <t>HOT-103</t>
  </si>
  <si>
    <t>ESSESESSXXX</t>
  </si>
  <si>
    <t>F3JS33DEI6XQ4ZBPTN86</t>
  </si>
  <si>
    <t>5020329081</t>
  </si>
  <si>
    <t>Node1</t>
  </si>
  <si>
    <t>Stockholm</t>
  </si>
  <si>
    <t>SE</t>
  </si>
  <si>
    <t>marina.sandquist@seb.se; thommy.lindahl@seb.se</t>
  </si>
  <si>
    <t>HOT-125</t>
  </si>
  <si>
    <t>BNP PARIBAS</t>
  </si>
  <si>
    <t>BNP Paribas</t>
  </si>
  <si>
    <t>BNPAFRPP</t>
  </si>
  <si>
    <t>R0MUWSFPU8MPRO8K5P83</t>
  </si>
  <si>
    <t>662042449</t>
  </si>
  <si>
    <t>CTR PRD AGENT 01</t>
  </si>
  <si>
    <t>Paris</t>
  </si>
  <si>
    <t>FR</t>
  </si>
  <si>
    <t xml:space="preserve">baptiste.zegre@externe.bnpparibas.com; jose.pires@bnpparibas.com; kamal.naitouahmane@externe.bnpparibas.com; samer.elmurr@bnpparibas.com; </t>
  </si>
  <si>
    <t>HOT-176</t>
  </si>
  <si>
    <t>Standard Chartered Bank – Node 1</t>
  </si>
  <si>
    <t>STANDARD CHARTERED GLOBAL BUSINESS SERVICES PRIVATE LIMITED</t>
  </si>
  <si>
    <t>Not found</t>
  </si>
  <si>
    <t>CIB ITO-CORDA-SCB IN</t>
  </si>
  <si>
    <t>Chennai</t>
  </si>
  <si>
    <t>andrelee@dbs.com; bryankang@dbs.com; leonardtanpc@dbs.com; louisatang@dbs.com; mankwanchen@dbs.com; melanieyau@dbs.com; patrickng@dbs.com; wanganchua@dbs.com</t>
  </si>
  <si>
    <t>HELP-438</t>
  </si>
  <si>
    <t>HSBC Thailand</t>
  </si>
  <si>
    <t>HSBCTHBK</t>
  </si>
  <si>
    <t>0100544000390</t>
  </si>
  <si>
    <t>Bangkok</t>
  </si>
  <si>
    <t>TH</t>
  </si>
  <si>
    <t xml:space="preserve">andy.x.c.wang@hsbc.com.cn; bing.qu@hsbc.com; eric.e.miao@hsbc.com; keano.y.c.chan@hsbc.com.hk; sandy.j.peng@hsbc.com.cn; henrique.centieiro@hsbc.com.hk ; j-c.manghardt@hsbc.com.hk ; benson.s.p.wong@hsbc.com.hk </t>
  </si>
  <si>
    <t>HELP-34</t>
  </si>
  <si>
    <t>TATA STEEL LIMITED</t>
  </si>
  <si>
    <t>TATA Steel Limited</t>
  </si>
  <si>
    <t>335800E6C75YGSGD5T66</t>
  </si>
  <si>
    <t>L27100MH1907PLC000260</t>
  </si>
  <si>
    <t>Trade Finance</t>
  </si>
  <si>
    <t xml:space="preserve">amitk@tatasteel.com; mini.susan@tatasteel.com; rahullal@tatasteel.com; </t>
  </si>
  <si>
    <t>HELP-38</t>
  </si>
  <si>
    <t xml:space="preserve">sandeep@universaltubes.com; shylu@universaltubes.com; utpinfo@universaltubes.com; </t>
  </si>
  <si>
    <t>HELP-35</t>
  </si>
  <si>
    <t>Xiamen ITG Group Corp., Ltd</t>
  </si>
  <si>
    <t>Xiamen ITG Group Corp. Ltd</t>
  </si>
  <si>
    <t>913502001550054395</t>
  </si>
  <si>
    <t>Xiamen</t>
  </si>
  <si>
    <t>liyulong@itg.com.cn; sunbk@itg.com.cn; xuyiwei@itg.com.cn;</t>
  </si>
  <si>
    <t>HELP-25</t>
  </si>
  <si>
    <t>Bank of China (Hong Kong) Limited</t>
  </si>
  <si>
    <t>BKCHHKHHXXX</t>
  </si>
  <si>
    <t>KNPC1X7GHDZW8U2ZSF89</t>
  </si>
  <si>
    <t>01779270 - 000</t>
  </si>
  <si>
    <t>Hong Kong</t>
  </si>
  <si>
    <t xml:space="preserve">emilybhng@bochk.com; kane_hhlai@bochk.com; tsckmchiu@bohk.com; tsclchik@bochk.com; </t>
  </si>
  <si>
    <t>HELP-61</t>
  </si>
  <si>
    <t>INDUSTRIAL AND COMMERCIAL BANK OF CHINA,XIAMEN CITY BRANCH</t>
  </si>
  <si>
    <t>Industrial and Commercial Bank of China Limited Xiamen Branch Business Office</t>
  </si>
  <si>
    <t>ICBKCNBJSMM </t>
  </si>
  <si>
    <t>fangyiru@xm.icbc.com.cn;</t>
  </si>
  <si>
    <t>HELP-60</t>
  </si>
  <si>
    <t>Rio Tinto Commercial Pte Ltd</t>
  </si>
  <si>
    <t xml:space="preserve">Annie.Ho@riotinto.com; doreen.chew@riotinto.com; doreen.lee@riotinto.com; Michel.Alves@riotinto.com; cstradefinance@riotinto.com; SiokHwee.Tan@riotinto.com; weijie.koh@riotinto.com; Dawn.Low@riotinto.com; </t>
  </si>
  <si>
    <t>HELP-86</t>
  </si>
  <si>
    <t>DBS BANK LTD.</t>
  </si>
  <si>
    <t>DBS Bank Ltd.</t>
  </si>
  <si>
    <t>DBSSSGSG</t>
  </si>
  <si>
    <t>acasiusleong@dbs.com; alextangky@dbs.com; catherinehuangh@dbs.com; keitheng@dbs.com; leonardtanpc@dbs.com; megansoo@dbs.com; siewjinliew@dbs.com; SiewLanChing@dbs.com; YeeLee@dbs.com</t>
  </si>
  <si>
    <t>Pointer Investment  - Hong Kong</t>
  </si>
  <si>
    <t>Pointer Investment (Hong Kong) Limited</t>
  </si>
  <si>
    <t>HELP-71</t>
  </si>
  <si>
    <t>ROBE RIVER ORE SALES PTY. LTD.</t>
  </si>
  <si>
    <t>Robe River Ore Sales Pty. Ltd.</t>
  </si>
  <si>
    <t>ACN053296254</t>
  </si>
  <si>
    <t>Perth</t>
  </si>
  <si>
    <t>AU</t>
  </si>
  <si>
    <t>HELP-70</t>
  </si>
  <si>
    <t>HOPE DOWNS MARKETING COMPANY PTY LTD</t>
  </si>
  <si>
    <t>Hope Downs Marketing Company Pty Ltd</t>
  </si>
  <si>
    <t>ACN115712117</t>
  </si>
  <si>
    <t>HELP-95</t>
  </si>
  <si>
    <t>Bangkok Bank - Thailand</t>
  </si>
  <si>
    <t>BKKBTHBK</t>
  </si>
  <si>
    <t xml:space="preserve">Kantipong.Phairot@bangkokbank.com; Pintuwan.Kleijssen@bangkokbank.com; kajohnsak.manaviriyakul@bangkokbank.com; </t>
  </si>
  <si>
    <t>HELP-94</t>
  </si>
  <si>
    <t>Bangkok Bank - Vietnam</t>
  </si>
  <si>
    <t>BKKBVNVX</t>
  </si>
  <si>
    <t>0301219010</t>
  </si>
  <si>
    <t>Ho Chi Minh City</t>
  </si>
  <si>
    <t>VN</t>
  </si>
  <si>
    <t>HELP-117</t>
  </si>
  <si>
    <t>HANGZHOU IRON &amp; STEEL (H.K.) COMPANY LIMITED</t>
  </si>
  <si>
    <t>alex@fuchuen.com; memo@fuchuen.com; taiyl@fuchuen.com;</t>
  </si>
  <si>
    <t>HELP-127</t>
  </si>
  <si>
    <t>HBIS Group Hong Kong Co. Limited</t>
  </si>
  <si>
    <t>3003007YDGH5Y16N0B63</t>
  </si>
  <si>
    <t>hesteelhk@hbisco.com; pchung@hbisco.com; kkleung@hbisco.com</t>
  </si>
  <si>
    <t>??</t>
  </si>
  <si>
    <t>Trade Finance Prod</t>
  </si>
  <si>
    <t>St-Prex</t>
  </si>
  <si>
    <t>CH</t>
  </si>
  <si>
    <t xml:space="preserve">celeste.prates@vale.com; fatima.kiffer@vale.com; Lim.bengbing@vale.com;verachin.silva@vale.com; yeefong.fan@VALE.COM;Zulkefli.Mohamed@vale.com </t>
  </si>
  <si>
    <t>HELP-134</t>
  </si>
  <si>
    <t>HELP-139</t>
  </si>
  <si>
    <t>TOPTIP HOLDING PTE. LTD</t>
  </si>
  <si>
    <t>ops@toptip.com.sg</t>
  </si>
  <si>
    <t>HELP-167</t>
  </si>
  <si>
    <t>30030009YNC87ZEJ0I96</t>
  </si>
  <si>
    <t>baisuqiu@njsteel.com.cn; diaochenghai@njsteel.com.cn; yushui@njsteel.com.cn; zhaoqian@njsteel.com.cn</t>
  </si>
  <si>
    <t>HELP-172</t>
  </si>
  <si>
    <t>Chandra Asri Trading Company Pte Ltd</t>
  </si>
  <si>
    <t>20091921M</t>
  </si>
  <si>
    <t>adhi.rachman@capcx.com; irawan@capcx.com; jonathan.kandinata@capcx.com</t>
  </si>
  <si>
    <t>HELP-183</t>
  </si>
  <si>
    <t>HONG KONG JINTENG DEVELOPMENT LIMITED</t>
  </si>
  <si>
    <t>HELP-189</t>
  </si>
  <si>
    <t>CEMCOA LIMITED</t>
  </si>
  <si>
    <t>anika.chowdhury@thecemcoa.com; bills@thecemcoa.com; joseph.kwan@thecemcoa.com; john.khew@ssgil.com; treasury@thecemcoa.com; kineks.cheung@thecemcoa.com</t>
  </si>
  <si>
    <t>HELP-198</t>
  </si>
  <si>
    <t>Metal One (Thailand) Company Limited</t>
  </si>
  <si>
    <t>anon.c@mtlo.co.th; kazuyuki.inada@mtlo.co.th; mayuree@mtlo.co.th; phakhamon@mtlo.co.th</t>
  </si>
  <si>
    <t>HELP-209</t>
  </si>
  <si>
    <t>SCG Plastics Company Limited</t>
  </si>
  <si>
    <t>nattinea@scg.com; patcharm@scg.com; piyanucs@scg.com</t>
  </si>
  <si>
    <t>HELP-214</t>
  </si>
  <si>
    <t>SCG Performance Chemicals Company Limited</t>
  </si>
  <si>
    <t>HELP-218</t>
  </si>
  <si>
    <t>Petaling Jaya</t>
  </si>
  <si>
    <t>alan.lim@klkoleo.com; ml.chin@klkoleo.com; po-shipdocs@klkoleo.com; tracy.ng@klkoleo.com; william.ng@klkoleo.com</t>
  </si>
  <si>
    <t>HELP-220</t>
  </si>
  <si>
    <t>PT ARISTA LATINDO</t>
  </si>
  <si>
    <t>8120300810325</t>
  </si>
  <si>
    <t>aristaexim@yahoo.com; celly@aristagloves.com; lius@aristagloves.com</t>
  </si>
  <si>
    <t>HELP-242</t>
  </si>
  <si>
    <t>BRITISH AMERICAN TOBACCO BANGLADESH CO. LTD.</t>
  </si>
  <si>
    <t>BATSBDA1XXX</t>
  </si>
  <si>
    <t>0000000180004</t>
  </si>
  <si>
    <t>ahmed_nasim@bat.com; sadia_kamal@bat.com; zarrin_tasnim@bat.com</t>
  </si>
  <si>
    <t>HELP-228</t>
  </si>
  <si>
    <t>ArcelorMittal Nippon Steel India Limited</t>
  </si>
  <si>
    <t>335800G4XYOMDYABDS23</t>
  </si>
  <si>
    <t>U27100GJ1976FLC013787</t>
  </si>
  <si>
    <t>Surat</t>
  </si>
  <si>
    <t>Narayan.Joshi@amns.in; pitambar.sahu@amns.in; pradeep.parte@amns.in; rajesh.patel@amns.in</t>
  </si>
  <si>
    <t>HELP-247</t>
  </si>
  <si>
    <t>CHEMTECH CO. LTD</t>
  </si>
  <si>
    <t>Binh Duong</t>
  </si>
  <si>
    <t>linhngth@scg.com; phuongntt@scg.com; thanhtra@scg.com</t>
  </si>
  <si>
    <t>HELP-231</t>
  </si>
  <si>
    <t>AN PHAT BIOPLASTICS JOINT STOCK COMPANY</t>
  </si>
  <si>
    <t>0800373586</t>
  </si>
  <si>
    <t>Hai Duong</t>
  </si>
  <si>
    <t>ap.ketoan1@anphatbioplastics.com; ap.pmh7@anphatbioplastics.com; httha@anphatbioplastics.com</t>
  </si>
  <si>
    <t>HELP-261</t>
  </si>
  <si>
    <t>DHBKHKHH</t>
  </si>
  <si>
    <t>HELP-268</t>
  </si>
  <si>
    <t>529900B3G8NVNTYVGM61</t>
  </si>
  <si>
    <t>supritha@polyplex.com; manisha@polyplex.com; ratheesh.aniyeri@polyplex.com; kittima@polyplex.com</t>
  </si>
  <si>
    <t>HELP-283</t>
  </si>
  <si>
    <t>nutthawan@thailandanthracite.com;supaporn@easternpearl.co.th;kittiya@thailandanthracite.com;supaporn@easternpearl.co.th;rattana@thailandanthracite.com</t>
  </si>
  <si>
    <t>HELP-293</t>
  </si>
  <si>
    <t>Hung Yen</t>
  </si>
  <si>
    <t>hien.nguyen@stavianchem.com; trong.duong@stavianchem.com; giang.dao@stavianchem.com; duong.nguyen@stavianchem.com</t>
  </si>
  <si>
    <t>HELP-253</t>
  </si>
  <si>
    <t>LABUAN</t>
  </si>
  <si>
    <t>shams@macworldinc.com;export.bulk@macworldinc.com;teamaccounts@macworldinc.com;finance@macworldinc.com;praseed@macworldinc.com;praseed@macworldinc.com</t>
  </si>
  <si>
    <t>HELP-305</t>
  </si>
  <si>
    <t>mohammad.usman@ingrammicro.com;krishnan.lakshman@ingrammicro.com;mohammed.faiyaz@ingrammicro.com</t>
  </si>
  <si>
    <t>HELP-327</t>
  </si>
  <si>
    <t>LONGTEX RUBBER INDUSTRY CO. LTD.</t>
  </si>
  <si>
    <t>Samut Prakan</t>
  </si>
  <si>
    <t>purchase@longtex.co.th; itcenter@longtex.co.th; jensunwei@gmail.com</t>
  </si>
  <si>
    <t>HELP-307</t>
  </si>
  <si>
    <t>SUMITOMO MITSUI BANKING CORPORATION SINGAPORE BRANCH</t>
  </si>
  <si>
    <t>SMBCSGSG</t>
  </si>
  <si>
    <t>T03FC6366F</t>
  </si>
  <si>
    <t>benny_suwe@sg.smbc.co.jp;hendry_janto@sg.smbc.co.jp;veronica_yeo@sg.smbc.co.jp;nagappan_nagappan@sg.smbc.co.jp;jason_goh@sg.smbc.co.jp</t>
  </si>
  <si>
    <t>HELP-310</t>
  </si>
  <si>
    <t>SINGAPORE (COGENERATION) STEEL PTE. LTD.</t>
  </si>
  <si>
    <t>zy@ciec.com;xujing@ciec.com;sg@ciec.com</t>
  </si>
  <si>
    <t>HELP-341</t>
  </si>
  <si>
    <t>Anglo American Marketing Limited Singapore Branch</t>
  </si>
  <si>
    <t>lokechoong.foo@angloamerican.com; kenneth.ang@angloamerican.com; gordon.liew@angloamerican.com</t>
  </si>
  <si>
    <t>HELP-339</t>
  </si>
  <si>
    <t>THAI ACRYLIC FIBRE COMPANY LIMITED</t>
  </si>
  <si>
    <t xml:space="preserve"> b.patel@adityabirla.com;sachin.nama@adityabirla.com;sritapa.n@adityabirla.com</t>
  </si>
  <si>
    <t>HELP-343</t>
  </si>
  <si>
    <t>London</t>
  </si>
  <si>
    <t>GB</t>
  </si>
  <si>
    <t>lokechoong.foo@angloamerican.com;kenneth.ang@angloamerican.com;gordon.liew@angloamerican.com</t>
  </si>
  <si>
    <t>HELP-352</t>
  </si>
  <si>
    <t>OP.WINFAITH@SUMEC.COM.CN;WINFAITHFINANCE@SUMEC.COM.CN;ZHANGCS@SUMEC.COM.CN;OP.WINFAITH@SUMEC.COM.CN</t>
  </si>
  <si>
    <t>HELP-363</t>
  </si>
  <si>
    <t>HBIS GROUP SINGAPORE PTE. LTD.</t>
  </si>
  <si>
    <t>chenshuyin@hbisco.com;nijie@hbisco.com;guoqiuhong@hbisco.com;baijinyu@hbisco.com</t>
  </si>
  <si>
    <t>HELP-373</t>
  </si>
  <si>
    <t>PT. CHANDRA ASRI PETROCHEMICAL TBK</t>
  </si>
  <si>
    <t>adhi.rachman@capcx.com;irawan@capcx.com;jonathan.kandinata@capcx.com</t>
  </si>
  <si>
    <t>HELP-359</t>
  </si>
  <si>
    <t>HOBIGONJ</t>
  </si>
  <si>
    <t>rfl1210@rflgroupbd.com;bd19@prangroup.com;mis54@mis.prangroup.com</t>
  </si>
  <si>
    <t>HELP-388</t>
  </si>
  <si>
    <t>Eldon Development Limited</t>
  </si>
  <si>
    <t>Wan Chai</t>
  </si>
  <si>
    <t>xiaqing@sgjtgm.com; zzk@eldon-hk.com; yangran@sgjtgm.com</t>
  </si>
  <si>
    <t>HELP-390</t>
  </si>
  <si>
    <t>549300WDSRHG1U1Z7C46</t>
  </si>
  <si>
    <t>kenneth.ang@angloamerican.com; gordon.liew@angloamerican.com; lokechoong.foo@angloamerican.com</t>
  </si>
  <si>
    <t>HELP-386</t>
  </si>
  <si>
    <t>INDUSTRIAL AND COMMERCIAL BANK OF CHINA (ASIA) LIMITED</t>
  </si>
  <si>
    <t>UBHKHKHHXXX</t>
  </si>
  <si>
    <t>HELP-407</t>
  </si>
  <si>
    <t>Kowloon Bay</t>
  </si>
  <si>
    <t>helen.he@ijdhk.com; zhoucui@ijdhk.com; rainy.du@ijdhk.com</t>
  </si>
  <si>
    <t>HELP-419</t>
  </si>
  <si>
    <t>Pune</t>
  </si>
  <si>
    <t>jdshah@bajajauto.co.in; savalecha@bajajauto.co.in</t>
  </si>
  <si>
    <t>HELP-426</t>
  </si>
  <si>
    <t>TPT PETROCHEMICALS PUBLIC COMPANY LIMITED</t>
  </si>
  <si>
    <t>IVL_finance_trade@indorama.net;manish.g@indorama.net;montien.p@indorama.net;prachit.p@indorama.net</t>
  </si>
  <si>
    <t>HELP-429</t>
  </si>
  <si>
    <t>INDORAMA PETROCHEM LIMITED</t>
  </si>
  <si>
    <t>HELP-412</t>
  </si>
  <si>
    <t>Indorama Polyester Industries Public Company Limited</t>
  </si>
  <si>
    <t>HELP-442</t>
  </si>
  <si>
    <t>DBS Bank (China) Limited</t>
  </si>
  <si>
    <t>DBSSCNSH</t>
  </si>
  <si>
    <t>ianding@dbs.com; jeremyzheng@dbs.com; wendywu@dbs.com; catherinechenxp@dbs.com; chesterhao@dbs.com</t>
  </si>
  <si>
    <t>HELP-453</t>
  </si>
  <si>
    <t>ASIA PET (THAILAND) LIMITED</t>
  </si>
  <si>
    <t>HELP-462</t>
  </si>
  <si>
    <t>Abu Dhabi</t>
  </si>
  <si>
    <t>yusaf@emircom.com; sudhakar.aravind@emircom.com; yuvaraj@emircom.com</t>
  </si>
  <si>
    <t>HELP-474</t>
  </si>
  <si>
    <t>MILITARY COMMERCIAL JOINT STOCK BANK</t>
  </si>
  <si>
    <t xml:space="preserve">MSCBVNVX </t>
  </si>
  <si>
    <t>Ha Noi</t>
  </si>
  <si>
    <t>tfcenter.ho@mbbank.com.vn;dwnk.ho@mbbank.com.vn,dvxnk.kvpn@mbbank.com.vn;kienbv@mbbank.com.vn</t>
  </si>
  <si>
    <t>HELP-477</t>
  </si>
  <si>
    <t>254900A9MZW1NHYXD737</t>
  </si>
  <si>
    <t>Gazipur</t>
  </si>
  <si>
    <t>syed_harun@mj-group.com; maksudur_rahman@mj-group.com</t>
  </si>
  <si>
    <t>HELP-486</t>
  </si>
  <si>
    <t>5493000D613K0WEHRU36</t>
  </si>
  <si>
    <t>HELP-490</t>
  </si>
  <si>
    <t>Epyllion Style Limited</t>
  </si>
  <si>
    <t>C-55796</t>
  </si>
  <si>
    <t>jewel@epylliongroup.com; mithu@epylliongroup.com; arshad@epylliongroup.com</t>
  </si>
  <si>
    <t>HELP-484</t>
  </si>
  <si>
    <t xml:space="preserve">C-18822(676)/89 </t>
  </si>
  <si>
    <t>syed_harun@mj-group.com;maksudur_rahman@mj-group.com</t>
  </si>
  <si>
    <t>HELP-492</t>
  </si>
  <si>
    <t>EPYLLION KNITWEARS LTD.</t>
  </si>
  <si>
    <t xml:space="preserve">C-49243(1232)/2003 </t>
  </si>
  <si>
    <t>jewel@epylliongroup.com;mithu@epylliongroup.com;arshad@epylliongroup.com</t>
  </si>
  <si>
    <t>HELP-488</t>
  </si>
  <si>
    <t>254900EA5VOL2166D523</t>
  </si>
  <si>
    <t>Bayfront Bank</t>
  </si>
  <si>
    <t>Century Bank</t>
  </si>
  <si>
    <t>Comprehensive Corp</t>
  </si>
  <si>
    <t>Comprehensive Fabric</t>
  </si>
  <si>
    <t>Asia Best Bank</t>
  </si>
  <si>
    <t>Delta One Corp</t>
  </si>
  <si>
    <t>Good Design</t>
  </si>
  <si>
    <t>????</t>
  </si>
  <si>
    <t>Mid Atlantic Bank</t>
  </si>
  <si>
    <t>Dictionary Bank</t>
  </si>
  <si>
    <t xml:space="preserve">This will be pulled from the LEI in the future and not set </t>
  </si>
  <si>
    <t>Identities Purchased</t>
  </si>
  <si>
    <t>Total</t>
  </si>
  <si>
    <t>Identity Purchase Growth Rate %</t>
  </si>
  <si>
    <t>Identities Activated</t>
  </si>
  <si>
    <t>Identity Activated Growth Rate %</t>
  </si>
  <si>
    <t>Identity Statistics</t>
  </si>
  <si>
    <t>Purchased Identities</t>
  </si>
  <si>
    <t>% Identities Activated</t>
  </si>
  <si>
    <t>% Identities Transacted</t>
  </si>
  <si>
    <t xml:space="preserve">Total Logos </t>
  </si>
  <si>
    <t>Logo Growth Rate %</t>
  </si>
  <si>
    <t>Corporate logo breakdown</t>
  </si>
  <si>
    <t>Regular without trial</t>
  </si>
  <si>
    <t>Regular with trial</t>
  </si>
  <si>
    <t>Regular</t>
  </si>
  <si>
    <t>Breakdown Check</t>
  </si>
  <si>
    <t>Hosting Option</t>
  </si>
  <si>
    <t>% Cloud</t>
  </si>
  <si>
    <t>Events - Shareholders</t>
  </si>
  <si>
    <t>Events - Non Shareholders</t>
  </si>
  <si>
    <t>Event Growth Rate</t>
  </si>
  <si>
    <t>CorDapp Versions</t>
  </si>
  <si>
    <t>Identity LEI Populated</t>
  </si>
  <si>
    <t>No</t>
  </si>
  <si>
    <t>Row Labels</t>
  </si>
  <si>
    <t>Count of CNF Sponsored</t>
  </si>
  <si>
    <t>#N/A</t>
  </si>
  <si>
    <t>Identity Reg Populated</t>
  </si>
  <si>
    <t>Grand Total</t>
  </si>
  <si>
    <t>client_id</t>
  </si>
  <si>
    <t>last_run_end_date</t>
  </si>
  <si>
    <t>status</t>
  </si>
  <si>
    <t>First_event_date</t>
  </si>
  <si>
    <t>Recent_event_date</t>
  </si>
  <si>
    <t>Total_events</t>
  </si>
  <si>
    <t>FAILURE</t>
  </si>
  <si>
    <t>SUCCESS</t>
  </si>
  <si>
    <t>x500_name</t>
  </si>
  <si>
    <t>display_name</t>
  </si>
  <si>
    <t>command</t>
  </si>
  <si>
    <t>event_date_time</t>
  </si>
  <si>
    <t>countour_reference</t>
  </si>
  <si>
    <t>transaction_id</t>
  </si>
  <si>
    <t>event_role</t>
  </si>
  <si>
    <t>ou=global trade and receivables finance production, o=the hongkong and shanghai banking corporation limited, l=dhaka, c=bd</t>
  </si>
  <si>
    <t>LOC.Issue</t>
  </si>
  <si>
    <t>2021-08-26T12:25:41.476Z</t>
  </si>
  <si>
    <t>cb482cd9-9c75-40cb-bc24-07e4ae100873</t>
  </si>
  <si>
    <t>9817251724E193A0B38FFDBF8D2ADD13007969FA7499C7B107267C82D6B940BC</t>
  </si>
  <si>
    <t>ISSUER</t>
  </si>
  <si>
    <t>2021-08-16T13:27:58.969Z</t>
  </si>
  <si>
    <t>120dffc6-ec9f-4384-968f-6ac7ec854fdb</t>
  </si>
  <si>
    <t>4EE62DAED3C06FB61701A4DF628F61365D780F22F98E86F840D1C10175040EBC</t>
  </si>
  <si>
    <t>ou=global trade and receivables finance production, o=the hongkong and shanghai banking corporation limited, l=singapore, c=sg</t>
  </si>
  <si>
    <t>DemandPresentation.Forward</t>
  </si>
  <si>
    <t>2021-08-20T06:41:27.014Z</t>
  </si>
  <si>
    <t>1a65970f-a194-43fe-b04e-5e45663c2098</t>
  </si>
  <si>
    <t>056319ACEFB1C8EEEB4EE88D15335C95182CCB362C3200AA2F754D66E7A57BCB</t>
  </si>
  <si>
    <t>ADVISING_BANK</t>
  </si>
  <si>
    <t>2021-08-10T09:26:30.259Z</t>
  </si>
  <si>
    <t>a1f06660-f69f-44ad-8c27-435f9f51a4d6</t>
  </si>
  <si>
    <t>52CCD8198799F150416488A60E8481453B0EE90436557B139C4D2AAB099DCFC2</t>
  </si>
  <si>
    <t>ou=gtrf production, o=hang seng bank limited, l=central district, c=hk</t>
  </si>
  <si>
    <t>2021-08-06T09:09:44.448Z</t>
  </si>
  <si>
    <t>87B34E49BAE58C6406E67A48C8BA19E2A5668C94348ECBBBB0D7EB4D356D8909</t>
  </si>
  <si>
    <t>ou=gtrf production, o=hsbc bank middle east ltd, l=dubai, c=ae</t>
  </si>
  <si>
    <t>2021-08-29T07:25:51.914Z</t>
  </si>
  <si>
    <t>c389c7a6-4f16-4ea7-87eb-5c9ee164e8da</t>
  </si>
  <si>
    <t>4D1ACB3BB83DDAB60C59CF8DA86AC09A095E3316613BB4FB889FEE857DFAD0E9</t>
  </si>
  <si>
    <t>ou=trade finance, o=hope downs marketing company pty ltd, l=perth, c=au</t>
  </si>
  <si>
    <t>DemandPresentation.Submit</t>
  </si>
  <si>
    <t>2021-08-10T04:33:51.742Z</t>
  </si>
  <si>
    <t>169815F229DFB6E0DC38A27A2185D17B4E61E716CC5BA99DE5A4A468667B3F2A</t>
  </si>
  <si>
    <t>BENEFICIARY</t>
  </si>
  <si>
    <t>ou=trade finance, o=rio tinto commercial pte ltd, l=singapore, c=sg</t>
  </si>
  <si>
    <t>2021-08-16T07:29:41.407Z</t>
  </si>
  <si>
    <t>41E7E6A64555E75ED63C22AB71EF5735AEB32B39716C5EBFEA1EA70248C97701</t>
  </si>
  <si>
    <t>ou=trade finance, o=robe river ore sales pty. ltd., l=perth, c=au</t>
  </si>
  <si>
    <t>2021-08-11T04:38:10.076Z</t>
  </si>
  <si>
    <t>bd76acba-5d71-48b7-a577-b406809e6e65</t>
  </si>
  <si>
    <t>12B9EE88C9C85EF68055F945E88751490BB5998CE270B140FA01FC97FC0620F3</t>
  </si>
  <si>
    <t>member_name</t>
  </si>
  <si>
    <t>Recorded_Timestamp</t>
  </si>
  <si>
    <t>CorDapp Version</t>
  </si>
  <si>
    <t>Others?</t>
  </si>
  <si>
    <t>CN=ITFC, OU=Operations Department, O=International Islamic Trade Finance Corp, L=Jeddah, C=SA</t>
  </si>
  <si>
    <t>Terminated</t>
  </si>
  <si>
    <t>OU=Active Fabric, O=Contour Pte. Ltd., L=Singapore, C=SG</t>
  </si>
  <si>
    <t>OU=Asia Best Bank, O=Contour Pte. Ltd., L=Singapore, C=SG</t>
  </si>
  <si>
    <t>Active</t>
  </si>
  <si>
    <t>OU=Atlantic Corp, O=Contour Pte. Ltd., L=Singapore, C=SG</t>
  </si>
  <si>
    <t>OU=Bangkok Bank Thailand, O=Bangkok Bank Public Company Limited, L=Bangkok, C=TH</t>
  </si>
  <si>
    <t>OU=Bangkok Bank Vietnam, O=Bangkok Bank Public Company Limited, L=Bangkok, C=TH</t>
  </si>
  <si>
    <t>OU=Bayfront Bank, O=Contour Pte. Ltd., L=Singapore, C=SG</t>
  </si>
  <si>
    <t>OU=Best Design Co. Ltd., O=Contour Pte. Ltd., L=Singapore, C=SG</t>
  </si>
  <si>
    <t>OU=BOCHK, O=Bank of China (Hong Kong) Limited, L=Hong Kong, C=HK</t>
  </si>
  <si>
    <t>OU=Brainstorm Bank, O=Contour Pte. Ltd., L=Singapore, C=SG</t>
  </si>
  <si>
    <t>OU=Century Bank, O=Contour Pte. Ltd., L=Singapore, C=SG</t>
  </si>
  <si>
    <t>OU=CIB ITO-CORDA-SCB IN, O=Standard Chartered Bank Limited, L=Mumbai, C=IN</t>
  </si>
  <si>
    <t>OU=CIB ITO-CORDA-SCB IN, O=STANDARD CHARTERED GLOBAL BUSINESS SERVICES PRIVATE LIMITED, L=CHENNAI, C=IN</t>
  </si>
  <si>
    <t>OU=CIB ITO-CORDA-SCB MY, O=Standard Chartered Bank Malaysia Berhad, L=Kuala Lumpur, C=MY</t>
  </si>
  <si>
    <t>OU=CIB ITO-CORDA, O=Standard Chartered Bank (Singapore) Limited, L=Singapore, C=SG</t>
  </si>
  <si>
    <t>OU=CIB ITO-CORDA, O=Standard Chartered Bank Bangladesh Branch Limited, L=Dhaka, C=BD</t>
  </si>
  <si>
    <t>OU=CityContour, O=The City Bank Limited, L=Dhaka, C=BD</t>
  </si>
  <si>
    <t>OU=Comprehensive Corp, O=Contour Pte. Ltd., L=Singapore, C=SG</t>
  </si>
  <si>
    <t>OU=Comprehensive Fabric, O=Contour Pte. Ltd., L=Singapore, C=SG</t>
  </si>
  <si>
    <t>OU=Contour Ops, O=Contour Pte. Ltd., L=Singapore, C=SG</t>
  </si>
  <si>
    <t>OU=Contour, O=APPAREL LINK (HK) LIMITED, L=Hong Kong, C=HK</t>
  </si>
  <si>
    <t>OU=Contour, O=BASF International Trading (Shanghai) Co. Ltd, L=Shanghai, C=CN</t>
  </si>
  <si>
    <t>OU=Contour, O=CHEONGFULI (HONG KONG) COMPANY LIMITED, L=Hong Kong, C=HK</t>
  </si>
  <si>
    <t>OU=Contour, O=DBS Bank Ltd, L=Singapore, C=SG</t>
  </si>
  <si>
    <t>OU=Contour, O=DEBONAIR LTD, L=Dhaka, C=BD</t>
  </si>
  <si>
    <t>OU=Contour, O=HINEX INDUSTRIES LIMITED, L=Hong Kong, C=HK</t>
  </si>
  <si>
    <t>OU=CONTOUR, O=Ho Chi Minh Development Joint Stock Commercial Bank, L=Ho Chi Minh, C=VN</t>
  </si>
  <si>
    <t>OU=Contour, O=INEOS Styrolution Korea Ltd, L=Seoul, C=KR</t>
  </si>
  <si>
    <t>OU=Contour, O=JOINT STOCK COMMERCIAL BANK FOR FOREIGN TRADE OF VIETNAM, L=Hanoi, C=VN</t>
  </si>
  <si>
    <t>OU=Contour, O=KingFa Commodity Supply Chain Managment Co. Ltd., L=ZhuHai, C=CN</t>
  </si>
  <si>
    <t>OU=Contour, O=KIRBY SOUTHEAST ASIA CO. LTD, L=Dong Nai, C=VN</t>
  </si>
  <si>
    <t>OU=Contour, O=MTC ELECTRONIC CO. LIMITED, L=Road Town, C=VG</t>
  </si>
  <si>
    <t>OU=Contour, O=OQ Marketing LLC, L=Muscat, C=OM</t>
  </si>
  <si>
    <t>OU=Contour, O=Rio Tinto Commercial Pte Ltd, L=Singapore, C=SG</t>
  </si>
  <si>
    <t>OU=Contour, O=SHENZHEN MTC CO LIMITED, L=Shenzhen, C=CN</t>
  </si>
  <si>
    <t>OU=Contour, O=TON DONG A CORPORATION, L=Binh Duong, C=VN</t>
  </si>
  <si>
    <t>OU=Contour, O=Vietinbank, L=Hanoi, C=VN</t>
  </si>
  <si>
    <t>OU=ContourSGAAMLSB, O=Anglo American Marketing Limited Singapore Branch, L=Singapore, C=SG</t>
  </si>
  <si>
    <t>OU=CTR PRD AGENT 01, O=BNP PARIBAS, L=PARIS, C=FR</t>
  </si>
  <si>
    <t>OU=Delta One Corp, O=Contour Pte. Ltd., L=Singapore, C=SG</t>
  </si>
  <si>
    <t>OU=Dictionary Bank, O=Contour Pte. Ltd., L=Singapore, C=SG</t>
  </si>
  <si>
    <t>OU=GC Marketing Solutions Company Limited, O=GC Marketing Solutions Company Limited, L=Bangkok, C=TH</t>
  </si>
  <si>
    <t>OU=Global Trade and Receivables Finance Production, O=HSBC Bank Malaysia Berhad, L=Kuala Lumpur, C=MY</t>
  </si>
  <si>
    <t>OU=Global Trade and Receivables Finance Production, O=HSBC Bank Middle East LTD, L=Dubai, C=AE</t>
  </si>
  <si>
    <t>OU=Global Trade and Receivables Finance Production, O=The Hongkong and Shanghai Banking Corporation Limited, L=Bangkok, C=TH</t>
  </si>
  <si>
    <t>OU=Global Trade and Receivables Finance Production, O=The Hongkong and Shanghai Banking Corporation Limited, L=Dhaka, C=BD</t>
  </si>
  <si>
    <t>OU=Global Trade and Receivables Finance Production, O=The Hongkong and Shanghai Banking Corporation Limited, L=Mumbai, C=IN</t>
  </si>
  <si>
    <t>OU=Global Trade and Receivables Finance Production, O=The Hongkong and Shanghai Banking Corporation Limited, L=SINGAPORE, C=SG</t>
  </si>
  <si>
    <t>OU=Global Trade and Receivables Finance, O=HSBC Bank (Vietnam) Limited, L=Ho Chi Minh City, C=VN</t>
  </si>
  <si>
    <t>OU=Global Trade and Receivables Finance, O=HSBC Bank Australia Limited, L=Sydney, C=AU</t>
  </si>
  <si>
    <t>OU=Global Trade and Receivables Finance, O=HSBC Bank Malaysia Berhad, L=Kuala Lumpur, C=MY</t>
  </si>
  <si>
    <t>OU=Global Trade and Receivables Finance, O=HSBC Bank Middle East LTD, L=Dubai, C=AE</t>
  </si>
  <si>
    <t>OU=Global Trade and Receivables Finance, O=The Hongkong and Shanghai Banking Corporation Limited, L=Hong Kong, C=HK</t>
  </si>
  <si>
    <t>OU=Global Trade and Receivables Finance, O=The Hongkong and Shanghai Banking Corporation Limited, L=Seoul, C=KR</t>
  </si>
  <si>
    <t>OU=Global Trade and Receivables Finance, O=The Hongkong and Shanghai Banking Corporation Limited, L=SINGAPORE, C=SG</t>
  </si>
  <si>
    <t>OU=Global Trade Receivables Finance, O=HSBC Bank (China) Company Limited, L=Shanghai, C=CN</t>
  </si>
  <si>
    <t>OU=Good Design, O=Contour Pte. Ltd., L=Singapore, C=SG</t>
  </si>
  <si>
    <t>OU=GTRF Production, O=Hang Seng Bank Limited, L=Central District, C=HK</t>
  </si>
  <si>
    <t>OU=GTRF Production, O=HSBC Bank (China) Company Limited, L=Shanghai, C=CN</t>
  </si>
  <si>
    <t>OU=GTRF Production, O=HSBC Bank Malaysia Berhad, L=Kuala Lumpur, C=MY</t>
  </si>
  <si>
    <t>OU=GTRF Production, O=HSBC Bank Middle East LTD, L=Dubai, C=AE</t>
  </si>
  <si>
    <t>OU=GTRF Production, O=The Hongkong and Shanghai Banking Corporation Limited, L=Central District, C=HK</t>
  </si>
  <si>
    <t>OU=Head Office, O=Joint Stock Company ALFA-BANK, L=Moscow, C=RU</t>
  </si>
  <si>
    <t>OU=Import export department, O=SAI GON PLASTIC JOINT STOCK COMPANY, L=Ho Chi Minh City, C=VN</t>
  </si>
  <si>
    <t>OU=International Trade, O=Hope Downs Marketing Company Pty Ltd, L=Perth, C=AU</t>
  </si>
  <si>
    <t>OU=International Trade, O=ROBE RIVER ORE SALES PTY LTD, L=Perth, C=AU</t>
  </si>
  <si>
    <t>OU=Mid Atlantic Bank, O=Contour Pte. Ltd., L=Singapore, C=SG</t>
  </si>
  <si>
    <t>OU=Node1, O=Skandinaviska Enskilda Banken AB (publ), L=Stockholm, C=SE</t>
  </si>
  <si>
    <t>OU=Pacific Con, O=Pacific Containerbag Co. LTD., L=Bangkok, C=TH</t>
  </si>
  <si>
    <t>OU=Pacific Poly, O=Pacific Polysack Industry Co.Ltd., L=Bangkok, C=TH</t>
  </si>
  <si>
    <t>OU=Permata, O=PT BANK PERMATA TBK, L=Jakarta, C=ID</t>
  </si>
  <si>
    <t>OU=Raw Materials, O=Singapore Jinteng International Pte. Ltd, L=Singapore, C=SG</t>
  </si>
  <si>
    <t>OU=SCG Performance Chemicals Co Ltd, O=SCG Performance Chemicals Co Ltd, L=Bangkok, C=TH</t>
  </si>
  <si>
    <t>OU=SCG Plastics Co Ltd, O=SCG Plastics Co Ltd, L=Bangkok, C=TH</t>
  </si>
  <si>
    <t>OU=Tien Phong Plastic Joint Stock Company, O=Tien Phong Plastic Joint Stock Company, L=Hai Phong City, C=VN</t>
  </si>
  <si>
    <t>OU=Trade Finance Prod, O=Vale International SA, L=St-Prex, C=CH</t>
  </si>
  <si>
    <t>OU=Trade Finance Services, O=Military Commercial Joint Stock Bank, L=Hanoi, C=VN</t>
  </si>
  <si>
    <t>OU=Trade Finance, O=AN PHAT BIOPLASTICS JOINT STOCK COMPANY, L=Hai Duong, C=VN</t>
  </si>
  <si>
    <t>OU=Trade Finance, O=Anglo American Marketing Limited Singapore Branch, L=Singapore, C=SG</t>
  </si>
  <si>
    <t>OU=Trade Finance, O=Anglo American Marketing Limited, L=London, C=GB</t>
  </si>
  <si>
    <t>OU=Trade Finance, O=Aptec Distribution FZ-LLC, L=Dubai, C=AE</t>
  </si>
  <si>
    <t>OU=Trade Finance, O=ArcelorMittal Nippon Steel India Limited, L=Surat, C=IN</t>
  </si>
  <si>
    <t>OU=Trade Finance, O=ASIA PET (THAILAND) LIMITED, L=Bangkok, C=TH</t>
  </si>
  <si>
    <t>OU=Trade Finance, O=Asian Development Bank, L=Manila, C=PH</t>
  </si>
  <si>
    <t>OU=Trade Finance, O=Bajaj Auto Limited, L=Pune, C=IN</t>
  </si>
  <si>
    <t>OU=Trade Finance, O=Bangkok Bank Public Company Limited, L=Bangkok, C=TH</t>
  </si>
  <si>
    <t>OU=Trade Finance, O=Bangkok Bank Public Company Limited, L=Ho Chi Minh City, C=VN</t>
  </si>
  <si>
    <t>OU=Trade Finance, O=Bank of China (Hong Kong) Limited, L=Hong Kong, C=HK</t>
  </si>
  <si>
    <t>OU=Trade Finance, O=BRITISH AMERICAN TOBACCO BANGLADESH CO. LTD., L=Dhaka, C=BD</t>
  </si>
  <si>
    <t>OU=Trade Finance, O=CEMCOA LIMITED, L=Hong Kong, C=HK</t>
  </si>
  <si>
    <t>OU=Trade Finance, O=Chandra Asri Trading Company Pte Ltd, L=Singapore, C=SG</t>
  </si>
  <si>
    <t>OU=Trade Finance, O=CHEMTECH CO. LTD, L=Binh Duong, C=VN</t>
  </si>
  <si>
    <t>OU=Trade Finance, O=DBS Bank (China) Limited, L=Shanghai, C=CN</t>
  </si>
  <si>
    <t>OU=Trade Finance, O=DBS BANK (HONG KONG) LIMITED, L=Central District, C=HK</t>
  </si>
  <si>
    <t>OU=Trade Finance, O=DBS BANK LTD., L=Singapore, C=SG</t>
  </si>
  <si>
    <t>OU=Trade Finance, O=Eldon Development Limited, L=Wan Chai, C=HK</t>
  </si>
  <si>
    <t>OU=Trade Finance, O=EMIRCOM LLC, L=Abu Dhabi, C=AE</t>
  </si>
  <si>
    <t>OU=Trade Finance, O=HANGZHOU IRON &amp; STEEL (H.K.) COMPANY LIMITED, L=Hong Kong, C=HK</t>
  </si>
  <si>
    <t>OU=Trade Finance, O=HBIS Group Hong Kong Co. Limited, L=Hong Kong, C=HK</t>
  </si>
  <si>
    <t>OU=Trade Finance, O=HBIS GROUP SINGAPORE PTE. LTD., L=Singapore, C=SG</t>
  </si>
  <si>
    <t>OU=Trade Finance, O=HONG KONG JINTENG DEVELOPMENT LIMITED, L=Hong Kong, C=HK</t>
  </si>
  <si>
    <t>OU=Trade Finance, O=HOPE DOWNS MARKETING COMPANY PTY LTD, L=PERTH, C=AU</t>
  </si>
  <si>
    <t>OU=Trade Finance, O=INDORAMA PETROCHEM LIMITED, L=Bangkok, C=TH</t>
  </si>
  <si>
    <t>OU=Trade Finance, O=Indorama Polyester Industries Public Company Limited, L=Bangkok, C=TH</t>
  </si>
  <si>
    <t>OU=Trade Finance, O=INDUSTRIAL AND COMMERCIAL BANK OF CHINA (ASIA) LIMITED, L=Hong Kong, C=HK</t>
  </si>
  <si>
    <t>OU=Trade Finance, O=Industrial and Commercial Bank of China Limited Xiamen Branch Business Office, L=Xiamen, C=CN</t>
  </si>
  <si>
    <t>OU=Trade Finance, O=Jidong Development (HK) International Limited, L=Kowloon Bay, C=HK</t>
  </si>
  <si>
    <t>OU=Trade Finance, O=Kumba Singapore Pte Ltd, L=Singapore, C=SG</t>
  </si>
  <si>
    <t>OU=Trade Finance, O=LONGTEX RUBBER INDUSTRY CO. LTD., L=Samut Prakan, C=TH</t>
  </si>
  <si>
    <t>OU=Trade Finance, O=MACWORLD INDUSTRIES LIMITED, L=LABUAN, C=MY</t>
  </si>
  <si>
    <t>OU=Trade Finance, O=Metal One (Thailand) Company Limited, L=Bangkok, C=TH</t>
  </si>
  <si>
    <t>OU=Trade Finance, O=MILITARY COMMERCIAL JOINT STOCK BANK, L=Ha Noi, C=VN</t>
  </si>
  <si>
    <t>OU=Trade Finance, O=PALM-OLEO SDN BHD, L=Petaling Jaya, C=MY</t>
  </si>
  <si>
    <t>OU=Trade Finance, O=Pointer Investment (Hong Kong) Limited, L=Hong Kong, C=HK</t>
  </si>
  <si>
    <t>OU=Trade Finance, O=Polyplex (Thailand) Public Company Limited, L=Bangkok, C=TH</t>
  </si>
  <si>
    <t>OU=Trade Finance, O=PT ARISTA LATINDO, L=Jakarta, C=ID</t>
  </si>
  <si>
    <t>OU=Trade Finance, O=PT. CHANDRA ASRI PETROCHEMICAL TBK, L=Jakarta, C=ID</t>
  </si>
  <si>
    <t>OU=Trade Finance, O=RANGPUR METAL INDUSTRIES LIMITED, L=HOBIGONJ, C=BD</t>
  </si>
  <si>
    <t>OU=Trade Finance, O=Rio Tinto Commercial Pte Ltd, L=Singapore, C=SG</t>
  </si>
  <si>
    <t>OU=Trade Finance, O=ROBE RIVER ORE SALES PTY. LTD., L=PERTH, C=AU</t>
  </si>
  <si>
    <t>OU=Trade Finance, O=SCG Performance Chemicals Company Limited, L=Bangkok, C=TH</t>
  </si>
  <si>
    <t>OU=Trade Finance, O=SCG Plastics Company Limited, L=Bangkok, C=TH</t>
  </si>
  <si>
    <t>OU=Trade Finance, O=SINGAPORE (COGENERATION) STEEL PTE. LTD., L=Singapore, C=SG</t>
  </si>
  <si>
    <t>OU=Trade Finance, O=Singapore Jinteng International Pte Ltd, L=Singapore, C=SG</t>
  </si>
  <si>
    <t>OU=Trade Finance, O=STAVIAN CHEMICAL JOINT STOCK COMPANY, L=Hung Yen, C=VN</t>
  </si>
  <si>
    <t>OU=Trade Finance, O=SUMITOMO MITSUI BANKING CORPORATION SINGAPORE BRANCH, L=Singapore, C=SG</t>
  </si>
  <si>
    <t>OU=Trade Finance, O=TATA STEEL LIMITED, L=Mumbai, C=IN</t>
  </si>
  <si>
    <t>OU=Trade Finance, O=THAI ACRYLIC FIBRE COMPANY LIMITED, L=Bangkok, C=TH</t>
  </si>
  <si>
    <t>OU=Trade Finance, O=Thailand Anthracite Company Limited, L=Bangkok, C=TH</t>
  </si>
  <si>
    <t>OU=Trade Finance, O=TOPTIP HOLDING PTE. LTD, L=Singapore, C=SG</t>
  </si>
  <si>
    <t>OU=Trade Finance, O=TPT PETROCHEMICALS PUBLIC COMPANY LIMITED, L=Bangkok, C=TH</t>
  </si>
  <si>
    <t>OU=Trade Finance, O=Universal Tube and Plastic Industries Ltd., L=Dubai, C=AE</t>
  </si>
  <si>
    <t>OU=Trade Finance, O=Vale International SA, L=St-Prex, C=CH</t>
  </si>
  <si>
    <t>OU=Trade Finance, O=WIN FAITH TRADING LIMITED, L=Hong Kong, C=HK</t>
  </si>
  <si>
    <t>OU=Trade Finance, O=Xiamen ITG Group Corp. Ltd, L=Xiamen, C=CN</t>
  </si>
  <si>
    <t>OU=Trade Operation Center, O=Bank For Investment &amp; Development Of VN, L=Hanoi, C=VN</t>
  </si>
  <si>
    <t>OU=Trade Operation, O=Opec Plastics Joint Stock Company, L=Hungyen, C=VN</t>
  </si>
  <si>
    <t>OU=Vale International, O=Vale International SA, L=St-Prex, C=CH</t>
  </si>
  <si>
    <t>min_trans_date</t>
  </si>
  <si>
    <t>max_trans_date</t>
  </si>
  <si>
    <t>num_events</t>
  </si>
  <si>
    <t>ou=cib ito-corda-scb in, o=standard chartered global business services private limited, l=chennai, c=in</t>
  </si>
  <si>
    <t>Standard Chartered Bank â€“ Node 1</t>
  </si>
  <si>
    <t>2021-07-29T07:50:21.216Z</t>
  </si>
  <si>
    <t>2021-08-12T05:27:31.790Z</t>
  </si>
  <si>
    <t>ou=global trade and receivables finance production, o=hsbc bank malaysia berhad, l=kuala lumpur, c=my</t>
  </si>
  <si>
    <t>2021-06-28T08:12:38.022Z</t>
  </si>
  <si>
    <t>2021-07-19T10:06:01.356Z</t>
  </si>
  <si>
    <t>ou=dictionary bank, o=contour pte. ltd., l=singapore, c=sg</t>
  </si>
  <si>
    <t>2021-03-09T11:47:37.197Z</t>
  </si>
  <si>
    <t>2021-07-24T04:09:59.138Z</t>
  </si>
  <si>
    <t>2021-04-06T08:11:16.465Z</t>
  </si>
  <si>
    <t>2021-04-06T10:17:08.500Z</t>
  </si>
  <si>
    <t>ou=global trade and receivables finance production, o=the hongkong and shanghai banking corporation limited, l=mumbai, c=in</t>
  </si>
  <si>
    <t>2021-06-16T14:22:34.960Z</t>
  </si>
  <si>
    <t>2021-06-18T08:35:05.684Z</t>
  </si>
  <si>
    <t>ou=trade finance, o=vale international sa, l=st-prex, c=ch</t>
  </si>
  <si>
    <t>2021-06-25T10:48:08.099Z</t>
  </si>
  <si>
    <t>2021-07-19T04:14:09.394Z</t>
  </si>
  <si>
    <t>ou=global trade and receivables finance production, o=hsbc bank middle east ltd, l=dubai, c=ae</t>
  </si>
  <si>
    <t>HBME UAE</t>
  </si>
  <si>
    <t>2021-06-01T09:22:30.170Z</t>
  </si>
  <si>
    <t>2021-06-21T06:01:25.747Z</t>
  </si>
  <si>
    <t>2021-08-23T10:39:30.094Z</t>
  </si>
  <si>
    <t>ou=comprehensive corp, o=contour pte. ltd., l=singapore, c=sg</t>
  </si>
  <si>
    <t>2021-05-08T14:52:55.532Z</t>
  </si>
  <si>
    <t>2021-05-27T08:51:05.763Z</t>
  </si>
  <si>
    <t>ou=good design, o=contour pte. ltd., l=singapore, c=sg</t>
  </si>
  <si>
    <t>2021-06-03T04:12:39.476Z</t>
  </si>
  <si>
    <t>ou=mid atlantic bank, o=contour pte. ltd., l=singapore, c=sg</t>
  </si>
  <si>
    <t>Mid Atlantic Bank Ltd.</t>
  </si>
  <si>
    <t>2021-06-03T04:13:30.308Z</t>
  </si>
  <si>
    <t>ou=delta one corp, o=contour pte. ltd., l=singapore, c=sg</t>
  </si>
  <si>
    <t>2021-03-09T11:46:54.856Z</t>
  </si>
  <si>
    <t>2021-07-24T04:08:37.672Z</t>
  </si>
  <si>
    <t>ou=gtrf production, o=the hongkong and shanghai banking corporation limited, l=central district, c=hk</t>
  </si>
  <si>
    <t>2021-06-25T08:44:54.058Z</t>
  </si>
  <si>
    <t>2021-06-29T03:20:25.227Z</t>
  </si>
  <si>
    <t>ou=trade finance, o=dbs bank ltd., l=singapore, c=sg</t>
  </si>
  <si>
    <t>2021-07-09T10:15:52.755Z</t>
  </si>
  <si>
    <t>2021-08-19T05:15:52.966Z</t>
  </si>
  <si>
    <t>ou=asia best bank, o=contour pte. ltd., l=singapore, c=sg</t>
  </si>
  <si>
    <t>2021-05-27T08:48:54.433Z</t>
  </si>
  <si>
    <t>2021-05-27T08:52:12.420Z</t>
  </si>
  <si>
    <t>ou=century bank, o=contour pte. ltd., l=singapore, c=sg</t>
  </si>
  <si>
    <t>2021-03-09T11:44:44.224Z</t>
  </si>
  <si>
    <t>2021-07-24T04:10:22.139Z</t>
  </si>
  <si>
    <t>ou=trade finance, o=industrial and commercial bank of china limited xiamen branch business office, l=xiamen, c=cn</t>
  </si>
  <si>
    <t>2021-03-16T11:23:54.406Z</t>
  </si>
  <si>
    <t>2021-04-07T06:14:37.198Z</t>
  </si>
  <si>
    <t>ou=trade finance, o=tata steel limited, l=mumbai, c=in</t>
  </si>
  <si>
    <t>2021-06-16T08:47:19.055Z</t>
  </si>
  <si>
    <t>2021-06-17T12:11:28.600Z</t>
  </si>
  <si>
    <t>CNF List</t>
  </si>
  <si>
    <t>Clean X500</t>
  </si>
  <si>
    <t>Our Rec</t>
  </si>
  <si>
    <t xml:space="preserve">OU=GTRF Production, O=Hang Seng Bank Limited, L=Central District, C=HK_x000D_
_x000D_
</t>
  </si>
  <si>
    <t xml:space="preserve">OU=CTR PRD AGENT 01, O=BNP PARIBAS, L=PARIS, C=FR_x000D_
_x000D_
</t>
  </si>
  <si>
    <t xml:space="preserve">OU=Permata, O=PT BANK PERMATA TBK, L=Jakarta, C=ID_x000D_
_x000D_
</t>
  </si>
  <si>
    <t xml:space="preserve">OU=Trade Finance, O=DBS BANK LTD., L=Singapore, C=SG_x000D_
_x000D_
</t>
  </si>
  <si>
    <t xml:space="preserve">OU=Trade Finance, O=Pointer Investment (Hong Kong) Limited, L=Hong Kong, C=HK_x000D_
_x000D_
</t>
  </si>
  <si>
    <t xml:space="preserve">OU=Trade Finance, O=HOPE DOWNS MARKETING COMPANY PTY LTD, L=PERTH, C=AU_x000D_
_x000D_
</t>
  </si>
  <si>
    <t xml:space="preserve">OU=Trade Finance, O=Rio Tinto Commercial Pte Ltd, L=Singapore, C=SG_x000D_
_x000D_
</t>
  </si>
  <si>
    <t xml:space="preserve">OU=Trade Finance, O=Industrial and Commercial Bank of China Limited Xiamen Branch Business Office, L=Xiamen, C=CN_x000D_
_x000D_
</t>
  </si>
  <si>
    <t xml:space="preserve">OU=Trade Finance, O=Xiamen ITG Group Corp. Ltd, L=Xiamen, C=CN_x000D_
_x000D_
</t>
  </si>
  <si>
    <t xml:space="preserve">OU=Trade Finance, O=Bank of China (Hong Kong) Limited, L=Hong Kong, C=HK_x000D_
_x000D_
</t>
  </si>
  <si>
    <t xml:space="preserve">OU=Trade Finance, O=TATA STEEL LIMITED, L=Mumbai, C=IN_x000D_
_x000D_
</t>
  </si>
  <si>
    <t xml:space="preserve">OU=Trade Finance, O=Universal Tube and Plastic Industries Ltd., L=Dubai, C=AE_x000D_
_x000D_
</t>
  </si>
  <si>
    <t xml:space="preserve">OU=Global Trade and Receivables Finance Production, O=The Hongkong and Shanghai Banking Corporation Limited, L=Dhaka, C=BD_x000D_
_x000D_
</t>
  </si>
  <si>
    <t xml:space="preserve">OU=Global Trade and Receivables Finance Production, O=The Hongkong and Shanghai Banking Corporation Limited, L=SINGAPORE, C=SG_x000D_
_x000D_
</t>
  </si>
  <si>
    <t xml:space="preserve">OU=Global Trade and Receivables Finance Production, O=HSBC Bank Malaysia Berhad, L=Kuala Lumpur, C=MY_x000D_
_x000D_
</t>
  </si>
  <si>
    <t xml:space="preserve">OU=Global Trade and Receivables Finance Production, O=HSBC Bank Middle East LTD, L=Dubai, C=AE_x000D_
_x000D_
</t>
  </si>
  <si>
    <t xml:space="preserve">OU=GTRF Production, O=The Hongkong and Shanghai Banking Corporation Limited, L=Central District, C=HK_x000D_
_x000D_
</t>
  </si>
  <si>
    <t xml:space="preserve">OU=Global Trade and Receivables Finance Production, O=The Hongkong and Shanghai Banking Corporation Limited, L=Mumbai, C=IN_x000D_
_x000D_
</t>
  </si>
  <si>
    <t xml:space="preserve">OU=Global Trade and Receivables Finance Production, O=The Hongkong and Shanghai Banking Corporation Limited, L=Central District, C=HK_x000D_
_x000D_
</t>
  </si>
  <si>
    <t xml:space="preserve">OU=CIB ITO-CORDA, O=Standard Chartered Bank Bangladesh Branch Limited, L=Dhaka, C=BD_x000D_
_x000D_
</t>
  </si>
  <si>
    <t xml:space="preserve">OU=CIB ITO-CORDA, O=Standard Chartered Bank (Singapore) Limited, L=Singapore, C=SG_x000D_
_x000D_
</t>
  </si>
  <si>
    <t xml:space="preserve">OU=Head Office, O=Joint Stock Company ALFA-BANK, L=Moscow, C=RU_x000D_
_x000D_
</t>
  </si>
  <si>
    <t xml:space="preserve">OU=Contour, O=TON DONG A CORPORATION, L=Binh Duong, C=VN_x000D_
_x000D_
</t>
  </si>
  <si>
    <t xml:space="preserve">OU=Contour, O=KIRBY SOUTHEAST ASIA CO. LTD, L=Dong Nai, C=VN_x000D_
_x000D_
</t>
  </si>
  <si>
    <t xml:space="preserve">OU=Contour, O=JOINT STOCK COMMERCIAL BANK FOR FOREIGN TRADE OF VIETNAM, L=Hanoi, C=VN_x000D_
_x000D_
</t>
  </si>
  <si>
    <t xml:space="preserve">OU=Contour, O=APPAREL LINK (HK) LIMITED, L=Hong Kong, C=HK_x000D_
_x000D_
</t>
  </si>
  <si>
    <t xml:space="preserve">OU=Contour, O=DEBONAIR LTD, L=Dhaka, C=BD_x000D_
_x000D_
</t>
  </si>
  <si>
    <t xml:space="preserve">OU=Contour, O=CHEONGFULI (HONG KONG) COMPANY LIMITED, L=Hong Kong, C=HK_x000D_
_x000D_
</t>
  </si>
  <si>
    <t xml:space="preserve">OU=BOCHK, O=Bank of China (Hong Kong) Limited, L=Hong Kong, C=HK_x000D_
_x000D_
</t>
  </si>
  <si>
    <t xml:space="preserve">OU=CityContour, O=The City Bank Limited, L=Dhaka, C=BD_x000D_
_x000D_
</t>
  </si>
  <si>
    <t xml:space="preserve">OU=Import export department, O=SAI GON PLASTIC JOINT STOCK COMPANY, L=Ho Chi Minh City, C=VN
</t>
  </si>
  <si>
    <t xml:space="preserve">OU=Contour, O=KingFa Commodity Supply Chain Managment Co. Ltd., L=ZhuHai, C=CN_x000D_
_x000D_
</t>
  </si>
  <si>
    <t xml:space="preserve">OU=Contour, O=OQ Marketing LLC, L=Muscat, C=OM_x000D_
_x000D_
</t>
  </si>
  <si>
    <t xml:space="preserve">OU=Pacific Poly, O=Pacific Polysack Industry Co.Ltd., L=Bangkok, C=TH_x000D_
_x000D_
</t>
  </si>
  <si>
    <t xml:space="preserve">OU=Tien Phong Plastic Joint Stock Company, O=Tien Phong Plastic Joint Stock Company, L=Hai Phong City, C=VN_x000D_
_x000D_
</t>
  </si>
  <si>
    <t xml:space="preserve">OU=Trade Finance Services, O=Military Commercial Joint Stock Bank, L=Hanoi, C=VN_x000D_
_x000D_
</t>
  </si>
  <si>
    <t xml:space="preserve">OU=Pacific Con, O=Pacific Containerbag Co. LTD., L=Bangkok, C=TH_x000D_
_x000D_
</t>
  </si>
  <si>
    <t xml:space="preserve">OU=Contour, O=BASF International Trading (Shanghai) Co. Ltd, L=Shanghai, C=CN_x000D_
_x000D_
</t>
  </si>
  <si>
    <t xml:space="preserve">OU=Contour, O=MTC ELECTRONIC CO. LIMITED, L=Road Town, C=VG_x000D_
_x000D_
</t>
  </si>
  <si>
    <t xml:space="preserve">OU=Contour, O=SHENZHEN MTC CO LIMITED, L=Shenzhen, C=CN_x000D_
_x000D_
</t>
  </si>
  <si>
    <t xml:space="preserve">OU=Global Trade and Receivables Finance, O=HSBC Bank Australia Limited, L=Sydney, C=AU_x000D_
_x000D_
</t>
  </si>
  <si>
    <t xml:space="preserve">OU=Global Trade and Receivables Finance, O=HSBC Bank Malaysia Berhad, L=Kuala Lumpur, C=MY_x000D_
_x000D_
</t>
  </si>
  <si>
    <t xml:space="preserve">OU=Contour, O=Vietinbank, L=Hanoi, C=VN_x000D_
_x000D_
</t>
  </si>
  <si>
    <t xml:space="preserve">OU=Global Trade and Receivables Finance, O=HSBC Bank (Vietnam) Limited, L=Ho Chi Minh City, C=VN_x000D_
_x000D_
</t>
  </si>
  <si>
    <t xml:space="preserve">OU=Global Trade and Receivables Finance, O=The Hongkong and Shanghai Banking Corporation Limited, L=Kuala Lumpur, C=MY_x000D_
_x000D_
</t>
  </si>
  <si>
    <t xml:space="preserve">OU=Global Trade and Receivables Finance, O=The Hongkong and Shanghai Banking Corporation Limited, L=Sydney, C=AU_x000D_
_x000D_
</t>
  </si>
  <si>
    <t xml:space="preserve">OU=Raw Materials, O=Singapore Jinteng International Pte. Ltd, L=Singapore, C=SG_x000D_
_x000D_
</t>
  </si>
  <si>
    <t xml:space="preserve">OU=ContourSGAAMLSB, O=Anglo American Marketing Limited Singapore Branch, L=Singapore, C=SG_x000D_
_x000D_
</t>
  </si>
  <si>
    <t xml:space="preserve">OU=Global Trade Receivables Finance, O=HSBC Bank (China) Company Limited, L=Shanghai, C=CN_x000D_
_x000D_
</t>
  </si>
  <si>
    <t xml:space="preserve">OU=Global Trade and Receivables Finance, O=HSBC Bank Middle East LTD, L=Dubai, C=AE_x000D_
_x000D_
</t>
  </si>
  <si>
    <t xml:space="preserve">OU=Contour, O=INEOS Styrolution Korea Ltd, L=Seoul, C=KR_x000D_
_x000D_
</t>
  </si>
  <si>
    <t xml:space="preserve">OU=Contour, O=HINEX INDUSTRIES LIMITED, L=Hong Kong, C=HK_x000D_
_x000D_
</t>
  </si>
  <si>
    <t xml:space="preserve">OU=Global Trade and Receivables Finance, O=The Hongkong and Shanghai Banking Corporation Limited, L=Seoul, C=KR_x000D_
_x000D_
</t>
  </si>
  <si>
    <t xml:space="preserve">OU=Global Trade and Receivables Finance, O=The Hongkong and Shanghai Banking Corporation Limited, L=SINGAPORE, C=SG_x000D_
_x000D_
</t>
  </si>
  <si>
    <t xml:space="preserve">OU=Global Trade and Receivables Finance, O=The Hongkong and Shanghai Banking Corporation Limited, L=Hong Kong, C=HK_x000D_
_x000D_
</t>
  </si>
  <si>
    <t xml:space="preserve">OU=International Trade, O=ROBE RIVER ORE SALES PTY LTD, L=Perth, C=AU_x000D_
_x000D_
</t>
  </si>
  <si>
    <t xml:space="preserve">OU=SCG Performance Chemicals Co Ltd, O=SCG Performance Chemicals Co Ltd, L=Bangkok, C=TH_x000D_
_x000D_
</t>
  </si>
  <si>
    <t xml:space="preserve">OU=SCG Plastics Co Ltd, O=SCG Plastics Co Ltd, L=Bangkok, C=TH
</t>
  </si>
  <si>
    <t xml:space="preserve">OU=Vale International, O=Vale International SA, L=St-Prex, C=CH_x000D_
_x000D_
</t>
  </si>
  <si>
    <t xml:space="preserve">OU=International Trade, O=Hope Downs Marketing Company Pty Ltd, L=Perth, C=AU_x000D_
_x000D_
</t>
  </si>
  <si>
    <t xml:space="preserve">OU=GC Marketing Solutions Company Limited, O=GC Marketing Solutions Company Limited, L=Bangkok, C=TH
</t>
  </si>
  <si>
    <t xml:space="preserve">OU=Trade Operation, O=Opec Plastics Joint Stock Company, L=Hungyen, C=VN_x000D_
_x000D_
</t>
  </si>
  <si>
    <t xml:space="preserve">OU=Contour, O=DBS Bank Ltd, L=Singapore, C=SG_x000D_
_x000D_
</t>
  </si>
  <si>
    <t xml:space="preserve">OU=Trade Operation Center, O=Bank For Investment &amp; Development Of VN, L=Hanoi, C=VN_x000D_
_x000D_
</t>
  </si>
  <si>
    <t xml:space="preserve">OU=Trade Finance, O=Asian Development Bank, L=Manila, C=PH
</t>
  </si>
  <si>
    <t xml:space="preserve">CN=ITFC, OU=Operations Department, O=International Islamic Trade Finance Corp, L=Jeddah, C=SA
</t>
  </si>
  <si>
    <t xml:space="preserve">OU=Node1, O=Skandinaviska Enskilda Banken AB (publ), L=Stockholm, C=SE
</t>
  </si>
  <si>
    <t xml:space="preserve">OU=CONTOUR, O=Ho Chi Minh Development Joint Stock Commercial Bank, L=Ho Chi Minh, C=VN
</t>
  </si>
  <si>
    <t>ref</t>
  </si>
  <si>
    <t>_data__member</t>
  </si>
  <si>
    <t>_data__bno</t>
  </si>
  <si>
    <t>_data__clientId</t>
  </si>
  <si>
    <t>_data__membershipMetadata__role</t>
  </si>
  <si>
    <t>_data__membershipMetadata__displayName</t>
  </si>
  <si>
    <t>_data__membershipMetadata__address</t>
  </si>
  <si>
    <t>_data__membershipMetadata__enableGuarantee</t>
  </si>
  <si>
    <t>_data__membershipMetadata__enableLC</t>
  </si>
  <si>
    <t>_data__membershipMetadata__aliases__LEGAL_NAME</t>
  </si>
  <si>
    <t>_data__membershipMetadata__aliases__SWIFT_BIC</t>
  </si>
  <si>
    <t>_data__membershipMetadata__legalName</t>
  </si>
  <si>
    <t>_data__membershipMetadata__otherIdentifierType</t>
  </si>
  <si>
    <t>_data__membershipMetadata__isBank</t>
  </si>
  <si>
    <t>_data__issued</t>
  </si>
  <si>
    <t>_data__modified</t>
  </si>
  <si>
    <t>_data__status</t>
  </si>
  <si>
    <t>_data__linearId__externalId</t>
  </si>
  <si>
    <t>_data__linearId__id</t>
  </si>
  <si>
    <t>_data__participants__001</t>
  </si>
  <si>
    <t>_data__participants__002</t>
  </si>
  <si>
    <t>_data__isActive</t>
  </si>
  <si>
    <t>_data__isRevoked</t>
  </si>
  <si>
    <t>_data__isPending</t>
  </si>
  <si>
    <t>_type</t>
  </si>
  <si>
    <t>_data__membershipMetadata__aliases__SWIFT_BEI</t>
  </si>
  <si>
    <t>C71FB42A1B2C6CC8E060171351FD536C24592A6FE6E9378AD0154E37F20DABEF(0)</t>
  </si>
  <si>
    <t>OU=Trade Finance, O=Global Trade Network, L=Singapore, C=SG</t>
  </si>
  <si>
    <t>BANK</t>
  </si>
  <si>
    <t>SWIFT_BIC</t>
  </si>
  <si>
    <t>ACTIVE</t>
  </si>
  <si>
    <t>null</t>
  </si>
  <si>
    <t>50598f68-22f9-4cb8-9fe6-a2fbfe4fb300</t>
  </si>
  <si>
    <t>MembershipState</t>
  </si>
  <si>
    <t>7D81647D983361B2E718AA988C62DFD9B846F8D05D07B2DB81E010291ED93760(0)</t>
  </si>
  <si>
    <t>CORP</t>
  </si>
  <si>
    <t>SWIFT_BEI</t>
  </si>
  <si>
    <t>11f668db-abc5-46f0-af7b-018dc2391e6c</t>
  </si>
  <si>
    <t>EEB338E980E532B11E752B72B3B48119F0967F3C8C0F55DAE4177497345DD324(0)</t>
  </si>
  <si>
    <t>454e0994-53d2-4ec6-aa85-08c36d83a513</t>
  </si>
  <si>
    <t>09BEF7B0371C8D300EFBEB69A79C918CCA1EAF36F0DD1925AF74298A151DBD95(0)</t>
  </si>
  <si>
    <t>1bb4f179-5b61-4310-8741-8f743b008f74</t>
  </si>
  <si>
    <t>CC2C4907FC7B943AB91BCE1F7D8A1694F0B4BFF53EDD02998E86A49290D9E2FC(0)</t>
  </si>
  <si>
    <t>6a05ad6f-0de3-4e7e-95f3-2a8f59b3fa5e</t>
  </si>
  <si>
    <t>062E506080426C5F19AC2224F9676C2FDA2F94B4D131A359C43B83ECECBB7250(0)</t>
  </si>
  <si>
    <t>4ab56d67-06e8-4eab-913c-73c8a7a972a6</t>
  </si>
  <si>
    <t>F2B0FC5BD781855C1B9C77854F628F03F550B52C618E7900BFC4ED677F3A0021(0)</t>
  </si>
  <si>
    <t>fd858daa-4296-49cc-b476-187cd89077dd</t>
  </si>
  <si>
    <t>073A787CC729EB7CF65962FDEB8F512B771D54FC4436843D7C721E8C691B8E02(0)</t>
  </si>
  <si>
    <t>12d75939-5372-40c0-9f57-e3090b48865b</t>
  </si>
  <si>
    <t>FBC66E93AA31C99006FCA8FEB5D3C4D5908691E232B21E37237BEA069CEC43CD(0)</t>
  </si>
  <si>
    <t>01498cb4-edcf-4a00-a810-03dce7d62fcb</t>
  </si>
  <si>
    <t>33A10C17CB5E77341BDF09495B53700BE03271A4E0CB041562011CC4823E585E(0)</t>
  </si>
  <si>
    <t>RANGPUR METAL INDUSTRIES LIMITED UNIT 3</t>
  </si>
  <si>
    <t>1da63bb8-6e9b-4ce6-9fbb-5c675cd6f8b0</t>
  </si>
  <si>
    <t>31C973A7170DEA589EE2AD2306756969482F89322CB3233C94C09730279E36E2(0)</t>
  </si>
  <si>
    <t>HSBC Bank Middle East LTD</t>
  </si>
  <si>
    <t>REVOKED</t>
  </si>
  <si>
    <t>e18d5743-1a93-4f96-8e7c-b478f69fe894</t>
  </si>
  <si>
    <t>61CD1E935E7F8771C1962704E7456FC5A89600B8835A492FE487696AB7488B1E(0)</t>
  </si>
  <si>
    <t>99f75cdf-12ce-4792-8922-a8d3980ae47d</t>
  </si>
  <si>
    <t>408B45B0B1C53E5DB072303FC4088DF27CD20277D4B9D2111B7D61E2D8E77812(0)</t>
  </si>
  <si>
    <t>b28a41de-1124-4aa1-9cf4-77f86fe7bdfd</t>
  </si>
  <si>
    <t>ECEFE390C64C877F0A91650225FB8BA44EFCE52BB6A957D9A551BCEBBD412AF6(0)</t>
  </si>
  <si>
    <t>7d11e365-9fcd-4db8-8f30-ac1d4afd444d</t>
  </si>
  <si>
    <t>FB6815B2241FE5CBFDBA7D1B75AEA292D0DE40DBA372E41A4FC131D8DC3AB3E4(0)</t>
  </si>
  <si>
    <t>392e5f8f-5314-4d02-a859-ea7317b5a77d</t>
  </si>
  <si>
    <t>38EF768AC12038D99B061BA3834292CDC8591B166B12E2817CF94188032F45BB(0)</t>
  </si>
  <si>
    <t>3e8c4e36-d7ca-4f06-b857-a82862909987</t>
  </si>
  <si>
    <t>7AFCF3975A92B335D389E73939640C2947A4171C9B90DA44D0AEEDC744390FDF(0)</t>
  </si>
  <si>
    <t>2b4ac1dc-c70a-4b74-9b11-742d9816c555</t>
  </si>
  <si>
    <t>5A614B02FCE8ABC84879070D8A18D3AA989B703A166403B00A6342E67ADF903F(0)</t>
  </si>
  <si>
    <t>35f1807b-c000-489c-9b80-f4626635e715</t>
  </si>
  <si>
    <t>3A2CD8EF36F499C122CE4071EED684B1C21E6879F411F61FB9CB4561863C7491(0)</t>
  </si>
  <si>
    <t>42931132-8759-4a0f-8ccc-3ec21c022e89</t>
  </si>
  <si>
    <t>E15EA1B99EE5357082C0CB607021ED18775203CE8940AD52943680AE33CCAAB2(0)</t>
  </si>
  <si>
    <t>303c55f4-1302-41ae-adba-74ee31269ba2</t>
  </si>
  <si>
    <t>0BA82725EF81772ED8FB99FDF744F49EFBB14341942B515D665540196CCE52D4(0)</t>
  </si>
  <si>
    <t>83b3fa57-b42c-43a8-8d51-1465f8248056</t>
  </si>
  <si>
    <t>5658E21E1A16E770EB19562D0ED504019998F08E0C32876D92D0E12EDE15BBC8(0)</t>
  </si>
  <si>
    <t>321aa7e6-a4cf-483b-873a-745d0712bef1</t>
  </si>
  <si>
    <t>4F360274D27C99CBCA6C3EB987813B22E50747C5FAD82623D6DB7E520B6C2B14(0)</t>
  </si>
  <si>
    <t>7e73db4e-8f90-4c12-8501-8401307f31f1</t>
  </si>
  <si>
    <t>551C27F7A5FB73A0AB797E8FE2E451C465596E10184CE4894EF90D9A17930995(0)</t>
  </si>
  <si>
    <t>3d0b22cb-4b36-4faa-848c-8b1ab88edc45</t>
  </si>
  <si>
    <t>1EFCEB03C362CE13AE51D64FB5CCC485268FF9908E89DE72B0B1CDFD2F8D7CD0(0)</t>
  </si>
  <si>
    <t>5703e4d4-d61b-4fc9-9a1c-7b512f5ad90d</t>
  </si>
  <si>
    <t>043E0E4D64BAA3490C4CCFAF7EE79878500E89FD74D1C5E38B838969B3DC786D(0)</t>
  </si>
  <si>
    <t>c5733762-ec68-414c-9756-b7b3623892a1</t>
  </si>
  <si>
    <t>220160419F80D7A1B54B72B3134AD4FDB93248BDCF483DD323C75F23D204C4E5(0)</t>
  </si>
  <si>
    <t>a2df2016-af28-4563-ab8a-033e0895f477</t>
  </si>
  <si>
    <t>9FBD75CF3DF5D419D50DE64DB74C3E9CA72F3BD10FF8AB5BCFD9211134F2822C(0)</t>
  </si>
  <si>
    <t>0f71cd6d-bba6-4516-8d8a-729c2c842a73</t>
  </si>
  <si>
    <t>8CEDAD9E7CDEBD71E2FE5EE33FA6694352E5DD757349B806FA8CE188D040FC3A(0)</t>
  </si>
  <si>
    <t>3dda018d-450f-46dc-b343-21e83cd05088</t>
  </si>
  <si>
    <t>960964600630FA91A59801133FD8EFF521905C9E7EB103BC821A9AD62F484706(0)</t>
  </si>
  <si>
    <t>565d3c09-dab8-42ea-b793-63857ea50e67</t>
  </si>
  <si>
    <t>7F3881C595DAFD16C663D072500CD65FB3A1EE1CC5BA0854C260BDC018C673E0(0)</t>
  </si>
  <si>
    <t>6659bfee-cf2d-4299-b7ce-8e0b5031bab3</t>
  </si>
  <si>
    <t>534692F7C8702CCFD3B5DCB4C178527C765280900B6CCFC80BAA887C7614583B(0)</t>
  </si>
  <si>
    <t>Vale International S.A.</t>
  </si>
  <si>
    <t>9708367e-12b0-4d6f-a1b2-dfbfc40622b2</t>
  </si>
  <si>
    <t>3D2A631DBEBC0EDC8E8C24FB645B92C52A133F0193A5EDECBF0DCDCD1BFF616F(0)</t>
  </si>
  <si>
    <t>cd002c71-3c52-4852-81cc-90ffe59b8d6b</t>
  </si>
  <si>
    <t>BFB2CCF0E9B9062438F235EFAAA0D7323A4832CCF8A6BF9F08715922C1F1A97F(0)</t>
  </si>
  <si>
    <t>54bb4e09-27e1-4336-a6ea-ac50309341ff</t>
  </si>
  <si>
    <t>2FF4301FE2B3DBC4D3AFE899ADA276B69225403D124EAAB9AA568689A57661F4(0)</t>
  </si>
  <si>
    <t>34e56e2e-6add-4b6d-ab3a-6ac160a20bc4</t>
  </si>
  <si>
    <t>393326FE971B0F878563CD443B1038ABA33B5B6132F55F993AEEE926495A5985(0)</t>
  </si>
  <si>
    <t>0b3ef04d-e7b7-4c85-b104-5d1feb13e5d7</t>
  </si>
  <si>
    <t>4C71797BE172EB32F1D994399E9C06999060A10BA9E3DE84FBC9CED529439CE7(0)</t>
  </si>
  <si>
    <t>7d11b2ad-40e4-4090-95ca-112147d0dff6</t>
  </si>
  <si>
    <t>1441B951426D575A9965365B97087B4177B83C3739C765079B9C869A6C2B7988(0)</t>
  </si>
  <si>
    <t>95db02fd-fa17-4c6c-910e-8dc482ade6ec</t>
  </si>
  <si>
    <t>70F58A87C8C22293EC6B5BACB3793817D78B9185A925F56776690845B2D8D4E7(0)</t>
  </si>
  <si>
    <t>299b2e80-a350-4af1-9612-9a83afba7e32</t>
  </si>
  <si>
    <t>07D2F6B27931736989195426810FDE9D7869EFD7989FE59E78378FEFA47B6A66(0)</t>
  </si>
  <si>
    <t>9b2fe922-942c-42d5-957a-129d2b29058f</t>
  </si>
  <si>
    <t>9F656DDC62AC6D93CB02BD2BC6DBDEBDA752B39BDA4D71419D20A7196DFD3CFF(0)</t>
  </si>
  <si>
    <t>0a3b5b32-8a13-4147-92a6-a9fd5f7703e8</t>
  </si>
  <si>
    <t>7D626FEC3196DA377B9FFBF3343A73CADC212ADD60B052092496ECD55D72D84B(0)</t>
  </si>
  <si>
    <t>a02df285-5af1-4aa5-82b2-18b44fdc71c2</t>
  </si>
  <si>
    <t>2EE348102834E4D7D5782928F232C17AA19FAA04C0F3BA60990C941A55AB8FF8(0)</t>
  </si>
  <si>
    <t>a9db3e7e-fe95-423d-906b-1d598e7d4074</t>
  </si>
  <si>
    <t>56F2BBC390EAE9EB51998D38C43996F6471FAFAC12BDE4AD3B0C5FCB5A0E71D0(0)</t>
  </si>
  <si>
    <t>cc698845-5ee5-43af-8fe0-bbdfcda8af3e</t>
  </si>
  <si>
    <t>BA728528B7D51E4FE963037F85D7513094810C1E50D20AC1A82A4B93505A81DA(0)</t>
  </si>
  <si>
    <t>Standard Chartered Bank Malaysia Berhad</t>
  </si>
  <si>
    <t>8f78c123-c492-4cbc-ac27-a5b83c130ae8</t>
  </si>
  <si>
    <t>1696B25C041F4155590BCB9AFB8CE11FF64024F20E3ED3AC331C726D3086904F(0)</t>
  </si>
  <si>
    <t>Standard Chartered Bank India</t>
  </si>
  <si>
    <t>c2599f5b-9eb9-48ce-bb44-96135dbd6ffa</t>
  </si>
  <si>
    <t>E3480E79F1DA562DAA9D3F5ACBE47ABAFDA2030C2F01FD426F6C4DA5BE5DC2E4(0)</t>
  </si>
  <si>
    <t>1f4cadeb-771a-4e52-ae83-aa5c54c359d3</t>
  </si>
  <si>
    <t>BDE37D5C6A7C5808F677DA85586594B6235941B3C120CAF752A4DEEA392E151E(0)</t>
  </si>
  <si>
    <t>7532228b-534d-4836-a2f2-62d3b696193a</t>
  </si>
  <si>
    <t>E8B2E9883EED93DD5501D0599A3FA33A6071367701F6519537DE8D4289F98F4D(0)</t>
  </si>
  <si>
    <t>9f0f8474-d337-477b-93ea-50328159699c</t>
  </si>
  <si>
    <t>8964BC429AED82963D367237E6B42927DA1FDA1C97B7E36218A78E43EBD61446(0)</t>
  </si>
  <si>
    <t>1d5fe1c4-8dae-4d10-a936-f8ef451cb954</t>
  </si>
  <si>
    <t>3C57A9941CD52AE82361A332B506803943EB18B4881E4B78E9549D66CC34B8C5(0)</t>
  </si>
  <si>
    <t>5f74a571-0547-48e8-9b57-d7f0309f62dd</t>
  </si>
  <si>
    <t>BE3525B44EFC7070061B13F5D402CD0016A3F3C3809F58064FC57732D74910E6(0)</t>
  </si>
  <si>
    <t>b67c27d4-55c6-4109-9a51-4d8b3c21c4a2</t>
  </si>
  <si>
    <t>CE63CCA5DB6005AFF1C92746A5EEDA64C322A7FD4683E4F384F30BC849E6FD2A(0)</t>
  </si>
  <si>
    <t>b40d8299-1509-4dcf-be85-262d57fcc01c</t>
  </si>
  <si>
    <t>B7F6C9DE67AF62468E09D84141441F26C69A8936E1F7FE20D71D8309682CB599(0)</t>
  </si>
  <si>
    <t>c94cf7d7-36c9-4b35-bcc9-e492223bd602</t>
  </si>
  <si>
    <t>077DDADF115E46E1408B94F6EBC7627AB1C19ECAA2539FC408D1EC9C1D226CFF(0)</t>
  </si>
  <si>
    <t>5f756696-22f9-4be6-95f7-eac38c1edcd9</t>
  </si>
  <si>
    <t>9F4A1F05BF65DE88729C6B4864B81A46C8720C18F945AB3EAC7EA234C713D5A1(0)</t>
  </si>
  <si>
    <t>3583654f-e7ff-4fc7-b7b0-d46bbe0c5f78</t>
  </si>
  <si>
    <t>183483BE08E2ECABE9F4646951BC79C2B479B75A84A173333B941667A3E029BD(0)</t>
  </si>
  <si>
    <t>aa20dc5d-1263-48e6-8626-17fa10516e14</t>
  </si>
  <si>
    <t>065C0706D6BAC1FFCC7A1C17214E49FA7A1389FE7F952AAF19EE4D1C5E01A7EE(0)</t>
  </si>
  <si>
    <t>600190bd-f2c9-46f8-9c4d-15d9649b63b4</t>
  </si>
  <si>
    <t>5A9A4831BC5DC4293C88EB63F3EAEE5D252C927944145B2D3FEB35814756B5B2(0)</t>
  </si>
  <si>
    <t>b9365b37-4689-4205-bee4-49e2742a3b83</t>
  </si>
  <si>
    <t>DFB76D88CAA45801132834F0340DC4E3531DF9D765B83194EE19727446D74F5E(0)</t>
  </si>
  <si>
    <t>55502b70-9f39-4ff4-b4c7-4e16453a77c7</t>
  </si>
  <si>
    <t>7378460F8DA6E9BCE8E045E2ECD3B0E6511F36CA3C14AB07092410A63D76115B(0)</t>
  </si>
  <si>
    <t>4202aeaf-56f1-4973-9598-b7c532380c00</t>
  </si>
  <si>
    <t>4A7E0C660AC1DDC5F0752A6D60C09437FA80464D3DBF765A2FE95001A5042458(0)</t>
  </si>
  <si>
    <t>Comprehensive Fabric Corp</t>
  </si>
  <si>
    <t>a54ed4f7-c5f4-4577-8a00-fe43a9970db1</t>
  </si>
  <si>
    <t>EE4B5C6106EF6EE83B6B559FAD285B6022D07D1090CD72E9AFC3D166FD51EC01(0)</t>
  </si>
  <si>
    <t>81f42f08-692a-40ee-9603-672444c33ee8</t>
  </si>
  <si>
    <t>485009C108A8A0AEADD12B8B428FE546235AD2B869DC44F03C381BB99D1289CD(0)</t>
  </si>
  <si>
    <t>Skandinaviska Enskilda Banken AB</t>
  </si>
  <si>
    <t>c7c6f7d8-0262-4f15-96b7-d596ed7571ec</t>
  </si>
  <si>
    <t>2834734130472991D139AC40DC8D9A147FE70DE80B10B613F82270974D9960A7(0)</t>
  </si>
  <si>
    <t>6b5cd931-267a-4060-9edc-e2b5594bad28</t>
  </si>
  <si>
    <t>E17EBFB595F08D25F07F3DB85E5F4E0B50D9E7E495C8A15274CEDF05C000B684(0)</t>
  </si>
  <si>
    <t>917d68cb-7777-47a7-bfcb-aea228ce1851</t>
  </si>
  <si>
    <t>78D54277955376EA75C5203BBC75AC0E02CAA28E873D024A444477A5A31F9EB7(0)</t>
  </si>
  <si>
    <t>891118cc-d2d7-4608-9577-4b17ead7d885</t>
  </si>
  <si>
    <t>714B07CB681CED29DF3CB8CD0143D955FD5FCD2DF4AEADCD4E28E45E2AAE49CA(0)</t>
  </si>
  <si>
    <t>794505b5-e1d0-49e5-80ae-3de87b171f2c</t>
  </si>
  <si>
    <t>3A7D03F3CC38BBA6CDC8934945F49D4C370ECFE0D8CB8187565671A55841AB51(0)</t>
  </si>
  <si>
    <t>a5aa337f-78f5-4b8b-95c6-6ed496fb728b</t>
  </si>
  <si>
    <t>163F125DD52493875FD7CF002C32E5E71CB82BC3BACDD0D7560387A033E786D6(0)</t>
  </si>
  <si>
    <t>ddf31920-f005-46fe-bea1-3cf76d5887b5</t>
  </si>
  <si>
    <t>2D27700C00761E64FCA6F595AC52676FCA6626E35C69DCF5C7A6716730886801(0)</t>
  </si>
  <si>
    <t>4ed8a73b-9792-4425-bd4a-58bf8e9df147</t>
  </si>
  <si>
    <t>9B47B2BBDB5F33CA5A508D0F5AF2A1FD78293AD9FD424D5A06FEC8179683C660(0)</t>
  </si>
  <si>
    <t>c8dbfbbe-3c53-40c1-a206-629d814b4745</t>
  </si>
  <si>
    <t>EF069B6423F544A64DEDB8D3DB712E98AE1474FD58E9F41286C06BEC923F3743(0)</t>
  </si>
  <si>
    <t>fe3dfa9c-1aad-45da-8ddb-e800dbe9bc1d</t>
  </si>
  <si>
    <t>1B93BA89C99B2F7AC105AC71CFEF2D31B2184DF6996492B8466DEECF4A7CDA39(0)</t>
  </si>
  <si>
    <t>3c0181bf-c39e-4d15-868c-6d9d2cf26157</t>
  </si>
  <si>
    <t>DD7C832095E9E83AC06F906301D43BA7B7D1D24B07F42D820C3CA399E81DA70B(0)</t>
  </si>
  <si>
    <t>85ad1136-7725-454f-9d9e-3df7a4bf8adf</t>
  </si>
  <si>
    <t>D519F93F47DB415BC8C015EEEEB1CF8C47BBFEDDD01CB4298AAA7A4AD6185D94(0)</t>
  </si>
  <si>
    <t>85aad90d-0bce-4b9c-b77a-9ee963de50a3</t>
  </si>
  <si>
    <t>9537793BFFC7FF2128CF2233DC45A965B177C3D33220FCA5568D2398DB3CD46A(0)</t>
  </si>
  <si>
    <t>99d00d8a-3a72-4e26-a13b-3876dcf033dd</t>
  </si>
  <si>
    <t>4D11BA012D5F6F2729D037CACF6608D125002CDB1958789454A6E5200B56AC79(0)</t>
  </si>
  <si>
    <t>284d9f83-86ce-4fda-8478-508e244181b6</t>
  </si>
  <si>
    <t>A781161F404FB1F05CBFDC38A86084F40919355F2DA73988D338E2E13023A2A2(0)</t>
  </si>
  <si>
    <t>Brainstorm Bank</t>
  </si>
  <si>
    <t>43fa6e0e-d3c6-43e2-9a3e-129657fc54c1</t>
  </si>
  <si>
    <t>09C34B7524413D87B17BC130430C26F0B629FED83B59B495BBAC9D29E759D8C4(0)</t>
  </si>
  <si>
    <t>Active Fabric Bank</t>
  </si>
  <si>
    <t>cb17b0fe-8cfe-496f-bc9b-22793795ce91</t>
  </si>
  <si>
    <t>EAAF41A1B22666ECC69906A970A59DED28BCEC77FB933A8E33E3C0A023742330(0)</t>
  </si>
  <si>
    <t>Atlantic Corp</t>
  </si>
  <si>
    <t>8 Cross Street</t>
  </si>
  <si>
    <t>a1207a8d-57f0-4dac-baad-27abb2cbaa0a</t>
  </si>
  <si>
    <t>5B3081BA9ECF6CA190ED02E97D6934F3E8F40E79CB2E57B534A9006E4428E6C7(0)</t>
  </si>
  <si>
    <t>Best Design Co. Ltd.</t>
  </si>
  <si>
    <t>59fabc58-d0a6-4c49-9a2a-19057e656565</t>
  </si>
  <si>
    <t>47DCA9C49C98AE54B5F8B3A9000B266648D1EFA6D5A1132509D3BAB48E534532(0)</t>
  </si>
  <si>
    <t>b0d81a7f-019f-4293-a379-460548bd5d9d</t>
  </si>
  <si>
    <t>1F6659B1C7057D375BACE0B86A30D64DF06C3EC048D6B0131A500E9BBE9E3852(0)</t>
  </si>
  <si>
    <t>1cb1a6ae-10bd-476c-b564-1c69951a82fd</t>
  </si>
  <si>
    <t>5817FD6FDF2AF75A9D7ADC2E01BC2861516C9A105B13737474D86E1D9D98D6A3(0)</t>
  </si>
  <si>
    <t>b55e667b-ccf8-44a7-ab9e-97b425f8fc0d</t>
  </si>
  <si>
    <t>4D6855E93736978CCA67665ACF941BFAFC2D455912AD6DCEE3D1535078924A51(0)</t>
  </si>
  <si>
    <t>8826fedd-5de5-4a6b-b780-01a1e021034e</t>
  </si>
  <si>
    <t>198D4BA1DA1387CD0AEE56EB20154E40DA32CD939A9BE2BF533AB85893984EA9(0)</t>
  </si>
  <si>
    <t>44f16e8a-ea6f-4c5b-835a-24dee2ff1251</t>
  </si>
  <si>
    <t>CC915073FAD6A8DEC1085F2551C2496D677281176269BB3FE0D2A0A5553FEF08(0)</t>
  </si>
  <si>
    <t>d7e12a55-0976-4efc-9dbf-efc37b0f84da</t>
  </si>
  <si>
    <t>1F348105542A270D47B6E100CA94439B82C81AEFF9E2C8B6CF0269CF1035F031(0)</t>
  </si>
  <si>
    <t>3025c025-2893-4a5c-b517-2e55afd22a5b</t>
  </si>
  <si>
    <t>7400122CF88053C584358E7070A157A7BF3E62807F32B54ECD66EC0089744013(0)</t>
  </si>
  <si>
    <t>f2592add-257d-4287-aa3a-793d325a4e77</t>
  </si>
  <si>
    <t>DDF7D0EB525FD4687BACE6083A477C7CD377283E1BF1096BAF8637B850A9D743(0)</t>
  </si>
  <si>
    <t>1196d493-8510-4006-bd9a-de95b4d3ce23</t>
  </si>
  <si>
    <t>BA0AD65945ECF4FED049D15DF66F7CFB20F185FEABE2EC3D2A2EBA5B5781F6DB(0)</t>
  </si>
  <si>
    <t>The Hongkong and Shanghai Banking Corporation Limited, Singapore Branch</t>
  </si>
  <si>
    <t>0e815a26-b8d5-4edc-9741-2bff6cb9a9d7</t>
  </si>
  <si>
    <t>375235C606C0B11A8308D70BEE2C7ADBEDD603EFA6805345BDD11115BE35F753(0)</t>
  </si>
  <si>
    <t>Kingfa Supply Chain Management Co., Ltd.</t>
  </si>
  <si>
    <t>be6392f6-ce85-4b92-92a8-398c982d2fb5</t>
  </si>
  <si>
    <t>D581F12654ED319072A55A03D82CB5F123E98FF9C419CDA6DAA9A4466F823FD2(0)</t>
  </si>
  <si>
    <t>BASF International Trading (Shanghai) Co. Ltd</t>
  </si>
  <si>
    <t>292728ed-fbb0-4c46-bf58-8b10d38c6354</t>
  </si>
  <si>
    <t>0C479974FBF14A0FE399F1644180564A4347B7DD85229254C5964108E8E637C9(0)</t>
  </si>
  <si>
    <t>66083b92-7347-4905-8955-72f304b6422d</t>
  </si>
  <si>
    <t>4C84F12B9F2A842B4D66F02396A693B2E61632B9FACD4753F5C640D3ED5D8CB6(0)</t>
  </si>
  <si>
    <t>d77dc0fc-cf79-48bb-9591-23ece44f96f9</t>
  </si>
  <si>
    <t>00625B582054AAC609F070D97E000132DE061FC2FC3E1E965129DC2672F4560E(0)</t>
  </si>
  <si>
    <t>The Hongkong and Shanghai Banking Corporation Limited, Seoul Branch</t>
  </si>
  <si>
    <t>2ee5af7e-4fc1-4587-8d9b-f15a91f7bc25</t>
  </si>
  <si>
    <t>7F33237E1376A42C32A4A4ABFE6EE9337415C1509B39BFE9BB128D8BE7250CA6(0)</t>
  </si>
  <si>
    <t>HSBC Amanah Malaysia</t>
  </si>
  <si>
    <t>0cd86f59-e24b-45e5-b261-e6710d75eb1a</t>
  </si>
  <si>
    <t>9E32A5F7A5D1BA5D096E6F4B76C5992156A302D08992C040D411E75C30F4715B(0)</t>
  </si>
  <si>
    <t>HSBC Vietnam</t>
  </si>
  <si>
    <t>HSBC Bank (Vietnam) Limited</t>
  </si>
  <si>
    <t>45fb383f-b602-498f-a7a8-ce507d4c8591</t>
  </si>
  <si>
    <t>E6363BFDE56C98179E7D0C6AD462D7FC64B253CADD5B1F43E77271945D81A0C5(0)</t>
  </si>
  <si>
    <t>d348081a-d3cf-41e3-bcef-9023bc4e0b6c</t>
  </si>
  <si>
    <t>2A14D05DBF54F5E489D2E6050E528103293E01861B6552247E396F6A7CA01668(0)</t>
  </si>
  <si>
    <t>HSBC Australia</t>
  </si>
  <si>
    <t>HSBC Bank Australia Limited</t>
  </si>
  <si>
    <t>5e900547-7122-4603-abeb-47ac80ca969d</t>
  </si>
  <si>
    <t>D256BD6F016243758DD34F3EB346BD8CA7329B383792DE37C23FD9284E647273(0)</t>
  </si>
  <si>
    <t>d9736ba5-58a4-4dde-8aca-0e675a0f27b8</t>
  </si>
  <si>
    <t>FB6AC6E01887B1411F380234ADD808FB4D4EFBCAEDDC4CEEF5A6F498CB31EB3F(0)</t>
  </si>
  <si>
    <t>AO Alfa-Bank</t>
  </si>
  <si>
    <t>8927437b-a3e7-4712-9ab4-c9217f38b9ea</t>
  </si>
  <si>
    <t>A0034FD453C97162CE0D478D24E5C6413590FBAE30A9E6A00ADAD41586FEB6C2(0)</t>
  </si>
  <si>
    <t>DBS Bank Ltd</t>
  </si>
  <si>
    <t>DBS Bank Ltd,</t>
  </si>
  <si>
    <t>822ced03-9519-4231-9c46-3e6e4088748c</t>
  </si>
  <si>
    <t>AA38F6E8B5F89D13C7C747758D56CC5D248FA25C35CFF65C88D59EA9A694DFE7(0)</t>
  </si>
  <si>
    <t>TIEN PHONG PLASTIC JOINT STOCK COMPANY</t>
  </si>
  <si>
    <t>cd0f9cb8-ceed-4df8-9175-426675af1829</t>
  </si>
  <si>
    <t>97BB38111369880FB9C5AC3803C3B1BA56BA26A2C3A282B9B37828D9CF9CEB94(0)</t>
  </si>
  <si>
    <t>Vietinbank</t>
  </si>
  <si>
    <t>76013123-c5a2-42a3-9ddb-5fcfc0fd9b05</t>
  </si>
  <si>
    <t>419DDEBC6D50DE17B52F6C30B4F44C6B1C9955E051D9DFF25B4DA8E2FC346F5A(0)</t>
  </si>
  <si>
    <t>9fdf029c-1e58-4e20-9f8d-34e59024b06c</t>
  </si>
  <si>
    <t>008656DAFCA2705CD1E9A85EB7CFD3DFA8589BADBF8CA7E442D7D7CBD336B740(0)</t>
  </si>
  <si>
    <t>Bangkok Bank PCL - Thailand</t>
  </si>
  <si>
    <t>30613c0d-03ef-4dfa-b43c-548a25550730</t>
  </si>
  <si>
    <t>BEC5D2DC800123DAB797D953370929E33DE6AD243173FC347392838D94546516(0)</t>
  </si>
  <si>
    <t>SAIGON PLASTIC CHEMICAL JOINT STOCK COMPANY</t>
  </si>
  <si>
    <t>c6449580-d89e-441d-9da9-5b4bc901f1a4</t>
  </si>
  <si>
    <t>EEC639E0C9BB251E04ECF6A027DDE08B5ED2BC7B1B87D1C8A7B0569D49616607(0)</t>
  </si>
  <si>
    <t>EMTC</t>
  </si>
  <si>
    <t>MTC ELECTRONIC CO. LIMITED,</t>
  </si>
  <si>
    <t>40aea326-9115-4e5f-8514-4ac0b64c674f</t>
  </si>
  <si>
    <t>2C22768912836F83D09E0D0EA877FDF5FA93C233B1A4235A8BE989F90CDAF9AC(0)</t>
  </si>
  <si>
    <t>AMTC</t>
  </si>
  <si>
    <t>SHENZHEN MTC CO LIMITED,</t>
  </si>
  <si>
    <t>a4456ebe-b6e7-47da-a4f8-14731d2df20e</t>
  </si>
  <si>
    <t>68939D22D7F4666DDD2F4B3472BDDDE791646C0DE6C739D488352BFE9B54E84D(0)</t>
  </si>
  <si>
    <t>Pacific Polysack Industry Co.Ltd.,</t>
  </si>
  <si>
    <t>6e6e34ac-1df0-4790-82df-55b171c4d77f</t>
  </si>
  <si>
    <t>1FE6BB808F36F28ED518606B8A1D6DB3DCFB380EE24E855AA624EDB3609FCBCF(0)</t>
  </si>
  <si>
    <t>Pacific Containerbag Co.,Ltd.</t>
  </si>
  <si>
    <t>615b4d46-29d9-443f-8a1f-4f2438306dd8</t>
  </si>
  <si>
    <t>B48DED9047FDC25FCF97A45FC0021D04BA09171D10BE21F321FDF60CC4265D3A(0)</t>
  </si>
  <si>
    <t>JOINT STOCK COMMERCIAL BANK FOR FOREIGN TRADE OF VIETNAM</t>
  </si>
  <si>
    <t>af617517-38ac-411f-8621-79a1f9a02efa</t>
  </si>
  <si>
    <t>4772B6C3735BEBC8E0E0E328444E56693A9381B9F586BD7E506732E44A505478(0)</t>
  </si>
  <si>
    <t>Kirby South East Asia Co., Limited</t>
  </si>
  <si>
    <t>082ca683-4aaf-400a-8f8a-6ceff2a4c271</t>
  </si>
  <si>
    <t>40EF9AD4EBC293B0FDCD0DC7907D36AA62D6636EE0C42CAD9B231FFAA460CBC8(0)</t>
  </si>
  <si>
    <t>GC MARKETING SOLUTIONS COMPANY LIMITED</t>
  </si>
  <si>
    <t>GC Marketing Solutions Company Limited</t>
  </si>
  <si>
    <t>96652954-5052-4c50-9d59-8e6d177b9f52</t>
  </si>
  <si>
    <t>D103BB7FBDF57708223D9CBFF03D719EE9F1CE1908998833AF25374F86E4DB28(0)</t>
  </si>
  <si>
    <t>DEBONAIR LIMITED</t>
  </si>
  <si>
    <t>7b1b8776-3373-42a1-bead-3c6795e2ecfc</t>
  </si>
  <si>
    <t>18899FEB603C8511532A51DC5BDF039214CDA91893F3959DAE8C831F68B145DA(0)</t>
  </si>
  <si>
    <t>SCG PERFORMANCE CHEMICALS CO.,LTD.</t>
  </si>
  <si>
    <t>0a38b6e2-e767-4262-9f11-b8d6c61316f2</t>
  </si>
  <si>
    <t>987917000F7A8F92F50C7A8EBC12C28C326DD667F80A81037ABA524C6E7FC154(0)</t>
  </si>
  <si>
    <t>CHEONGFULI (HONGKONG) COMPANY LIMITED</t>
  </si>
  <si>
    <t>6a9e4660-63c0-43f8-8c81-488cdc049e43</t>
  </si>
  <si>
    <t>EEE41F650EB5788A9501095E02A96D9CD47ADD19B3328BC7B22AB9EB06ED6DE4(0)</t>
  </si>
  <si>
    <t xml:space="preserve">INEOS Styrolution Korea Ltd. </t>
  </si>
  <si>
    <t>34e2684e-6fd6-43b5-9261-c4b3b5ab713b</t>
  </si>
  <si>
    <t>9ED809E675317580896B9B47EFE07A2346019A2A0F1EDBA728ECD77989227B43(0)</t>
  </si>
  <si>
    <t>OQ Marketing LLC</t>
  </si>
  <si>
    <t>8b1c9560-29fd-420d-a87a-0158f8bab9b9</t>
  </si>
  <si>
    <t>7196EB125A8DEF82248B78B72AB97B0D2AA93285A66AB1FC50ADC41FEAAA0095(0)</t>
  </si>
  <si>
    <t>SCG Plastics Co.,Ltd.</t>
  </si>
  <si>
    <t>76f48da3-c180-46ba-888a-bcef09466e38</t>
  </si>
  <si>
    <t>1DFA8B7C873E787DD4296D77277F0D61467A9ED4A3BDEDEF42E3CB2898E680CB(0)</t>
  </si>
  <si>
    <t>OPEC PLASTICS JOINT STOCK COMPANY</t>
  </si>
  <si>
    <t>Opec Plastics Joint Stock Company</t>
  </si>
  <si>
    <t>3acb0dc2-56bc-482f-a988-3061a476f715</t>
  </si>
  <si>
    <t>19A52BAE616B9850C2FF9E8213B298C97704C3AEDCB65F94963FCE05AE10F7FB(0)</t>
  </si>
  <si>
    <t>689582d1-558f-4bd9-987c-ab668fdfed54</t>
  </si>
  <si>
    <t>ED793A6EA5963D61FF97B8E033F57849277107D63E9C7CF086BBD2EB2714E088(0)</t>
  </si>
  <si>
    <t>Bangkok Bank PCL - Vietnam</t>
  </si>
  <si>
    <t>1b869c0d-4603-4f46-a9cc-c92061fcaab9</t>
  </si>
  <si>
    <t>D72BCFA8452A4DF73EBA07828891C74842C91143743D557A21798FB64CCEFE4A(0)</t>
  </si>
  <si>
    <t>THE CITY BANK LIMITED</t>
  </si>
  <si>
    <t>5f303804-ed5d-41b8-95c7-45a27cbd134d</t>
  </si>
  <si>
    <t>45DB7EFB762225D522F780AF88714F63DBBC2AFBD7542C788F6C4212CF4F8B8E(0)</t>
  </si>
  <si>
    <t>APPAREL LINK (HK) LIMITED</t>
  </si>
  <si>
    <t>fb85c26a-7575-4bbf-9a9a-ce4415b613ba</t>
  </si>
  <si>
    <t>03D4D11184CD8703BB344EDC2142125F5C07888014387BED5A0972C9457879DD(0)</t>
  </si>
  <si>
    <t>TON DONG A CORPORATION</t>
  </si>
  <si>
    <t>2afd08da-aea3-4961-b407-0707c8a8e1cf</t>
  </si>
  <si>
    <t>48717744EF44B1E5ADDA697278D8DB3FE8C3A161661D2F511DD296581EAA56BE(0)</t>
  </si>
  <si>
    <t>Kumba Singapore Pte Ltd.</t>
  </si>
  <si>
    <t>8485e51d-aa35-4653-909b-55aea645dc69</t>
  </si>
  <si>
    <t>E79CF58C42E3F0B95E910A605122DA4A8970B54466AE380BAA9566038DE897BA(0)</t>
  </si>
  <si>
    <t>Hope Downs</t>
  </si>
  <si>
    <t>f79a7d88-34d4-41fd-8e91-b7d32404decc</t>
  </si>
  <si>
    <t>E047E8345D7944B4783B9B287967C2D1A258BA9F1ED02B40C9A435B96E8246A9(0)</t>
  </si>
  <si>
    <t>18fffd79-2848-401b-b7ed-51b13c23b257</t>
  </si>
  <si>
    <t>5C3AC07EF9566EC9EE77787E6119BE256802CBFF6F14968325AD8E142A9C4183(0)</t>
  </si>
  <si>
    <t>Robe River</t>
  </si>
  <si>
    <t>90c79a09-30fe-4d77-bd30-fc961a47df79</t>
  </si>
  <si>
    <t>10096AC3BB584DBF1F78A5B65A07D179F04AE63AE70F37FD3A9B0B54ACDAEB09(0)</t>
  </si>
  <si>
    <t>INTERNATIONAL ISLAMIC TRADE FINANCE CORPORATION</t>
  </si>
  <si>
    <t>ebb06786-a8d8-4ec9-9d21-35bc4b695e75</t>
  </si>
  <si>
    <t>E571A97FCBB07C4F3C14166166C49CC3BA69C65DFE9FA387A7C2F33B2FEACAA5(0)</t>
  </si>
  <si>
    <t>HINEX INDUSTRIES LIMITED</t>
  </si>
  <si>
    <t>b3ce48f6-01ee-469f-9e40-c7f79ff5ad61</t>
  </si>
  <si>
    <t>1C00D115439271D3105CEEBD0D4F832C4E0A0972DBB679E4521D3731FAFFA030(0)</t>
  </si>
  <si>
    <t>BIDV(Vietnam)</t>
  </si>
  <si>
    <t>8e835895-f7a1-4bfe-a9a6-097f9866465c</t>
  </si>
  <si>
    <t>341E9126591456C2064615B038A1D73D61E0C7B22883956E4DA5E49D52D0D65D(0)</t>
  </si>
  <si>
    <t>HDBank (VN)</t>
  </si>
  <si>
    <t>ab8ce350-48c9-4191-be86-e1404f7e6a1a</t>
  </si>
  <si>
    <t>F4E7C947E2B3F4CC1C737283FD2C759849E9EE85CB6E95CFCD2C5CAF2D52BC2F(0)</t>
  </si>
  <si>
    <t>ADB</t>
  </si>
  <si>
    <t>8f8c6877-31f0-493f-b12a-ec07e3f567fa</t>
  </si>
  <si>
    <t>BDC859CC7B1A5C67411B7617E7E9D4BFB04987DEF6E80F43837615B9E027F6F1(0)</t>
  </si>
  <si>
    <t>Contour Ops 2</t>
  </si>
  <si>
    <t>f6e60712-4822-45c3-ad5f-c7471284ce53</t>
  </si>
  <si>
    <t>Current Month</t>
  </si>
  <si>
    <t>Checks - Must be OK</t>
  </si>
  <si>
    <t>Hot To Solve</t>
  </si>
  <si>
    <t>BNO</t>
  </si>
  <si>
    <t>BNMS</t>
  </si>
  <si>
    <t>Root Dir</t>
  </si>
  <si>
    <t>C:\Roy\Project\Billing\</t>
  </si>
  <si>
    <t>Number of Identities Match</t>
  </si>
  <si>
    <t>The number of active identities in the BNO (states) does not equal the number of the DB - Identities.  These should match</t>
  </si>
  <si>
    <t>Output Dir</t>
  </si>
  <si>
    <t>Party Look Errors</t>
  </si>
  <si>
    <t>Identity Lookup Errors</t>
  </si>
  <si>
    <t>Inactive / Error Identities</t>
  </si>
  <si>
    <t>Legal Identity Text MisMatch</t>
  </si>
  <si>
    <t>TODO</t>
  </si>
  <si>
    <t>Does the data in the BNO DB match the BNMS</t>
  </si>
  <si>
    <t>Contour Identity Text Mismatch</t>
  </si>
  <si>
    <t>LEI REC</t>
  </si>
  <si>
    <t>Does the data in the BNMS match the data in the LEI</t>
  </si>
  <si>
    <t>Too Many Transactions</t>
  </si>
  <si>
    <t>Adjust the Billing Working Sheet to make sure it supports the right number of transactions</t>
  </si>
  <si>
    <t>Too Many Identities</t>
  </si>
  <si>
    <t>There are too many identities for the number purchased by the party.  See Contracting Parties sheet</t>
  </si>
  <si>
    <t>Some parties have a faied billing run</t>
  </si>
  <si>
    <t>Re-Run Billing for those parties</t>
  </si>
  <si>
    <t>Identites in BNMS not in CNF</t>
  </si>
  <si>
    <t>Recs between CNF and BNMS are not correct.  Billing can commence, but this needs looking in to</t>
  </si>
  <si>
    <t>Identites in CNF not in BNMS</t>
  </si>
  <si>
    <t>Billing Run Failed</t>
  </si>
  <si>
    <t>Some identities failed their billing process - these should be investigated and re-run</t>
  </si>
  <si>
    <t>Billing Run Not Found</t>
  </si>
  <si>
    <t>Billing run data was not found.  Likely because the identity is new</t>
  </si>
  <si>
    <t>Too many events for the single invoice</t>
  </si>
  <si>
    <t xml:space="preserve">At the momennt the Billing Report excel only supports 33 transactions (due to look and feel).  Check that each Contracting Party has &lt; 33 transaction </t>
  </si>
  <si>
    <t>Clean Email Addresses To be used to send Comms
Just Copy and paste into BCC field of email client</t>
  </si>
  <si>
    <t>Numer of addresses:</t>
  </si>
  <si>
    <t>Note, if the above is &gt; 500 outlook will not sent.  Need a better solution</t>
  </si>
  <si>
    <t>Contour Ref</t>
  </si>
  <si>
    <t>Transaction Ref</t>
  </si>
  <si>
    <t>Party</t>
  </si>
  <si>
    <t>Identity Country</t>
  </si>
  <si>
    <t>Activity</t>
  </si>
  <si>
    <t>Cost</t>
  </si>
  <si>
    <t>Party Lookup Error</t>
  </si>
  <si>
    <t>Identity Lookup Error</t>
  </si>
  <si>
    <t>Display Name Mismatch</t>
  </si>
  <si>
    <t>Billable Event Report</t>
  </si>
  <si>
    <t>Period</t>
  </si>
  <si>
    <t>Number of Events</t>
  </si>
  <si>
    <t>Events</t>
  </si>
  <si>
    <t>Identity</t>
  </si>
  <si>
    <t>Txn UUID (first 10 chars)</t>
  </si>
  <si>
    <t>Date</t>
  </si>
  <si>
    <t>Event Type</t>
  </si>
  <si>
    <t>Fee</t>
  </si>
  <si>
    <t>Working data - do not edit</t>
  </si>
  <si>
    <t>Max number of txn we can charge for at the momebt for look and feel</t>
  </si>
  <si>
    <t>Total (USD)</t>
  </si>
  <si>
    <t>Billing Summary Report</t>
  </si>
  <si>
    <t>Total Tnx</t>
  </si>
  <si>
    <t>Total Fees</t>
  </si>
  <si>
    <t>(Multiple Items)</t>
  </si>
  <si>
    <t>Number Txn</t>
  </si>
  <si>
    <t>Total Cost</t>
  </si>
  <si>
    <t>Submit DP</t>
  </si>
  <si>
    <t>Rio Tinto Commercial Pte. Ltd. Total</t>
  </si>
  <si>
    <t>Issue DC</t>
  </si>
  <si>
    <t>Forward DP</t>
  </si>
  <si>
    <t>HSBC Global Services (Hong Kong) Limited Total</t>
  </si>
  <si>
    <t>Sales Report</t>
  </si>
  <si>
    <t>Number of Identities Sold</t>
  </si>
  <si>
    <t>Number of Identities 
Active in BNO</t>
  </si>
  <si>
    <t>Number of Identities Transacting in last month</t>
  </si>
  <si>
    <t>Number of  
Transactions</t>
  </si>
  <si>
    <t>Do not use</t>
  </si>
  <si>
    <t>Country</t>
  </si>
  <si>
    <t>Active Identity Report</t>
  </si>
  <si>
    <t>Onboarded</t>
  </si>
  <si>
    <t>FALSE</t>
  </si>
  <si>
    <t>(blank)</t>
  </si>
  <si>
    <t>Contour - Identity Report</t>
  </si>
  <si>
    <t>Invoice Date</t>
  </si>
  <si>
    <t>Active Identity</t>
  </si>
  <si>
    <t>X500</t>
  </si>
  <si>
    <t>Not yet in use</t>
  </si>
  <si>
    <t>Contracting Party Type</t>
  </si>
  <si>
    <t>Sponsored</t>
  </si>
  <si>
    <t>Month Starts</t>
  </si>
  <si>
    <t>Month Ends</t>
  </si>
  <si>
    <t>Special Treatment</t>
  </si>
  <si>
    <t>Activity Lookup</t>
  </si>
  <si>
    <t>Standard Affiliate</t>
  </si>
  <si>
    <t>Accession Affilaite</t>
  </si>
  <si>
    <t>Accession</t>
  </si>
  <si>
    <t>Bangladesh</t>
  </si>
  <si>
    <t>Accept DP is not yet chargable</t>
  </si>
  <si>
    <t>See https://contour.atlassian.net/wiki/spaces/GENERAL/pages/1467056236/Pricing</t>
  </si>
  <si>
    <t>DEFAULT</t>
  </si>
  <si>
    <t>Node Price (USD)</t>
  </si>
  <si>
    <t>Days to Expiry2</t>
  </si>
  <si>
    <t>Active Subscription</t>
  </si>
  <si>
    <t>Standard Chartered Global Business Services Sdn Bhd</t>
  </si>
  <si>
    <t>Dedicated Nodes</t>
  </si>
  <si>
    <t>Subscription Status</t>
  </si>
  <si>
    <t>MSA Effective Date</t>
  </si>
  <si>
    <t>Subscription Start Date</t>
  </si>
  <si>
    <t>Deal ID</t>
  </si>
  <si>
    <t>Anglo American Marketing Limited, Singapore Branch</t>
  </si>
  <si>
    <t>Time to First Transaction</t>
  </si>
  <si>
    <t># Events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</si>
</sst>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dd/mm/yyyy;@"/>
    <numFmt numFmtId="167" formatCode="dd/mm/yy;@"/>
    <numFmt numFmtId="168" formatCode="_(&quot;$&quot;* #,##0_);_(&quot;$&quot;* \(#,##0\);_(&quot;$&quot;* &quot;-&quot;??_);_(@_)"/>
    <numFmt numFmtId="169" formatCode="dd\-mmm\-yyyy\ hh:mm\ &quot;SGT&quot;"/>
    <numFmt numFmtId="170" formatCode="[$-809]dd\ mmmm\ yyyy;@"/>
    <numFmt numFmtId="171" formatCode="_(* #,##0_);_(* \(#,##0\);_(* &quot;-&quot;??_);_(@_)"/>
    <numFmt numFmtId="172" formatCode="dd\-mmm\-yy"/>
    <numFmt numFmtId="173" formatCode="d/m/yyyy\ h:mm:ss"/>
    <numFmt numFmtId="174" formatCode="_([$$-409]* #,##0.00_);_([$$-409]* \(#,##0.00\);_([$$-409]* &quot;-&quot;??_);_(@_)"/>
    <numFmt numFmtId="175" formatCode="[$-409]d\-mmm\-yyyy;@"/>
  </numFmts>
  <fonts count="5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6"/>
      <color rgb="FF0023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rgb="FF002355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2355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72"/>
      <color rgb="FF002355"/>
      <name val="Arial Rounded MT Bold"/>
      <family val="2"/>
    </font>
    <font>
      <b/>
      <sz val="20"/>
      <color rgb="FF002355"/>
      <name val="Calibri"/>
      <family val="2"/>
      <scheme val="minor"/>
    </font>
    <font>
      <sz val="16"/>
      <color rgb="FF002355"/>
      <name val="Calibri"/>
      <family val="2"/>
      <scheme val="minor"/>
    </font>
    <font>
      <sz val="12"/>
      <color rgb="FF9C0006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8"/>
      <color rgb="FF002355"/>
      <name val="IBM Plex Sans Bold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Helvetica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  <font>
      <sz val="12"/>
      <color rgb="FFFF0000"/>
      <name val="Helvetica"/>
      <family val="2"/>
    </font>
    <font>
      <b/>
      <sz val="14"/>
      <color theme="1"/>
      <name val="Helvetica"/>
      <family val="2"/>
    </font>
    <font>
      <b/>
      <sz val="12"/>
      <color rgb="FF002355"/>
      <name val="Helvetica"/>
      <family val="2"/>
    </font>
    <font>
      <b/>
      <sz val="16"/>
      <color rgb="FF002355"/>
      <name val="IBM Plex Sans Bold"/>
    </font>
    <font>
      <sz val="12"/>
      <color rgb="FF172B4D"/>
      <name val="Helvetica Neue"/>
      <family val="2"/>
    </font>
    <font>
      <sz val="20"/>
      <color rgb="FF002355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355"/>
        <bgColor indexed="64"/>
      </patternFill>
    </fill>
    <fill>
      <patternFill patternType="solid">
        <fgColor rgb="FF002355"/>
        <bgColor rgb="FF000000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rgb="FF70AD47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9"/>
      </left>
      <right/>
      <top style="thin">
        <color theme="9"/>
      </top>
      <bottom/>
      <diagonal/>
    </border>
  </borders>
  <cellStyleXfs count="12">
    <xf numFmtId="0" fontId="0" fillId="0" borderId="0"/>
    <xf numFmtId="0" fontId="2" fillId="0" borderId="0" applyNumberFormat="0" applyFill="0" applyBorder="0" applyAlignment="0" applyProtection="0"/>
    <xf numFmtId="9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21" fillId="8" borderId="0" applyNumberFormat="0" applyBorder="0" applyAlignment="0" applyProtection="0"/>
    <xf numFmtId="43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37" fillId="0" borderId="0" applyBorder="0"/>
    <xf numFmtId="0" fontId="49" fillId="17" borderId="0" applyNumberFormat="0" applyBorder="0" applyAlignment="0" applyProtection="0"/>
    <xf numFmtId="0" fontId="50" fillId="18" borderId="0" applyNumberFormat="0" applyBorder="0" applyAlignment="0" applyProtection="0"/>
    <xf numFmtId="0" fontId="16" fillId="19" borderId="9" applyNumberFormat="0" applyFont="0" applyAlignment="0" applyProtection="0"/>
  </cellStyleXfs>
  <cellXfs count="294">
    <xf numFmtId="0" fontId="0" fillId="0" borderId="0" xfId="0"/>
    <xf numFmtId="0" fontId="1" fillId="0" borderId="0" xfId="0" applyFont="1"/>
    <xf numFmtId="0" fontId="3" fillId="0" borderId="0" xfId="0" applyFont="1"/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vertical="top"/>
    </xf>
    <xf numFmtId="0" fontId="8" fillId="0" borderId="0" xfId="0" applyFont="1"/>
    <xf numFmtId="0" fontId="9" fillId="0" borderId="0" xfId="0" applyFont="1"/>
    <xf numFmtId="15" fontId="10" fillId="0" borderId="0" xfId="0" applyNumberFormat="1" applyFont="1" applyAlignment="1">
      <alignment horizontal="left"/>
    </xf>
    <xf numFmtId="0" fontId="11" fillId="0" borderId="0" xfId="0" applyFont="1"/>
    <xf numFmtId="0" fontId="8" fillId="5" borderId="0" xfId="0" applyFont="1" applyFill="1"/>
    <xf numFmtId="167" fontId="0" fillId="0" borderId="0" xfId="0" applyNumberFormat="1"/>
    <xf numFmtId="0" fontId="5" fillId="0" borderId="0" xfId="0" applyFont="1"/>
    <xf numFmtId="0" fontId="0" fillId="0" borderId="0" xfId="0" applyAlignment="1">
      <alignment horizontal="center" vertical="center"/>
    </xf>
    <xf numFmtId="0" fontId="0" fillId="7" borderId="0" xfId="0" applyFill="1"/>
    <xf numFmtId="0" fontId="12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9" fontId="20" fillId="0" borderId="0" xfId="2" applyFont="1" applyAlignment="1">
      <alignment horizontal="center"/>
    </xf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0" fontId="19" fillId="0" borderId="0" xfId="0" applyFont="1" applyAlignment="1">
      <alignment horizontal="left" vertical="center" wrapText="1"/>
    </xf>
    <xf numFmtId="44" fontId="5" fillId="0" borderId="0" xfId="3" applyFont="1" applyBorder="1"/>
    <xf numFmtId="0" fontId="21" fillId="8" borderId="0" xfId="4"/>
    <xf numFmtId="0" fontId="24" fillId="0" borderId="0" xfId="0" applyFont="1" applyAlignment="1">
      <alignment horizontal="right"/>
    </xf>
    <xf numFmtId="0" fontId="24" fillId="0" borderId="0" xfId="0" applyFont="1"/>
    <xf numFmtId="49" fontId="0" fillId="0" borderId="0" xfId="0" applyNumberFormat="1"/>
    <xf numFmtId="166" fontId="3" fillId="0" borderId="0" xfId="0" applyNumberFormat="1" applyFont="1" applyAlignment="1">
      <alignment vertical="center" wrapText="1"/>
    </xf>
    <xf numFmtId="0" fontId="4" fillId="0" borderId="0" xfId="0" applyFont="1"/>
    <xf numFmtId="0" fontId="27" fillId="0" borderId="0" xfId="0" applyFont="1"/>
    <xf numFmtId="168" fontId="27" fillId="0" borderId="0" xfId="3" applyNumberFormat="1" applyFont="1"/>
    <xf numFmtId="171" fontId="27" fillId="0" borderId="0" xfId="5" applyNumberFormat="1" applyFont="1"/>
    <xf numFmtId="172" fontId="0" fillId="0" borderId="0" xfId="0" applyNumberFormat="1"/>
    <xf numFmtId="0" fontId="5" fillId="0" borderId="2" xfId="0" applyFont="1" applyBorder="1"/>
    <xf numFmtId="0" fontId="5" fillId="0" borderId="2" xfId="0" applyFont="1" applyBorder="1" applyAlignment="1">
      <alignment horizontal="right"/>
    </xf>
    <xf numFmtId="0" fontId="28" fillId="9" borderId="0" xfId="0" applyFont="1" applyFill="1"/>
    <xf numFmtId="0" fontId="1" fillId="10" borderId="0" xfId="0" applyFont="1" applyFill="1"/>
    <xf numFmtId="49" fontId="1" fillId="10" borderId="0" xfId="0" applyNumberFormat="1" applyFont="1" applyFill="1"/>
    <xf numFmtId="172" fontId="19" fillId="0" borderId="0" xfId="0" applyNumberFormat="1" applyFont="1" applyAlignment="1">
      <alignment vertical="center" wrapText="1"/>
    </xf>
    <xf numFmtId="173" fontId="0" fillId="0" borderId="0" xfId="0" applyNumberFormat="1"/>
    <xf numFmtId="0" fontId="0" fillId="0" borderId="0" xfId="0" applyAlignment="1">
      <alignment horizontal="left"/>
    </xf>
    <xf numFmtId="0" fontId="31" fillId="0" borderId="0" xfId="0" applyFont="1" applyAlignment="1">
      <alignment horizontal="center" vertical="center"/>
    </xf>
    <xf numFmtId="0" fontId="30" fillId="0" borderId="0" xfId="0" applyFont="1"/>
    <xf numFmtId="0" fontId="0" fillId="0" borderId="0" xfId="0" applyAlignment="1">
      <alignment horizontal="left" vertical="top"/>
    </xf>
    <xf numFmtId="0" fontId="0" fillId="4" borderId="0" xfId="0" applyFill="1" applyAlignment="1">
      <alignment horizontal="left"/>
    </xf>
    <xf numFmtId="168" fontId="0" fillId="7" borderId="0" xfId="0" applyNumberFormat="1" applyFill="1"/>
    <xf numFmtId="0" fontId="0" fillId="11" borderId="0" xfId="0" applyFill="1"/>
    <xf numFmtId="168" fontId="0" fillId="11" borderId="0" xfId="0" applyNumberFormat="1" applyFill="1"/>
    <xf numFmtId="0" fontId="32" fillId="4" borderId="0" xfId="0" applyFont="1" applyFill="1"/>
    <xf numFmtId="168" fontId="32" fillId="4" borderId="0" xfId="0" applyNumberFormat="1" applyFont="1" applyFill="1"/>
    <xf numFmtId="0" fontId="0" fillId="0" borderId="0" xfId="0" applyAlignment="1">
      <alignment horizontal="left" vertical="top" wrapText="1"/>
    </xf>
    <xf numFmtId="0" fontId="33" fillId="0" borderId="2" xfId="0" applyFont="1" applyBorder="1"/>
    <xf numFmtId="0" fontId="12" fillId="9" borderId="0" xfId="0" applyFont="1" applyFill="1"/>
    <xf numFmtId="0" fontId="28" fillId="12" borderId="0" xfId="0" applyFont="1" applyFill="1" applyAlignment="1">
      <alignment horizontal="left" vertical="top"/>
    </xf>
    <xf numFmtId="15" fontId="0" fillId="0" borderId="0" xfId="0" applyNumberFormat="1" applyAlignment="1">
      <alignment horizontal="center" vertical="center"/>
    </xf>
    <xf numFmtId="15" fontId="21" fillId="8" borderId="0" xfId="4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7" borderId="0" xfId="0" applyFont="1" applyFill="1"/>
    <xf numFmtId="0" fontId="0" fillId="0" borderId="0" xfId="0" applyAlignment="1">
      <alignment vertical="center"/>
    </xf>
    <xf numFmtId="15" fontId="0" fillId="0" borderId="0" xfId="0" applyNumberFormat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vertical="center"/>
    </xf>
    <xf numFmtId="0" fontId="30" fillId="0" borderId="0" xfId="0" applyFont="1" applyAlignment="1">
      <alignment horizontal="center" vertical="center" wrapText="1"/>
    </xf>
    <xf numFmtId="15" fontId="2" fillId="0" borderId="0" xfId="1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quotePrefix="1" applyAlignment="1">
      <alignment horizontal="center" vertical="center"/>
    </xf>
    <xf numFmtId="15" fontId="0" fillId="0" borderId="0" xfId="0" applyNumberFormat="1" applyAlignment="1">
      <alignment horizontal="left" vertical="center" wrapText="1"/>
    </xf>
    <xf numFmtId="0" fontId="0" fillId="0" borderId="0" xfId="0" quotePrefix="1" applyAlignment="1">
      <alignment horizontal="center" vertical="center" wrapText="1"/>
    </xf>
    <xf numFmtId="0" fontId="2" fillId="0" borderId="0" xfId="1" applyAlignment="1">
      <alignment vertical="center"/>
    </xf>
    <xf numFmtId="0" fontId="35" fillId="0" borderId="0" xfId="0" applyFont="1" applyAlignment="1">
      <alignment horizontal="center" vertical="center"/>
    </xf>
    <xf numFmtId="0" fontId="0" fillId="15" borderId="0" xfId="0" applyFill="1" applyAlignment="1">
      <alignment horizontal="center" vertical="center"/>
    </xf>
    <xf numFmtId="15" fontId="0" fillId="15" borderId="0" xfId="0" applyNumberFormat="1" applyFill="1" applyAlignment="1">
      <alignment horizontal="center" vertical="center"/>
    </xf>
    <xf numFmtId="15" fontId="0" fillId="15" borderId="0" xfId="0" applyNumberFormat="1" applyFill="1" applyAlignment="1">
      <alignment horizontal="left" vertical="center"/>
    </xf>
    <xf numFmtId="15" fontId="2" fillId="0" borderId="0" xfId="1" applyNumberFormat="1" applyAlignment="1">
      <alignment horizontal="left" vertical="center" wrapText="1"/>
    </xf>
    <xf numFmtId="172" fontId="19" fillId="7" borderId="0" xfId="0" applyNumberFormat="1" applyFont="1" applyFill="1" applyAlignment="1">
      <alignment vertical="center" wrapText="1"/>
    </xf>
    <xf numFmtId="0" fontId="26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/>
    </xf>
    <xf numFmtId="11" fontId="0" fillId="0" borderId="0" xfId="0" applyNumberFormat="1"/>
    <xf numFmtId="15" fontId="2" fillId="0" borderId="0" xfId="1" applyNumberFormat="1" applyFill="1" applyAlignment="1">
      <alignment horizontal="left" vertical="center" wrapText="1"/>
    </xf>
    <xf numFmtId="0" fontId="0" fillId="15" borderId="0" xfId="0" applyFill="1" applyAlignment="1">
      <alignment horizontal="center" vertical="center" wrapText="1"/>
    </xf>
    <xf numFmtId="15" fontId="2" fillId="0" borderId="0" xfId="1" applyNumberFormat="1" applyFill="1" applyAlignment="1">
      <alignment horizontal="left" vertical="center"/>
    </xf>
    <xf numFmtId="0" fontId="0" fillId="0" borderId="1" xfId="0" applyBorder="1"/>
    <xf numFmtId="0" fontId="1" fillId="0" borderId="1" xfId="0" applyFont="1" applyBorder="1"/>
    <xf numFmtId="14" fontId="12" fillId="0" borderId="0" xfId="0" applyNumberFormat="1" applyFont="1"/>
    <xf numFmtId="1" fontId="0" fillId="0" borderId="0" xfId="0" quotePrefix="1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36" fillId="0" borderId="0" xfId="0" applyFont="1" applyAlignment="1">
      <alignment horizontal="center" vertical="center"/>
    </xf>
    <xf numFmtId="0" fontId="36" fillId="0" borderId="0" xfId="0" quotePrefix="1" applyFont="1" applyAlignment="1">
      <alignment horizontal="center" vertical="center"/>
    </xf>
    <xf numFmtId="17" fontId="1" fillId="0" borderId="0" xfId="0" applyNumberFormat="1" applyFont="1"/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vertical="center"/>
    </xf>
    <xf numFmtId="15" fontId="0" fillId="16" borderId="0" xfId="0" applyNumberFormat="1" applyFill="1" applyAlignment="1">
      <alignment horizontal="center" vertical="center"/>
    </xf>
    <xf numFmtId="15" fontId="0" fillId="16" borderId="0" xfId="0" applyNumberFormat="1" applyFill="1" applyAlignment="1">
      <alignment horizontal="left" vertical="center"/>
    </xf>
    <xf numFmtId="1" fontId="0" fillId="16" borderId="0" xfId="0" applyNumberFormat="1" applyFill="1" applyAlignment="1">
      <alignment horizontal="center" vertical="center"/>
    </xf>
    <xf numFmtId="174" fontId="0" fillId="16" borderId="0" xfId="0" applyNumberFormat="1" applyFill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vertical="center" wrapText="1"/>
    </xf>
    <xf numFmtId="1" fontId="36" fillId="0" borderId="0" xfId="0" quotePrefix="1" applyNumberFormat="1" applyFont="1" applyAlignment="1">
      <alignment horizontal="center" vertical="center"/>
    </xf>
    <xf numFmtId="9" fontId="0" fillId="0" borderId="0" xfId="2" applyFont="1"/>
    <xf numFmtId="0" fontId="2" fillId="0" borderId="0" xfId="1"/>
    <xf numFmtId="0" fontId="12" fillId="13" borderId="0" xfId="0" applyFont="1" applyFill="1"/>
    <xf numFmtId="166" fontId="12" fillId="9" borderId="0" xfId="0" applyNumberFormat="1" applyFont="1" applyFill="1"/>
    <xf numFmtId="166" fontId="0" fillId="0" borderId="0" xfId="0" applyNumberFormat="1"/>
    <xf numFmtId="16" fontId="16" fillId="0" borderId="2" xfId="4" applyNumberFormat="1" applyFont="1" applyFill="1" applyBorder="1"/>
    <xf numFmtId="16" fontId="5" fillId="0" borderId="2" xfId="4" applyNumberFormat="1" applyFont="1" applyFill="1" applyBorder="1"/>
    <xf numFmtId="0" fontId="5" fillId="0" borderId="0" xfId="0" applyFont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44" fontId="1" fillId="0" borderId="0" xfId="3" applyFont="1" applyAlignment="1">
      <alignment horizontal="center" vertical="center" wrapText="1"/>
    </xf>
    <xf numFmtId="44" fontId="0" fillId="0" borderId="0" xfId="3" applyFont="1" applyAlignment="1">
      <alignment horizontal="center" vertical="center"/>
    </xf>
    <xf numFmtId="44" fontId="0" fillId="0" borderId="0" xfId="3" applyFont="1" applyAlignment="1">
      <alignment vertical="center"/>
    </xf>
    <xf numFmtId="0" fontId="0" fillId="0" borderId="0" xfId="0" quotePrefix="1" applyAlignment="1">
      <alignment horizontal="left" vertical="center"/>
    </xf>
    <xf numFmtId="0" fontId="2" fillId="0" borderId="0" xfId="1" applyAlignment="1">
      <alignment horizontal="left" vertical="center"/>
    </xf>
    <xf numFmtId="0" fontId="5" fillId="0" borderId="4" xfId="0" applyFont="1" applyBorder="1" applyAlignment="1">
      <alignment horizontal="center"/>
    </xf>
    <xf numFmtId="0" fontId="2" fillId="0" borderId="2" xfId="1" applyBorder="1"/>
    <xf numFmtId="0" fontId="38" fillId="0" borderId="0" xfId="0" applyFont="1"/>
    <xf numFmtId="0" fontId="39" fillId="0" borderId="0" xfId="0" applyFont="1" applyAlignment="1">
      <alignment horizontal="center" vertical="center" wrapText="1"/>
    </xf>
    <xf numFmtId="15" fontId="0" fillId="0" borderId="5" xfId="0" applyNumberFormat="1" applyBorder="1" applyAlignment="1">
      <alignment horizontal="center" vertical="center"/>
    </xf>
    <xf numFmtId="15" fontId="8" fillId="0" borderId="6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" fontId="8" fillId="0" borderId="6" xfId="0" applyNumberFormat="1" applyFont="1" applyBorder="1" applyAlignment="1">
      <alignment horizontal="center" vertical="center"/>
    </xf>
    <xf numFmtId="174" fontId="8" fillId="0" borderId="6" xfId="0" applyNumberFormat="1" applyFont="1" applyBorder="1" applyAlignment="1">
      <alignment horizontal="center" vertical="center"/>
    </xf>
    <xf numFmtId="0" fontId="0" fillId="0" borderId="2" xfId="1" applyFont="1" applyBorder="1"/>
    <xf numFmtId="0" fontId="0" fillId="0" borderId="0" xfId="0" applyAlignment="1">
      <alignment horizontal="center"/>
    </xf>
    <xf numFmtId="0" fontId="34" fillId="4" borderId="0" xfId="0" applyFont="1" applyFill="1" applyAlignment="1">
      <alignment horizontal="center" vertical="top"/>
    </xf>
    <xf numFmtId="0" fontId="29" fillId="0" borderId="0" xfId="0" applyFont="1" applyAlignment="1">
      <alignment horizontal="center"/>
    </xf>
    <xf numFmtId="0" fontId="16" fillId="0" borderId="2" xfId="1" applyFont="1" applyBorder="1"/>
    <xf numFmtId="0" fontId="5" fillId="0" borderId="2" xfId="1" applyFont="1" applyBorder="1"/>
    <xf numFmtId="172" fontId="24" fillId="0" borderId="0" xfId="0" applyNumberFormat="1" applyFont="1"/>
    <xf numFmtId="0" fontId="40" fillId="0" borderId="0" xfId="0" applyFont="1"/>
    <xf numFmtId="0" fontId="41" fillId="0" borderId="0" xfId="0" applyFont="1" applyAlignment="1">
      <alignment horizontal="left"/>
    </xf>
    <xf numFmtId="0" fontId="41" fillId="0" borderId="0" xfId="0" applyFont="1"/>
    <xf numFmtId="168" fontId="40" fillId="0" borderId="0" xfId="3" applyNumberFormat="1" applyFont="1" applyAlignment="1">
      <alignment horizontal="right"/>
    </xf>
    <xf numFmtId="0" fontId="43" fillId="0" borderId="1" xfId="0" applyFont="1" applyBorder="1" applyAlignment="1">
      <alignment horizontal="right"/>
    </xf>
    <xf numFmtId="168" fontId="43" fillId="0" borderId="1" xfId="3" applyNumberFormat="1" applyFont="1" applyBorder="1"/>
    <xf numFmtId="0" fontId="44" fillId="0" borderId="0" xfId="0" applyFont="1" applyAlignment="1">
      <alignment horizontal="left"/>
    </xf>
    <xf numFmtId="0" fontId="45" fillId="0" borderId="0" xfId="0" applyFont="1" applyAlignment="1">
      <alignment horizontal="left" vertical="center"/>
    </xf>
    <xf numFmtId="9" fontId="0" fillId="0" borderId="0" xfId="0" applyNumberFormat="1"/>
    <xf numFmtId="175" fontId="0" fillId="0" borderId="0" xfId="0" applyNumberFormat="1"/>
    <xf numFmtId="15" fontId="0" fillId="0" borderId="0" xfId="0" applyNumberFormat="1" applyAlignment="1">
      <alignment vertical="center" wrapText="1"/>
    </xf>
    <xf numFmtId="15" fontId="0" fillId="0" borderId="0" xfId="0" applyNumberFormat="1"/>
    <xf numFmtId="14" fontId="0" fillId="0" borderId="0" xfId="0" applyNumberFormat="1" applyAlignment="1">
      <alignment vertical="center" wrapText="1"/>
    </xf>
    <xf numFmtId="11" fontId="0" fillId="0" borderId="0" xfId="0" applyNumberFormat="1" applyAlignment="1">
      <alignment horizontal="left" vertical="center" wrapText="1"/>
    </xf>
    <xf numFmtId="0" fontId="12" fillId="13" borderId="0" xfId="0" applyFont="1" applyFill="1" applyAlignment="1">
      <alignment horizontal="left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74" fontId="8" fillId="0" borderId="0" xfId="0" applyNumberFormat="1" applyFont="1" applyAlignment="1">
      <alignment horizontal="center" vertical="center"/>
    </xf>
    <xf numFmtId="0" fontId="0" fillId="0" borderId="3" xfId="0" applyBorder="1" applyAlignment="1">
      <alignment horizontal="left" indent="1"/>
    </xf>
    <xf numFmtId="0" fontId="0" fillId="0" borderId="3" xfId="0" applyBorder="1"/>
    <xf numFmtId="0" fontId="46" fillId="0" borderId="0" xfId="0" applyFont="1"/>
    <xf numFmtId="0" fontId="0" fillId="7" borderId="0" xfId="0" applyNumberFormat="1" applyFill="1"/>
    <xf numFmtId="0" fontId="0" fillId="0" borderId="0" xfId="0" applyFill="1"/>
    <xf numFmtId="14" fontId="0" fillId="0" borderId="0" xfId="0" applyNumberFormat="1" applyFill="1"/>
    <xf numFmtId="0" fontId="0" fillId="0" borderId="0" xfId="0" applyFont="1" applyFill="1"/>
    <xf numFmtId="0" fontId="5" fillId="0" borderId="0" xfId="0" applyFont="1" applyFill="1"/>
    <xf numFmtId="14" fontId="0" fillId="0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11" borderId="0" xfId="0" applyNumberFormat="1" applyFill="1"/>
    <xf numFmtId="0" fontId="32" fillId="4" borderId="0" xfId="0" applyNumberFormat="1" applyFont="1" applyFill="1"/>
    <xf numFmtId="0" fontId="5" fillId="0" borderId="2" xfId="0" applyNumberFormat="1" applyFont="1" applyBorder="1"/>
    <xf numFmtId="0" fontId="5" fillId="0" borderId="2" xfId="0" applyFont="1" applyFill="1" applyBorder="1"/>
    <xf numFmtId="0" fontId="5" fillId="0" borderId="2" xfId="0" applyNumberFormat="1" applyFont="1" applyFill="1" applyBorder="1"/>
    <xf numFmtId="49" fontId="5" fillId="0" borderId="2" xfId="0" applyNumberFormat="1" applyFont="1" applyFill="1" applyBorder="1" applyAlignment="1">
      <alignment horizontal="center"/>
    </xf>
    <xf numFmtId="0" fontId="5" fillId="0" borderId="2" xfId="0" applyNumberFormat="1" applyFont="1" applyBorder="1" applyAlignment="1">
      <alignment horizontal="center"/>
    </xf>
    <xf numFmtId="0" fontId="5" fillId="0" borderId="2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16" borderId="0" xfId="0" applyNumberFormat="1" applyFill="1" applyAlignment="1">
      <alignment horizontal="center" vertical="center"/>
    </xf>
    <xf numFmtId="0" fontId="0" fillId="0" borderId="0" xfId="0" applyFont="1"/>
    <xf numFmtId="17" fontId="0" fillId="0" borderId="0" xfId="0" applyNumberFormat="1" applyFont="1"/>
    <xf numFmtId="0" fontId="47" fillId="0" borderId="0" xfId="0" applyFont="1" applyAlignment="1">
      <alignment horizontal="right" vertical="center" wrapText="1"/>
    </xf>
    <xf numFmtId="0" fontId="32" fillId="4" borderId="0" xfId="0" applyFont="1" applyFill="1" applyAlignment="1">
      <alignment horizontal="left" vertical="top"/>
    </xf>
    <xf numFmtId="0" fontId="48" fillId="0" borderId="0" xfId="0" applyFont="1"/>
    <xf numFmtId="172" fontId="19" fillId="0" borderId="0" xfId="0" applyNumberFormat="1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5" fillId="0" borderId="7" xfId="0" applyNumberFormat="1" applyFont="1" applyBorder="1" applyAlignment="1">
      <alignment horizontal="center"/>
    </xf>
    <xf numFmtId="0" fontId="5" fillId="0" borderId="8" xfId="0" applyNumberFormat="1" applyFont="1" applyBorder="1" applyAlignment="1">
      <alignment horizontal="center"/>
    </xf>
    <xf numFmtId="0" fontId="21" fillId="8" borderId="2" xfId="4" applyBorder="1"/>
    <xf numFmtId="49" fontId="0" fillId="0" borderId="0" xfId="0" applyNumberFormat="1" applyAlignment="1">
      <alignment horizontal="left" vertical="center" wrapText="1"/>
    </xf>
    <xf numFmtId="0" fontId="50" fillId="18" borderId="0" xfId="10"/>
    <xf numFmtId="49" fontId="1" fillId="0" borderId="0" xfId="0" applyNumberFormat="1" applyFont="1" applyAlignment="1">
      <alignment horizontal="center"/>
    </xf>
    <xf numFmtId="17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6" fillId="0" borderId="0" xfId="5" applyNumberFormat="1" applyFont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/>
    <xf numFmtId="0" fontId="51" fillId="19" borderId="9" xfId="11" applyFont="1" applyAlignment="1">
      <alignment horizontal="left" vertical="center"/>
    </xf>
    <xf numFmtId="0" fontId="51" fillId="19" borderId="9" xfId="11" applyFont="1" applyAlignment="1">
      <alignment horizontal="center" vertical="center"/>
    </xf>
    <xf numFmtId="0" fontId="51" fillId="19" borderId="9" xfId="11" applyFont="1"/>
    <xf numFmtId="0" fontId="49" fillId="17" borderId="2" xfId="9" applyNumberFormat="1" applyBorder="1" applyAlignment="1">
      <alignment horizontal="center"/>
    </xf>
    <xf numFmtId="1" fontId="49" fillId="17" borderId="2" xfId="9" applyNumberFormat="1" applyBorder="1" applyAlignment="1">
      <alignment horizontal="center"/>
    </xf>
    <xf numFmtId="49" fontId="49" fillId="17" borderId="2" xfId="9" applyNumberFormat="1" applyBorder="1" applyAlignment="1">
      <alignment horizontal="center"/>
    </xf>
    <xf numFmtId="2" fontId="49" fillId="17" borderId="2" xfId="9" applyNumberFormat="1" applyBorder="1" applyAlignment="1">
      <alignment horizontal="center"/>
    </xf>
    <xf numFmtId="49" fontId="21" fillId="8" borderId="2" xfId="4" applyNumberFormat="1" applyBorder="1" applyAlignment="1">
      <alignment horizontal="center"/>
    </xf>
    <xf numFmtId="49" fontId="50" fillId="18" borderId="2" xfId="10" applyNumberFormat="1" applyBorder="1" applyAlignment="1">
      <alignment horizontal="center"/>
    </xf>
    <xf numFmtId="171" fontId="0" fillId="0" borderId="0" xfId="5" applyNumberFormat="1" applyFont="1"/>
    <xf numFmtId="1" fontId="49" fillId="17" borderId="2" xfId="9" applyNumberFormat="1" applyFont="1" applyBorder="1" applyAlignment="1">
      <alignment horizontal="center"/>
    </xf>
    <xf numFmtId="166" fontId="38" fillId="0" borderId="0" xfId="0" applyNumberFormat="1" applyFont="1"/>
    <xf numFmtId="49" fontId="50" fillId="18" borderId="0" xfId="10" applyNumberFormat="1" applyAlignment="1">
      <alignment horizontal="center"/>
    </xf>
    <xf numFmtId="1" fontId="49" fillId="17" borderId="2" xfId="9" quotePrefix="1" applyNumberFormat="1" applyBorder="1" applyAlignment="1">
      <alignment horizontal="center"/>
    </xf>
    <xf numFmtId="0" fontId="49" fillId="17" borderId="2" xfId="9" applyBorder="1" applyAlignment="1">
      <alignment horizontal="center"/>
    </xf>
    <xf numFmtId="49" fontId="49" fillId="17" borderId="2" xfId="9" quotePrefix="1" applyNumberFormat="1" applyBorder="1" applyAlignment="1">
      <alignment horizontal="center"/>
    </xf>
    <xf numFmtId="0" fontId="0" fillId="0" borderId="2" xfId="0" applyBorder="1"/>
    <xf numFmtId="1" fontId="50" fillId="18" borderId="2" xfId="10" applyNumberFormat="1" applyBorder="1" applyAlignment="1">
      <alignment horizontal="center"/>
    </xf>
    <xf numFmtId="15" fontId="0" fillId="0" borderId="0" xfId="0" applyNumberFormat="1" applyBorder="1" applyAlignment="1">
      <alignment horizontal="center" vertical="center"/>
    </xf>
    <xf numFmtId="15" fontId="8" fillId="0" borderId="0" xfId="0" applyNumberFormat="1" applyFont="1" applyBorder="1" applyAlignment="1">
      <alignment horizontal="center" vertical="center"/>
    </xf>
    <xf numFmtId="0" fontId="49" fillId="17" borderId="0" xfId="9"/>
    <xf numFmtId="47" fontId="0" fillId="0" borderId="0" xfId="0" applyNumberFormat="1"/>
    <xf numFmtId="0" fontId="0" fillId="0" borderId="0" xfId="0" applyNumberFormat="1"/>
    <xf numFmtId="0" fontId="0" fillId="0" borderId="0" xfId="0" pivotButton="1"/>
    <xf numFmtId="9" fontId="16" fillId="0" borderId="0" xfId="2" applyFont="1" applyAlignment="1">
      <alignment horizontal="right"/>
    </xf>
    <xf numFmtId="0" fontId="50" fillId="18" borderId="0" xfId="10" applyAlignment="1">
      <alignment horizontal="center" vertical="center"/>
    </xf>
    <xf numFmtId="0" fontId="17" fillId="0" borderId="0" xfId="0" applyFont="1" applyAlignment="1">
      <alignment horizontal="right"/>
    </xf>
    <xf numFmtId="0" fontId="1" fillId="0" borderId="0" xfId="0" applyFont="1" applyFill="1"/>
    <xf numFmtId="49" fontId="5" fillId="17" borderId="2" xfId="9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left"/>
    </xf>
    <xf numFmtId="0" fontId="5" fillId="0" borderId="2" xfId="0" applyNumberFormat="1" applyFont="1" applyFill="1" applyBorder="1" applyAlignment="1">
      <alignment horizontal="left" vertical="center" wrapText="1"/>
    </xf>
    <xf numFmtId="0" fontId="5" fillId="0" borderId="0" xfId="0" applyFont="1" applyAlignment="1">
      <alignment horizontal="center" wrapText="1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170" fontId="19" fillId="0" borderId="0" xfId="0" applyNumberFormat="1" applyFont="1" applyAlignment="1">
      <alignment horizontal="left" vertical="center" wrapText="1"/>
    </xf>
    <xf numFmtId="1" fontId="18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171" fontId="1" fillId="9" borderId="0" xfId="5" applyNumberFormat="1" applyFont="1" applyFill="1" applyAlignment="1">
      <alignment horizontal="center" vertical="center" wrapText="1"/>
    </xf>
    <xf numFmtId="171" fontId="0" fillId="16" borderId="0" xfId="5" applyNumberFormat="1" applyFont="1" applyFill="1" applyAlignment="1">
      <alignment horizontal="center" vertical="center"/>
    </xf>
    <xf numFmtId="171" fontId="0" fillId="0" borderId="0" xfId="5" applyNumberFormat="1" applyFont="1" applyAlignment="1">
      <alignment horizontal="center" vertical="center"/>
    </xf>
    <xf numFmtId="171" fontId="8" fillId="0" borderId="6" xfId="5" applyNumberFormat="1" applyFont="1" applyBorder="1" applyAlignment="1">
      <alignment horizontal="center" vertical="center"/>
    </xf>
    <xf numFmtId="171" fontId="8" fillId="0" borderId="0" xfId="5" applyNumberFormat="1" applyFont="1" applyBorder="1" applyAlignment="1">
      <alignment horizontal="center" vertical="center"/>
    </xf>
    <xf numFmtId="14" fontId="0" fillId="16" borderId="0" xfId="0" applyNumberFormat="1" applyFill="1" applyAlignment="1">
      <alignment horizontal="center" vertical="center"/>
    </xf>
    <xf numFmtId="14" fontId="30" fillId="0" borderId="0" xfId="0" applyNumberFormat="1" applyFont="1" applyAlignment="1">
      <alignment horizontal="center" vertical="center" wrapText="1"/>
    </xf>
    <xf numFmtId="14" fontId="39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vertical="center"/>
    </xf>
    <xf numFmtId="171" fontId="0" fillId="16" borderId="0" xfId="5" applyNumberFormat="1" applyFont="1" applyFill="1" applyAlignment="1">
      <alignment horizontal="left" vertical="center"/>
    </xf>
    <xf numFmtId="0" fontId="28" fillId="20" borderId="10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49" fontId="15" fillId="6" borderId="0" xfId="0" applyNumberFormat="1" applyFont="1" applyFill="1" applyAlignment="1">
      <alignment horizontal="center" wrapText="1"/>
    </xf>
    <xf numFmtId="0" fontId="15" fillId="6" borderId="0" xfId="0" applyFont="1" applyFill="1" applyAlignment="1">
      <alignment horizontal="center" wrapText="1"/>
    </xf>
    <xf numFmtId="0" fontId="21" fillId="8" borderId="0" xfId="4" applyAlignment="1">
      <alignment horizontal="center" wrapText="1"/>
    </xf>
    <xf numFmtId="0" fontId="15" fillId="9" borderId="0" xfId="0" applyFont="1" applyFill="1" applyAlignment="1">
      <alignment horizontal="center" wrapText="1"/>
    </xf>
    <xf numFmtId="0" fontId="21" fillId="8" borderId="0" xfId="4" applyAlignment="1">
      <alignment horizontal="center" vertical="center"/>
    </xf>
    <xf numFmtId="14" fontId="1" fillId="9" borderId="0" xfId="5" applyNumberFormat="1" applyFont="1" applyFill="1" applyAlignment="1">
      <alignment horizontal="center" vertical="center" wrapText="1"/>
    </xf>
    <xf numFmtId="171" fontId="0" fillId="0" borderId="0" xfId="0" applyNumberFormat="1" applyAlignment="1">
      <alignment horizontal="left" vertical="center"/>
    </xf>
    <xf numFmtId="174" fontId="1" fillId="0" borderId="0" xfId="3" applyNumberFormat="1" applyFont="1" applyAlignment="1">
      <alignment horizontal="center" vertical="center" wrapText="1"/>
    </xf>
    <xf numFmtId="174" fontId="0" fillId="0" borderId="0" xfId="3" applyNumberFormat="1" applyFont="1" applyAlignment="1">
      <alignment horizontal="center" vertical="center"/>
    </xf>
    <xf numFmtId="174" fontId="0" fillId="0" borderId="0" xfId="0" applyNumberFormat="1" applyFont="1" applyAlignment="1">
      <alignment horizontal="center" vertical="center"/>
    </xf>
    <xf numFmtId="174" fontId="0" fillId="0" borderId="0" xfId="0" applyNumberFormat="1" applyAlignment="1">
      <alignment vertical="center"/>
    </xf>
    <xf numFmtId="44" fontId="0" fillId="16" borderId="0" xfId="3" applyFont="1" applyFill="1" applyAlignment="1">
      <alignment horizontal="center" vertical="center"/>
    </xf>
    <xf numFmtId="44" fontId="8" fillId="0" borderId="6" xfId="3" applyFont="1" applyBorder="1" applyAlignment="1">
      <alignment horizontal="center" vertical="center"/>
    </xf>
    <xf numFmtId="44" fontId="8" fillId="0" borderId="0" xfId="3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3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167" fontId="0" fillId="0" borderId="0" xfId="0" applyNumberFormat="1" applyAlignment="1">
      <alignment horizontal="left"/>
    </xf>
    <xf numFmtId="167" fontId="0" fillId="0" borderId="2" xfId="0" applyNumberFormat="1" applyBorder="1" applyAlignment="1">
      <alignment horizontal="left"/>
    </xf>
    <xf numFmtId="0" fontId="1" fillId="14" borderId="2" xfId="0" applyFont="1" applyFill="1" applyBorder="1" applyAlignment="1">
      <alignment horizontal="left"/>
    </xf>
    <xf numFmtId="172" fontId="0" fillId="0" borderId="2" xfId="0" applyNumberForma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40" fillId="0" borderId="0" xfId="0" applyFont="1" applyAlignment="1">
      <alignment horizontal="left" wrapText="1"/>
    </xf>
    <xf numFmtId="0" fontId="40" fillId="0" borderId="0" xfId="0" applyFont="1" applyAlignment="1">
      <alignment horizontal="left"/>
    </xf>
    <xf numFmtId="168" fontId="42" fillId="0" borderId="3" xfId="3" applyNumberFormat="1" applyFont="1" applyBorder="1" applyAlignment="1">
      <alignment horizontal="center"/>
    </xf>
    <xf numFmtId="169" fontId="24" fillId="0" borderId="0" xfId="0" applyNumberFormat="1" applyFont="1" applyAlignment="1">
      <alignment horizontal="right"/>
    </xf>
    <xf numFmtId="0" fontId="25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170" fontId="19" fillId="0" borderId="0" xfId="0" applyNumberFormat="1" applyFont="1" applyAlignment="1">
      <alignment horizontal="left" vertical="center" wrapText="1"/>
    </xf>
    <xf numFmtId="1" fontId="18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right" vertical="center" wrapTex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21" fillId="8" borderId="0" xfId="4" applyAlignment="1">
      <alignment horizontal="center"/>
    </xf>
    <xf numFmtId="0" fontId="0" fillId="2" borderId="0" xfId="0" applyFill="1" applyAlignment="1">
      <alignment horizontal="center"/>
    </xf>
    <xf numFmtId="0" fontId="21" fillId="8" borderId="0" xfId="4" applyAlignment="1">
      <alignment horizontal="center" vertical="center" wrapText="1"/>
    </xf>
  </cellXfs>
  <cellStyles count="12">
    <cellStyle name="Bad" xfId="4" builtinId="27"/>
    <cellStyle name="Comma" xfId="5" builtinId="3"/>
    <cellStyle name="Comma 2" xfId="7" xr:uid="{F2149DB4-15C8-4C43-A889-9FB904CEF590}"/>
    <cellStyle name="Currency" xfId="3" builtinId="4"/>
    <cellStyle name="Currency 2" xfId="6" xr:uid="{ED4566ED-7556-440D-8EE1-E66DC3240065}"/>
    <cellStyle name="Good" xfId="9" builtinId="26"/>
    <cellStyle name="Hyperlink" xfId="1" builtinId="8"/>
    <cellStyle name="Neutral" xfId="10" builtinId="28"/>
    <cellStyle name="Normal" xfId="0" builtinId="0"/>
    <cellStyle name="Normal 2" xfId="8" xr:uid="{EA23818E-E294-40DA-8942-26C54989D926}"/>
    <cellStyle name="Note" xfId="11" builtinId="10"/>
    <cellStyle name="Per cent" xfId="2" builtinId="5"/>
  </cellStyles>
  <dxfs count="199">
    <dxf>
      <numFmt numFmtId="0" formatCode="General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71" formatCode="_(* #,##0_);_(* \(#,##0\);_(* &quot;-&quot;??_);_(@_)"/>
      <alignment horizontal="left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4"/>
      </font>
    </dxf>
    <dxf>
      <font>
        <sz val="14"/>
      </font>
    </dxf>
    <dxf>
      <fill>
        <patternFill patternType="solid">
          <bgColor theme="0"/>
        </patternFill>
      </fill>
    </dxf>
    <dxf>
      <font>
        <color theme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b/>
      </font>
    </dxf>
    <dxf>
      <font>
        <b/>
      </font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002355"/>
        </patternFill>
      </fill>
    </dxf>
    <dxf>
      <font>
        <color theme="0"/>
      </font>
    </dxf>
    <dxf>
      <font>
        <sz val="16"/>
      </font>
    </dxf>
    <dxf>
      <fill>
        <patternFill>
          <bgColor theme="3" tint="0.79998168889431442"/>
        </patternFill>
      </fill>
    </dxf>
    <dxf>
      <fill>
        <patternFill patternType="solid">
          <bgColor theme="0"/>
        </patternFill>
      </fill>
    </dxf>
    <dxf>
      <numFmt numFmtId="168" formatCode="_(&quot;$&quot;* #,##0_);_(&quot;$&quot;* \(#,##0\);_(&quot;$&quot;* &quot;-&quot;??_);_(@_)"/>
    </dxf>
    <dxf>
      <numFmt numFmtId="29" formatCode="mm:ss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left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0000"/>
      </font>
      <numFmt numFmtId="171" formatCode="_(* #,##0_);_(* \(#,##0\);_(* &quot;-&quot;??_);_(@_)"/>
      <alignment horizontal="center" vertical="center" textRotation="0" wrapText="0" indent="0" justifyLastLine="0" shrinkToFit="0" readingOrder="0"/>
    </dxf>
    <dxf>
      <font>
        <color rgb="FF000000"/>
      </font>
      <numFmt numFmtId="171" formatCode="_(* #,##0_);_(* \(#,##0\);_(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4" formatCode="_([$$-409]* #,##0.00_);_([$$-409]* \(#,##0.00\);_([$$-409]* &quot;-&quot;??_);_(@_)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4" formatCode="_([$$-409]* #,##0.00_);_([$$-409]* \(#,##0.00\);_([$$-409]* &quot;-&quot;??_);_(@_)"/>
      <alignment horizontal="center" vertical="center" textRotation="0" wrapText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66" formatCode="dd/mm/yyyy;@"/>
      <alignment horizontal="center" vertical="center" textRotation="0" wrapText="0" indent="0" justifyLastLine="0" shrinkToFit="0" readingOrder="0"/>
    </dxf>
    <dxf>
      <numFmt numFmtId="166" formatCode="dd/mm/yyyy;@"/>
      <alignment horizontal="center" vertical="center" textRotation="0" wrapText="0" indent="0" justifyLastLine="0" shrinkToFit="0" readingOrder="0"/>
    </dxf>
    <dxf>
      <numFmt numFmtId="19" formatCode="d/m/yy"/>
      <alignment horizontal="center" vertical="center" textRotation="0" wrapText="0" indent="0" justifyLastLine="0" shrinkToFit="0" readingOrder="0"/>
    </dxf>
    <dxf>
      <numFmt numFmtId="20" formatCode="d\-mmm\-yy"/>
      <alignment horizontal="center" vertical="center" textRotation="0" wrapText="0" indent="0" justifyLastLine="0" shrinkToFit="0" readingOrder="0"/>
    </dxf>
    <dxf>
      <numFmt numFmtId="19" formatCode="d/m/yy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0" formatCode="d\-mmm\-yy"/>
      <alignment horizontal="left" vertical="center" textRotation="0" wrapText="0" indent="0" justifyLastLine="0" shrinkToFit="0" readingOrder="0"/>
    </dxf>
    <dxf>
      <numFmt numFmtId="20" formatCode="d\-mmm\-yy"/>
      <alignment horizontal="center" vertical="center" textRotation="0" wrapText="0" indent="0" justifyLastLine="0" shrinkToFit="0" readingOrder="0"/>
    </dxf>
    <dxf>
      <numFmt numFmtId="166" formatCode="dd/mm/yyyy;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23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17/06/relationships/rdRichValueTypes" Target="richData/rdRichValueType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355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002355"/>
                </a:solidFill>
              </a:rPr>
              <a:t>Total Purchased Identities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355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482994888796803E-2"/>
          <c:y val="0.1087683284457478"/>
          <c:w val="0.90320121563751898"/>
          <c:h val="0.756119103147297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Graphs!$B$5</c:f>
              <c:strCache>
                <c:ptCount val="1"/>
                <c:pt idx="0">
                  <c:v>Bank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Graphs!$C$4:$N$4</c:f>
              <c:numCache>
                <c:formatCode>mmm\-yy</c:formatCode>
                <c:ptCount val="12"/>
                <c:pt idx="0">
                  <c:v>44316</c:v>
                </c:pt>
                <c:pt idx="1">
                  <c:v>44347</c:v>
                </c:pt>
                <c:pt idx="2">
                  <c:v>44377</c:v>
                </c:pt>
                <c:pt idx="3">
                  <c:v>44408</c:v>
                </c:pt>
                <c:pt idx="4">
                  <c:v>44439</c:v>
                </c:pt>
                <c:pt idx="5">
                  <c:v>44469</c:v>
                </c:pt>
                <c:pt idx="6">
                  <c:v>44500</c:v>
                </c:pt>
                <c:pt idx="7">
                  <c:v>44530</c:v>
                </c:pt>
                <c:pt idx="8">
                  <c:v>44561</c:v>
                </c:pt>
                <c:pt idx="9">
                  <c:v>44592</c:v>
                </c:pt>
                <c:pt idx="10">
                  <c:v>44620</c:v>
                </c:pt>
                <c:pt idx="11">
                  <c:v>44651</c:v>
                </c:pt>
              </c:numCache>
            </c:numRef>
          </c:cat>
          <c:val>
            <c:numRef>
              <c:f>Graphs!$C$5:$N$5</c:f>
              <c:numCache>
                <c:formatCode>General</c:formatCode>
                <c:ptCount val="12"/>
                <c:pt idx="0">
                  <c:v>31</c:v>
                </c:pt>
                <c:pt idx="1">
                  <c:v>36</c:v>
                </c:pt>
                <c:pt idx="2">
                  <c:v>36</c:v>
                </c:pt>
                <c:pt idx="3">
                  <c:v>41</c:v>
                </c:pt>
                <c:pt idx="4">
                  <c:v>44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9445-9DAD-F629232A7B15}"/>
            </c:ext>
          </c:extLst>
        </c:ser>
        <c:ser>
          <c:idx val="1"/>
          <c:order val="1"/>
          <c:tx>
            <c:strRef>
              <c:f>Graphs!$B$6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rgbClr val="00235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Graphs!$C$4:$N$4</c:f>
              <c:numCache>
                <c:formatCode>mmm\-yy</c:formatCode>
                <c:ptCount val="12"/>
                <c:pt idx="0">
                  <c:v>44316</c:v>
                </c:pt>
                <c:pt idx="1">
                  <c:v>44347</c:v>
                </c:pt>
                <c:pt idx="2">
                  <c:v>44377</c:v>
                </c:pt>
                <c:pt idx="3">
                  <c:v>44408</c:v>
                </c:pt>
                <c:pt idx="4">
                  <c:v>44439</c:v>
                </c:pt>
                <c:pt idx="5">
                  <c:v>44469</c:v>
                </c:pt>
                <c:pt idx="6">
                  <c:v>44500</c:v>
                </c:pt>
                <c:pt idx="7">
                  <c:v>44530</c:v>
                </c:pt>
                <c:pt idx="8">
                  <c:v>44561</c:v>
                </c:pt>
                <c:pt idx="9">
                  <c:v>44592</c:v>
                </c:pt>
                <c:pt idx="10">
                  <c:v>44620</c:v>
                </c:pt>
                <c:pt idx="11">
                  <c:v>44651</c:v>
                </c:pt>
              </c:numCache>
            </c:numRef>
          </c:cat>
          <c:val>
            <c:numRef>
              <c:f>Graphs!$C$6:$N$6</c:f>
              <c:numCache>
                <c:formatCode>General</c:formatCode>
                <c:ptCount val="12"/>
                <c:pt idx="0">
                  <c:v>24</c:v>
                </c:pt>
                <c:pt idx="1">
                  <c:v>26</c:v>
                </c:pt>
                <c:pt idx="2">
                  <c:v>36</c:v>
                </c:pt>
                <c:pt idx="3">
                  <c:v>47</c:v>
                </c:pt>
                <c:pt idx="4">
                  <c:v>60</c:v>
                </c:pt>
                <c:pt idx="5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25-9445-9DAD-F629232A7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7045439"/>
        <c:axId val="1957047087"/>
      </c:barChart>
      <c:lineChart>
        <c:grouping val="standard"/>
        <c:varyColors val="0"/>
        <c:ser>
          <c:idx val="3"/>
          <c:order val="2"/>
          <c:tx>
            <c:strRef>
              <c:f>Graphs!$B$9</c:f>
              <c:strCache>
                <c:ptCount val="1"/>
                <c:pt idx="0">
                  <c:v>Identity Purchase Growth Rate %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cat>
            <c:numRef>
              <c:f>Graphs!$C$4:$N$4</c:f>
              <c:numCache>
                <c:formatCode>mmm\-yy</c:formatCode>
                <c:ptCount val="12"/>
                <c:pt idx="0">
                  <c:v>44316</c:v>
                </c:pt>
                <c:pt idx="1">
                  <c:v>44347</c:v>
                </c:pt>
                <c:pt idx="2">
                  <c:v>44377</c:v>
                </c:pt>
                <c:pt idx="3">
                  <c:v>44408</c:v>
                </c:pt>
                <c:pt idx="4">
                  <c:v>44439</c:v>
                </c:pt>
                <c:pt idx="5">
                  <c:v>44469</c:v>
                </c:pt>
                <c:pt idx="6">
                  <c:v>44500</c:v>
                </c:pt>
                <c:pt idx="7">
                  <c:v>44530</c:v>
                </c:pt>
                <c:pt idx="8">
                  <c:v>44561</c:v>
                </c:pt>
                <c:pt idx="9">
                  <c:v>44592</c:v>
                </c:pt>
                <c:pt idx="10">
                  <c:v>44620</c:v>
                </c:pt>
                <c:pt idx="11">
                  <c:v>44651</c:v>
                </c:pt>
              </c:numCache>
            </c:numRef>
          </c:cat>
          <c:val>
            <c:numRef>
              <c:f>Graphs!$C$9:$N$9</c:f>
              <c:numCache>
                <c:formatCode>0%</c:formatCode>
                <c:ptCount val="12"/>
                <c:pt idx="0">
                  <c:v>0.17021276595744683</c:v>
                </c:pt>
                <c:pt idx="1">
                  <c:v>0.1272727272727272</c:v>
                </c:pt>
                <c:pt idx="2">
                  <c:v>0.16129032258064524</c:v>
                </c:pt>
                <c:pt idx="3">
                  <c:v>0.22222222222222232</c:v>
                </c:pt>
                <c:pt idx="4">
                  <c:v>0.18181818181818188</c:v>
                </c:pt>
                <c:pt idx="5">
                  <c:v>6.7307692307692291E-2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8D-744E-B9A2-B77D6ECAB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2128672"/>
        <c:axId val="1062130784"/>
      </c:lineChart>
      <c:dateAx>
        <c:axId val="195704543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047087"/>
        <c:crosses val="autoZero"/>
        <c:auto val="1"/>
        <c:lblOffset val="100"/>
        <c:baseTimeUnit val="months"/>
        <c:majorUnit val="1"/>
        <c:majorTimeUnit val="months"/>
      </c:dateAx>
      <c:valAx>
        <c:axId val="195704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045439"/>
        <c:crosses val="autoZero"/>
        <c:crossBetween val="between"/>
      </c:valAx>
      <c:valAx>
        <c:axId val="1062130784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128672"/>
        <c:crosses val="max"/>
        <c:crossBetween val="between"/>
      </c:valAx>
      <c:dateAx>
        <c:axId val="1062128672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06213078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002355"/>
                </a:solidFill>
              </a:rPr>
              <a:t>Total Logos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397161893224888E-2"/>
          <c:y val="0.10632240055826939"/>
          <c:w val="0.89157512762827729"/>
          <c:h val="0.765070800204405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Graphs!$B$35</c:f>
              <c:strCache>
                <c:ptCount val="1"/>
                <c:pt idx="0">
                  <c:v>Bank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Graphs!$C$32:$N$34</c:f>
              <c:strCache>
                <c:ptCount val="12"/>
                <c:pt idx="0">
                  <c:v>Apr-21</c:v>
                </c:pt>
                <c:pt idx="1">
                  <c:v>May-21</c:v>
                </c:pt>
                <c:pt idx="2">
                  <c:v>Jun-21</c:v>
                </c:pt>
                <c:pt idx="3">
                  <c:v>Jul-21</c:v>
                </c:pt>
                <c:pt idx="4">
                  <c:v>Aug-21</c:v>
                </c:pt>
                <c:pt idx="5">
                  <c:v>Sep-21</c:v>
                </c:pt>
                <c:pt idx="6">
                  <c:v>Oct-21</c:v>
                </c:pt>
                <c:pt idx="7">
                  <c:v>Nov-21</c:v>
                </c:pt>
                <c:pt idx="8">
                  <c:v>Dec-21</c:v>
                </c:pt>
                <c:pt idx="9">
                  <c:v>Jan-22</c:v>
                </c:pt>
                <c:pt idx="10">
                  <c:v>Feb-22</c:v>
                </c:pt>
                <c:pt idx="11">
                  <c:v>Mar-22</c:v>
                </c:pt>
              </c:strCache>
            </c:strRef>
          </c:cat>
          <c:val>
            <c:numRef>
              <c:f>Graphs!$C$35:$N$35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5-8143-9BCA-3C7602042580}"/>
            </c:ext>
          </c:extLst>
        </c:ser>
        <c:ser>
          <c:idx val="1"/>
          <c:order val="1"/>
          <c:tx>
            <c:strRef>
              <c:f>Graphs!$B$36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rgbClr val="00235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Graphs!$C$32:$N$34</c:f>
              <c:strCache>
                <c:ptCount val="12"/>
                <c:pt idx="0">
                  <c:v>Apr-21</c:v>
                </c:pt>
                <c:pt idx="1">
                  <c:v>May-21</c:v>
                </c:pt>
                <c:pt idx="2">
                  <c:v>Jun-21</c:v>
                </c:pt>
                <c:pt idx="3">
                  <c:v>Jul-21</c:v>
                </c:pt>
                <c:pt idx="4">
                  <c:v>Aug-21</c:v>
                </c:pt>
                <c:pt idx="5">
                  <c:v>Sep-21</c:v>
                </c:pt>
                <c:pt idx="6">
                  <c:v>Oct-21</c:v>
                </c:pt>
                <c:pt idx="7">
                  <c:v>Nov-21</c:v>
                </c:pt>
                <c:pt idx="8">
                  <c:v>Dec-21</c:v>
                </c:pt>
                <c:pt idx="9">
                  <c:v>Jan-22</c:v>
                </c:pt>
                <c:pt idx="10">
                  <c:v>Feb-22</c:v>
                </c:pt>
                <c:pt idx="11">
                  <c:v>Mar-22</c:v>
                </c:pt>
              </c:strCache>
            </c:strRef>
          </c:cat>
          <c:val>
            <c:numRef>
              <c:f>Graphs!$C$36:$N$36</c:f>
              <c:numCache>
                <c:formatCode>General</c:formatCode>
                <c:ptCount val="12"/>
                <c:pt idx="0">
                  <c:v>8</c:v>
                </c:pt>
                <c:pt idx="1">
                  <c:v>10</c:v>
                </c:pt>
                <c:pt idx="2">
                  <c:v>20</c:v>
                </c:pt>
                <c:pt idx="3">
                  <c:v>31</c:v>
                </c:pt>
                <c:pt idx="4">
                  <c:v>45</c:v>
                </c:pt>
                <c:pt idx="5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55-8143-9BCA-3C7602042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6409775"/>
        <c:axId val="1986257855"/>
      </c:barChart>
      <c:lineChart>
        <c:grouping val="standard"/>
        <c:varyColors val="0"/>
        <c:ser>
          <c:idx val="2"/>
          <c:order val="2"/>
          <c:tx>
            <c:strRef>
              <c:f>Graphs!$B$39</c:f>
              <c:strCache>
                <c:ptCount val="1"/>
                <c:pt idx="0">
                  <c:v>Logo Growth Rate %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Graphs!$C$39:$N$39</c:f>
              <c:numCache>
                <c:formatCode>0%</c:formatCode>
                <c:ptCount val="12"/>
                <c:pt idx="0">
                  <c:v>0.1</c:v>
                </c:pt>
                <c:pt idx="1">
                  <c:v>0.16666666666666674</c:v>
                </c:pt>
                <c:pt idx="2">
                  <c:v>0.47619047619047628</c:v>
                </c:pt>
                <c:pt idx="3">
                  <c:v>0.38709677419354849</c:v>
                </c:pt>
                <c:pt idx="4">
                  <c:v>0.37209302325581395</c:v>
                </c:pt>
                <c:pt idx="5">
                  <c:v>0.11864406779661008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43-4E4F-AEA8-F7B5A1D5D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5776960"/>
        <c:axId val="1515775712"/>
      </c:lineChart>
      <c:dateAx>
        <c:axId val="198640977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257855"/>
        <c:crosses val="autoZero"/>
        <c:auto val="1"/>
        <c:lblOffset val="100"/>
        <c:baseTimeUnit val="months"/>
      </c:dateAx>
      <c:valAx>
        <c:axId val="198625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409775"/>
        <c:crosses val="autoZero"/>
        <c:crossBetween val="between"/>
      </c:valAx>
      <c:valAx>
        <c:axId val="1515775712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76960"/>
        <c:crosses val="max"/>
        <c:crossBetween val="between"/>
      </c:valAx>
      <c:catAx>
        <c:axId val="1515776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51577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</xdr:colOff>
      <xdr:row>1</xdr:row>
      <xdr:rowOff>254000</xdr:rowOff>
    </xdr:from>
    <xdr:to>
      <xdr:col>26</xdr:col>
      <xdr:colOff>165100</xdr:colOff>
      <xdr:row>30</xdr:row>
      <xdr:rowOff>190500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254000</xdr:colOff>
      <xdr:row>1</xdr:row>
      <xdr:rowOff>247650</xdr:rowOff>
    </xdr:from>
    <xdr:to>
      <xdr:col>37</xdr:col>
      <xdr:colOff>406400</xdr:colOff>
      <xdr:row>31</xdr:row>
      <xdr:rowOff>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12700</xdr:rowOff>
        </xdr:from>
        <xdr:to>
          <xdr:col>8</xdr:col>
          <xdr:colOff>0</xdr:colOff>
          <xdr:row>8</xdr:row>
          <xdr:rowOff>12700</xdr:rowOff>
        </xdr:to>
        <xdr:sp macro="" textlink="">
          <xdr:nvSpPr>
            <xdr:cNvPr id="9218" name="Button 2" descr="Generate Report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Billing &amp; Generate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12</xdr:row>
          <xdr:rowOff>0</xdr:rowOff>
        </xdr:from>
        <xdr:to>
          <xdr:col>8</xdr:col>
          <xdr:colOff>0</xdr:colOff>
          <xdr:row>14</xdr:row>
          <xdr:rowOff>38100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Just 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88900</xdr:colOff>
      <xdr:row>1</xdr:row>
      <xdr:rowOff>0</xdr:rowOff>
    </xdr:from>
    <xdr:to>
      <xdr:col>5</xdr:col>
      <xdr:colOff>1066800</xdr:colOff>
      <xdr:row>2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03200"/>
          <a:ext cx="977900" cy="1041400"/>
        </a:xfrm>
        <a:prstGeom prst="rect">
          <a:avLst/>
        </a:prstGeom>
      </xdr:spPr>
    </xdr:pic>
    <xdr:clientData/>
  </xdr:twoCellAnchor>
  <xdr:twoCellAnchor editAs="oneCell">
    <xdr:from>
      <xdr:col>4</xdr:col>
      <xdr:colOff>249777</xdr:colOff>
      <xdr:row>46</xdr:row>
      <xdr:rowOff>177800</xdr:rowOff>
    </xdr:from>
    <xdr:to>
      <xdr:col>5</xdr:col>
      <xdr:colOff>900648</xdr:colOff>
      <xdr:row>48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977" y="10477500"/>
          <a:ext cx="2111371" cy="266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139701</xdr:colOff>
      <xdr:row>1</xdr:row>
      <xdr:rowOff>165100</xdr:rowOff>
    </xdr:from>
    <xdr:to>
      <xdr:col>1</xdr:col>
      <xdr:colOff>2362201</xdr:colOff>
      <xdr:row>1</xdr:row>
      <xdr:rowOff>444037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1" y="368300"/>
          <a:ext cx="2222500" cy="2789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330201</xdr:colOff>
      <xdr:row>1</xdr:row>
      <xdr:rowOff>88901</xdr:rowOff>
    </xdr:from>
    <xdr:to>
      <xdr:col>1</xdr:col>
      <xdr:colOff>2556381</xdr:colOff>
      <xdr:row>1</xdr:row>
      <xdr:rowOff>368300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1" y="292101"/>
          <a:ext cx="2226180" cy="27939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127000</xdr:rowOff>
    </xdr:from>
    <xdr:to>
      <xdr:col>2</xdr:col>
      <xdr:colOff>535851</xdr:colOff>
      <xdr:row>0</xdr:row>
      <xdr:rowOff>444499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27000"/>
          <a:ext cx="2529751" cy="317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1</xdr:row>
          <xdr:rowOff>12700</xdr:rowOff>
        </xdr:from>
        <xdr:to>
          <xdr:col>10</xdr:col>
          <xdr:colOff>723900</xdr:colOff>
          <xdr:row>1</xdr:row>
          <xdr:rowOff>393700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1</xdr:row>
      <xdr:rowOff>12700</xdr:rowOff>
    </xdr:from>
    <xdr:to>
      <xdr:col>6</xdr:col>
      <xdr:colOff>12700</xdr:colOff>
      <xdr:row>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81900" y="215900"/>
          <a:ext cx="901700" cy="901700"/>
        </a:xfrm>
        <a:prstGeom prst="rect">
          <a:avLst/>
        </a:prstGeom>
      </xdr:spPr>
    </xdr:pic>
    <xdr:clientData/>
  </xdr:twoCellAnchor>
  <xdr:twoCellAnchor editAs="oneCell">
    <xdr:from>
      <xdr:col>4</xdr:col>
      <xdr:colOff>215900</xdr:colOff>
      <xdr:row>28</xdr:row>
      <xdr:rowOff>177800</xdr:rowOff>
    </xdr:from>
    <xdr:to>
      <xdr:col>5</xdr:col>
      <xdr:colOff>932388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7100" y="6769100"/>
          <a:ext cx="1910288" cy="241300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A16A7CDF-CBA8-1042-8F6E-40E4DF89916A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ang Duong" id="{8539227E-98D5-4D9F-A009-4479B8A2F82E}" userId="S::bang@contour.network::d95c7e4b-42d0-4191-965e-2001a6cd50e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ven Roy Yumul" refreshedDate="44442.595175462964" createdVersion="7" refreshedVersion="7" minRefreshableVersion="3" recordCount="397" xr:uid="{CB7996BB-3035-9F48-9E6F-354C5156EFD4}">
  <cacheSource type="worksheet">
    <worksheetSource ref="B1:N398" sheet="Billing Working"/>
  </cacheSource>
  <cacheFields count="13">
    <cacheField name="display_name" numFmtId="0">
      <sharedItems containsMixedTypes="1" containsNumber="1" containsInteger="1" minValue="0" maxValue="0"/>
    </cacheField>
    <cacheField name="client_id" numFmtId="0">
      <sharedItems containsSemiMixedTypes="0" containsString="0" containsNumber="1" containsInteger="1" minValue="0" maxValue="983807791"/>
    </cacheField>
    <cacheField name="command" numFmtId="0">
      <sharedItems containsMixedTypes="1" containsNumber="1" containsInteger="1" minValue="0" maxValue="0"/>
    </cacheField>
    <cacheField name="event_date_time" numFmtId="0">
      <sharedItems containsMixedTypes="1" containsNumber="1" containsInteger="1" minValue="0" maxValue="0"/>
    </cacheField>
    <cacheField name="Contour Ref" numFmtId="49">
      <sharedItems containsMixedTypes="1" containsNumber="1" containsInteger="1" minValue="0" maxValue="0"/>
    </cacheField>
    <cacheField name="Transaction Ref" numFmtId="49">
      <sharedItems containsMixedTypes="1" containsNumber="1" containsInteger="1" minValue="0" maxValue="0"/>
    </cacheField>
    <cacheField name="Party" numFmtId="0">
      <sharedItems count="9">
        <s v="HSBC Global Services (Hong Kong) Limited"/>
        <s v="Rio Tinto Commercial Pte. Ltd."/>
        <e v="#N/A"/>
        <s v="Tata Steel Limited" u="1"/>
        <s v="Standard Chartered Global Business Services Private Limited" u="1"/>
        <s v="Vale International SA" u="1"/>
        <s v="Contour Pte. Ltd." u="1"/>
        <s v="ICBC Xiamen" u="1"/>
        <s v="DBS Bank Limited" u="1"/>
      </sharedItems>
    </cacheField>
    <cacheField name="Type" numFmtId="0">
      <sharedItems count="4">
        <s v="Bank"/>
        <s v="Corporate"/>
        <e v="#N/A"/>
        <s v="Types" u="1"/>
      </sharedItems>
    </cacheField>
    <cacheField name="Identity Country" numFmtId="0">
      <sharedItems/>
    </cacheField>
    <cacheField name="Activity" numFmtId="0">
      <sharedItems count="5">
        <s v="Issue DC"/>
        <s v="Forward DP"/>
        <s v="Submit DP"/>
        <e v="#N/A"/>
        <s v="Accept DP" u="1"/>
      </sharedItems>
    </cacheField>
    <cacheField name="Cost" numFmtId="0">
      <sharedItems containsMixedTypes="1" containsNumber="1" containsInteger="1" minValue="10" maxValue="50"/>
    </cacheField>
    <cacheField name="Party Lookup Error" numFmtId="0">
      <sharedItems/>
    </cacheField>
    <cacheField name="Identity Lookup Err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448.407193981482" createdVersion="7" refreshedVersion="7" minRefreshableVersion="3" recordCount="88" xr:uid="{0137034F-301A-3543-A498-F26FCA0493FC}">
  <cacheSource type="worksheet">
    <worksheetSource name="identities_t"/>
  </cacheSource>
  <cacheFields count="30">
    <cacheField name="Subscription ID" numFmtId="0">
      <sharedItems containsSemiMixedTypes="0" containsString="0" containsNumber="1" containsInteger="1" minValue="0" maxValue="71"/>
    </cacheField>
    <cacheField name="Contracting Party" numFmtId="0">
      <sharedItems count="69">
        <s v="HSBC Global Services (Hong Kong) Limited"/>
        <s v="Standard Chartered Bank (Singapore) Limited"/>
        <s v="Standard Chartered Bank, Bangladesh Branch"/>
        <s v="PT Bank Permata Tbk"/>
        <s v="Skandinaviska Enskilda Banken AB (publ)"/>
        <s v="BNP Paribas SA"/>
        <s v="Standard Chartered Global Business Services Private Limited"/>
        <s v="Tata Steel Limited"/>
        <s v="Universal Tube and Plastic Industries Ltd."/>
        <s v="Xiamen ITG"/>
        <s v="Bank of China (Hong Kong)"/>
        <s v="ICBC Xiamen"/>
        <s v="Rio Tinto Commercial Pte. Ltd."/>
        <s v="DBS Bank Limited"/>
        <s v="Bangkok Bank Public Company Limited"/>
        <s v="Hangzhou Iron &amp; Steel (H.K.) Co Ltd"/>
        <s v="HBIS Group Hong Kong Co., Limited"/>
        <s v="Vale International SA"/>
        <s v="Toptip Holding Pte. Ltd"/>
        <s v="Singapore Jinteng International Pte. Ltd."/>
        <s v="Chandra Asri Trading Company Pte. Ltd. "/>
        <s v="Hong Kong Jinteng Development Ltd."/>
        <s v="Cemcoa Limited"/>
        <s v="Metal One (Thailand) Co., Ltd"/>
        <s v="SCG Plastics Co., Ltd."/>
        <s v="SCG Performance Chemicals Co., Ltd"/>
        <s v="PALM-OLEO SDN BHD"/>
        <s v="PT Arista Latindo"/>
        <s v="British American Tobacco Bangladesh Company Ltd"/>
        <s v="ArcelorMittal Nippon Steel India Ltd"/>
        <s v="CHEMTECH CO.LTD"/>
        <s v="AN PHAT BIOPLASTICS JOINT STOCK COMPANY"/>
        <s v="DBS BANK (HONG KONG) LIMITED"/>
        <s v="Polyplex (Thailand) Public Company Limited"/>
        <s v="Thailand Anthracite Company Limited"/>
        <s v="STAVIAN CHEMICAL JOINT STOCK COMPANY"/>
        <s v="MACWORLD INDUSTRIES LIMITED"/>
        <s v="Aptec Distribution FZ-LLC"/>
        <s v="LONGTEX RUBBER INDUSTRY CO.,LTD."/>
        <s v="Sumitomo Mitsui Banking Corporation (SMBC)"/>
        <s v="Singapore (Cogeneration) Steel Pte Ltd"/>
        <s v="Anglo American Marketing Limited,_x000a_Singapore Branch"/>
        <s v="THAI ACRYLIC FIBRE CO. LTD."/>
        <s v="Anglo American Marketing Limited"/>
        <s v="WIN FAITH TRADING LIMITED"/>
        <s v="HBIS Group Singapore Pte Ltd"/>
        <s v="PT Chandra Asri Petrochemical Tbk"/>
        <s v="RANGPUR METAL INDUSTRIES LIMITED"/>
        <s v="Eldon Development Ltd"/>
        <s v="Kumba Singapore Pte Ltd"/>
        <s v="Industrial and Commercial Bank of China (Asia) Limited"/>
        <s v="Jidong Development (HK) International Limited"/>
        <s v="Bajaj Auto Limited"/>
        <s v="TPT Petrochemicals PCL"/>
        <s v="Indorama Petrochem Ltd"/>
        <s v="Indorama Polyster Industries PCL"/>
        <s v="DBS BANK (CHINA) LIMITED"/>
        <s v="Asia Pet (Thailand) Ltd."/>
        <s v="EMIRCOM LLC"/>
        <s v="Military Commercial Joint Stock Bank"/>
        <s v="Genesis Fashions Ltd."/>
        <s v="Columbia Apparels Ltd."/>
        <s v="Epyllion Style Ltd"/>
        <s v="Columbia Garments Ltd."/>
        <s v="Epyllion Knitwears Ltd"/>
        <s v="Columbia Washing Plant Ltd."/>
        <s v="Contour Pte. Ltd."/>
        <s v="The Saudi British Bank (SABB)" u="1"/>
        <s v="AN PHAT BIOPLASTICS JOINT STOCK_x000a_COMPANY" u="1"/>
      </sharedItems>
    </cacheField>
    <cacheField name="Subscription Status" numFmtId="0">
      <sharedItems/>
    </cacheField>
    <cacheField name="Type" numFmtId="0">
      <sharedItems containsMixedTypes="1" containsNumber="1" containsInteger="1" minValue="0" maxValue="0" count="4">
        <s v="Bank"/>
        <s v="Corporate"/>
        <s v="Types"/>
        <n v="0" u="1"/>
      </sharedItems>
    </cacheField>
    <cacheField name="Internal" numFmtId="0">
      <sharedItems count="2">
        <b v="0"/>
        <b v="1"/>
      </sharedItems>
    </cacheField>
    <cacheField name="Jira Ref" numFmtId="0">
      <sharedItems containsBlank="1"/>
    </cacheField>
    <cacheField name="Initiative Code" numFmtId="0">
      <sharedItems containsBlank="1" containsMixedTypes="1" containsNumber="1" containsInteger="1" minValue="3.56E+16" maxValue="3.56E+16"/>
    </cacheField>
    <cacheField name="Initiative" numFmtId="49">
      <sharedItems containsMixedTypes="1" containsNumber="1" containsInteger="1" minValue="0" maxValue="0"/>
    </cacheField>
    <cacheField name="Contour Identity" numFmtId="0">
      <sharedItems containsBlank="1" count="92">
        <s v="HSBC India"/>
        <s v="HSBC Hong Kong"/>
        <s v="Standard Chartered Bank - Node 3"/>
        <s v="Standard Chartered Bank Bangladesh Branch Limited"/>
        <s v="HSBC UAE"/>
        <s v="HSBC Singapore"/>
        <s v="HSBC Bangladesh"/>
        <s v="HSBC Malaysia"/>
        <s v="PT BANK PERMATA TBK"/>
        <s v="Hang Seng Bank Hong Kong"/>
        <s v="HSBC China"/>
        <s v="SEB"/>
        <s v="BNP PARIBAS"/>
        <s v="Standard Chartered Bank – Node 1"/>
        <s v="HSBC Thailand"/>
        <s v="TATA STEEL LIMITED"/>
        <s v="Universal Tube and Plastic Industries Ltd."/>
        <s v="Xiamen ITG Group Corp., Ltd"/>
        <s v="Bank of China (Hong Kong) Limited"/>
        <s v="INDUSTRIAL AND COMMERCIAL BANK OF CHINA,XIAMEN CITY BRANCH"/>
        <s v="Rio Tinto Commercial Pte Ltd"/>
        <s v="DBS BANK LTD."/>
        <s v="Pointer Investment  - Hong Kong"/>
        <s v="ROBE RIVER ORE SALES PTY. LTD."/>
        <s v="HOPE DOWNS MARKETING COMPANY PTY LTD"/>
        <s v="Bangkok Bank - Thailand"/>
        <s v="Bangkok Bank - Vietnam"/>
        <s v="HANGZHOU IRON &amp; STEEL (H.K.) COMPANY LIMITED"/>
        <s v="HBIS Group Hong Kong Co. Limited"/>
        <m/>
        <s v="Vale International SA"/>
        <s v="TOPTIP HOLDING PTE. LTD"/>
        <s v="Singapore Jinteng International Pte Ltd"/>
        <s v="Chandra Asri Trading Company Pte Ltd"/>
        <s v="HONG KONG JINTENG DEVELOPMENT LIMITED"/>
        <s v="CEMCOA LIMITED"/>
        <s v="Metal One (Thailand) Company Limited"/>
        <s v="SCG Plastics Company Limited"/>
        <s v="SCG Performance Chemicals Company Limited"/>
        <s v="PALM-OLEO SDN BHD"/>
        <s v="PT ARISTA LATINDO"/>
        <s v="BRITISH AMERICAN TOBACCO BANGLADESH CO. LTD."/>
        <s v="ArcelorMittal Nippon Steel India Limited"/>
        <s v="CHEMTECH CO. LTD"/>
        <s v="AN PHAT BIOPLASTICS JOINT STOCK COMPANY"/>
        <s v="DBS BANK (HONG KONG) LIMITED"/>
        <s v="Polyplex (Thailand) Public Company Limited"/>
        <s v="Thailand Anthracite Company Limited"/>
        <s v="STAVIAN CHEMICAL JOINT STOCK COMPANY"/>
        <s v="MACWORLD INDUSTRIES LIMITED"/>
        <s v="Aptec Distribution FZ-LLC"/>
        <s v="LONGTEX RUBBER INDUSTRY CO. LTD."/>
        <s v="SUMITOMO MITSUI BANKING CORPORATION SINGAPORE BRANCH"/>
        <s v="SINGAPORE (COGENERATION) STEEL PTE. LTD."/>
        <s v="Anglo American Marketing Limited Singapore Branch"/>
        <s v="THAI ACRYLIC FIBRE COMPANY LIMITED"/>
        <s v="Anglo American Marketing Limited"/>
        <s v="WIN FAITH TRADING LIMITED"/>
        <s v="HBIS GROUP SINGAPORE PTE. LTD."/>
        <s v="PT. CHANDRA ASRI PETROCHEMICAL TBK"/>
        <s v="RANGPUR METAL INDUSTRIES LIMITED"/>
        <s v="Eldon Development Limited"/>
        <s v="Kumba Singapore Pte Ltd"/>
        <s v="INDUSTRIAL AND COMMERCIAL BANK OF CHINA (ASIA) LIMITED"/>
        <s v="Jidong Development (HK) International Limited"/>
        <s v="Bajaj Auto Limited"/>
        <s v="TPT PETROCHEMICALS PUBLIC COMPANY LIMITED"/>
        <s v="INDORAMA PETROCHEM LIMITED"/>
        <s v="Indorama Polyester Industries Public Company Limited"/>
        <s v="DBS Bank (China) Limited"/>
        <s v="ASIA PET (THAILAND) LIMITED"/>
        <s v="EMIRCOM LLC"/>
        <s v="MILITARY COMMERCIAL JOINT STOCK BANK"/>
        <s v="Genesis Fashions Ltd."/>
        <s v="Columbia Apparels Ltd."/>
        <s v="Epyllion Style Limited"/>
        <s v="Columbia Garments Ltd."/>
        <s v="EPYLLION KNITWEARS LTD."/>
        <s v="Columbia Washing Plant Ltd."/>
        <s v="Bayfront Bank"/>
        <s v="Century Bank"/>
        <s v="Comprehensive Corp"/>
        <s v="Comprehensive Fabric"/>
        <s v="Asia Best Bank"/>
        <s v="Delta One Corp"/>
        <s v="Good Design"/>
        <s v="????"/>
        <s v="Dictionary Bank"/>
        <s v="HBME UAE" u="1"/>
        <s v="Singapore Jinteng International Pte. Ltd." u="1"/>
        <s v="SUMITOMO MITSUI BANKING CORPORATION SINGAPORE BRANCH " u="1"/>
        <s v="HSBC Amanah Malaysia" u="1"/>
      </sharedItems>
    </cacheField>
    <cacheField name="Identity Legal Entity Name (O)" numFmtId="0">
      <sharedItems/>
    </cacheField>
    <cacheField name="Identity BIC" numFmtId="0">
      <sharedItems containsBlank="1"/>
    </cacheField>
    <cacheField name="Identity LEI" numFmtId="0">
      <sharedItems containsBlank="1"/>
    </cacheField>
    <cacheField name="Identity Reg Number" numFmtId="0">
      <sharedItems containsBlank="1" containsMixedTypes="1" containsNumber="1" containsInteger="1" minValue="2199" maxValue="9.1310000664264704E+16"/>
    </cacheField>
    <cacheField name="X500-O" numFmtId="0">
      <sharedItems/>
    </cacheField>
    <cacheField name="X500-OU" numFmtId="0">
      <sharedItems/>
    </cacheField>
    <cacheField name="X500-L" numFmtId="0">
      <sharedItems/>
    </cacheField>
    <cacheField name="X500-C" numFmtId="0">
      <sharedItems containsBlank="1" count="18">
        <s v="IN"/>
        <s v="HK"/>
        <s v="SG"/>
        <s v="BD"/>
        <s v="AE"/>
        <s v="MY"/>
        <s v="ID"/>
        <s v="CN"/>
        <s v="SE"/>
        <s v="FR"/>
        <s v="TH"/>
        <s v="AU"/>
        <s v="VN"/>
        <s v="CH"/>
        <s v="GB"/>
        <m u="1"/>
        <s v="BG" u="1"/>
        <s v="SA" u="1"/>
      </sharedItems>
    </cacheField>
    <cacheField name="Set-up Date" numFmtId="16">
      <sharedItems containsNonDate="0" containsDate="1" containsString="0" containsBlank="1" minDate="2021-01-29T00:00:00" maxDate="2021-09-08T00:00:00" count="48">
        <d v="2021-01-29T00:00:00"/>
        <d v="2021-02-01T00:00:00"/>
        <d v="2021-07-30T00:00:00"/>
        <d v="2021-02-11T00:00:00"/>
        <d v="2021-02-26T00:00:00"/>
        <d v="2021-03-30T00:00:00"/>
        <d v="2021-04-08T00:00:00"/>
        <d v="2021-07-09T00:00:00"/>
        <d v="2021-04-14T00:00:00"/>
        <d v="2021-04-28T00:00:00"/>
        <d v="2021-07-18T00:00:00"/>
        <d v="2021-08-25T00:00:00"/>
        <d v="2021-02-24T00:00:00"/>
        <d v="2021-03-12T00:00:00"/>
        <d v="2021-03-05T00:00:00"/>
        <d v="2021-03-29T00:00:00"/>
        <d v="2021-03-24T00:00:00"/>
        <d v="2021-04-09T00:00:00"/>
        <d v="2021-04-20T00:00:00"/>
        <d v="2021-04-30T00:00:00"/>
        <d v="2021-05-04T00:00:00"/>
        <d v="2021-06-07T00:00:00"/>
        <d v="2021-06-14T00:00:00"/>
        <d v="2021-06-15T00:00:00"/>
        <d v="2021-06-17T00:00:00"/>
        <d v="2021-06-21T00:00:00"/>
        <d v="2021-06-24T00:00:00"/>
        <d v="2021-07-05T00:00:00"/>
        <d v="2021-06-30T00:00:00"/>
        <d v="2021-07-02T00:00:00"/>
        <d v="2021-07-06T00:00:00"/>
        <d v="2021-07-22T00:00:00"/>
        <d v="2021-07-27T00:00:00"/>
        <d v="2021-07-29T00:00:00"/>
        <d v="2021-08-05T00:00:00"/>
        <d v="2021-08-06T00:00:00"/>
        <d v="2021-08-11T00:00:00"/>
        <d v="2021-08-12T00:00:00"/>
        <d v="2021-08-18T00:00:00"/>
        <d v="2021-08-20T00:00:00"/>
        <d v="2021-08-24T00:00:00"/>
        <d v="2021-08-26T00:00:00"/>
        <d v="2021-08-27T00:00:00"/>
        <d v="2021-09-01T00:00:00"/>
        <d v="2021-09-02T00:00:00"/>
        <d v="2021-09-03T00:00:00"/>
        <d v="2021-09-07T00:00:00"/>
        <m/>
      </sharedItems>
    </cacheField>
    <cacheField name="Hosting Type" numFmtId="0">
      <sharedItems/>
    </cacheField>
    <cacheField name="Identity Contacts (CSV)" numFmtId="0">
      <sharedItems containsBlank="1"/>
    </cacheField>
    <cacheField name="Full X500" numFmtId="0">
      <sharedItems/>
    </cacheField>
    <cacheField name="BNO DB Status" numFmtId="0">
      <sharedItems/>
    </cacheField>
    <cacheField name="BNO ID" numFmtId="0">
      <sharedItems containsMixedTypes="1" containsNumber="1" containsInteger="1" minValue="11567442" maxValue="999225753"/>
    </cacheField>
    <cacheField name="Cordapp Version" numFmtId="0">
      <sharedItems containsMixedTypes="1" containsNumber="1" containsInteger="1" minValue="50002" maxValue="60100" count="4">
        <n v="60100"/>
        <n v="60000"/>
        <e v="#N/A"/>
        <n v="50002"/>
      </sharedItems>
    </cacheField>
    <cacheField name="CNF Sponsored" numFmtId="0">
      <sharedItems/>
    </cacheField>
    <cacheField name="Billing Run Result" numFmtId="0">
      <sharedItems/>
    </cacheField>
    <cacheField name="Events This Month" numFmtId="0">
      <sharedItems containsSemiMixedTypes="0" containsString="0" containsNumber="1" containsInteger="1" minValue="0" maxValue="2"/>
    </cacheField>
    <cacheField name="Total Events" numFmtId="0">
      <sharedItems containsSemiMixedTypes="0" containsString="0" containsNumber="1" containsInteger="1" minValue="0" maxValue="420"/>
    </cacheField>
    <cacheField name="BNMS vs BNO" numFmtId="0">
      <sharedItems/>
    </cacheField>
    <cacheField name="TBC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7">
  <r>
    <s v="HSBC Bangladesh"/>
    <n v="852857632"/>
    <s v="LOC.Issue"/>
    <s v="2021-08-26T12:25:41.476Z"/>
    <s v="cb482cd9-9c75-40cb-bc24-07e4ae100873"/>
    <s v="9817251724E193A0B38FFDBF8D2ADD13007969FA7499C7B107267C82D6B940BC"/>
    <x v="0"/>
    <x v="0"/>
    <s v="BD"/>
    <x v="0"/>
    <n v="10"/>
    <s v="OK"/>
    <s v="OK"/>
  </r>
  <r>
    <s v="HSBC Bangladesh"/>
    <n v="852857632"/>
    <s v="LOC.Issue"/>
    <s v="2021-08-16T13:27:58.969Z"/>
    <s v="120dffc6-ec9f-4384-968f-6ac7ec854fdb"/>
    <s v="4EE62DAED3C06FB61701A4DF628F61365D780F22F98E86F840D1C10175040EBC"/>
    <x v="0"/>
    <x v="0"/>
    <s v="BD"/>
    <x v="0"/>
    <n v="10"/>
    <s v="OK"/>
    <s v="OK"/>
  </r>
  <r>
    <s v="HSBC Singapore"/>
    <n v="330856180"/>
    <s v="DemandPresentation.Forward"/>
    <s v="2021-08-20T06:41:27.014Z"/>
    <s v="1a65970f-a194-43fe-b04e-5e45663c2098"/>
    <s v="056319ACEFB1C8EEEB4EE88D15335C95182CCB362C3200AA2F754D66E7A57BCB"/>
    <x v="0"/>
    <x v="0"/>
    <s v="SG"/>
    <x v="1"/>
    <n v="50"/>
    <s v="OK"/>
    <s v="OK"/>
  </r>
  <r>
    <s v="HSBC Singapore"/>
    <n v="330856180"/>
    <s v="DemandPresentation.Forward"/>
    <s v="2021-08-10T09:26:30.259Z"/>
    <s v="a1f06660-f69f-44ad-8c27-435f9f51a4d6"/>
    <s v="52CCD8198799F150416488A60E8481453B0EE90436557B139C4D2AAB099DCFC2"/>
    <x v="0"/>
    <x v="0"/>
    <s v="SG"/>
    <x v="1"/>
    <n v="50"/>
    <s v="OK"/>
    <s v="OK"/>
  </r>
  <r>
    <s v="Hang Seng Bank Hong Kong"/>
    <n v="522497260"/>
    <s v="LOC.Issue"/>
    <s v="2021-08-06T09:09:44.448Z"/>
    <s v="1a65970f-a194-43fe-b04e-5e45663c2098"/>
    <s v="87B34E49BAE58C6406E67A48C8BA19E2A5668C94348ECBBBB0D7EB4D356D8909"/>
    <x v="0"/>
    <x v="0"/>
    <s v="HK"/>
    <x v="0"/>
    <n v="50"/>
    <s v="OK"/>
    <s v="OK"/>
  </r>
  <r>
    <s v="HSBC UAE"/>
    <n v="479280980"/>
    <s v="LOC.Issue"/>
    <s v="2021-08-29T07:25:51.914Z"/>
    <s v="c389c7a6-4f16-4ea7-87eb-5c9ee164e8da"/>
    <s v="4D1ACB3BB83DDAB60C59CF8DA86AC09A095E3316613BB4FB889FEE857DFAD0E9"/>
    <x v="0"/>
    <x v="0"/>
    <s v="AE"/>
    <x v="0"/>
    <n v="50"/>
    <s v="OK"/>
    <s v="OK"/>
  </r>
  <r>
    <s v="HOPE DOWNS MARKETING COMPANY PTY LTD"/>
    <n v="83641626"/>
    <s v="DemandPresentation.Submit"/>
    <s v="2021-08-10T04:33:51.742Z"/>
    <s v="a1f06660-f69f-44ad-8c27-435f9f51a4d6"/>
    <s v="169815F229DFB6E0DC38A27A2185D17B4E61E716CC5BA99DE5A4A468667B3F2A"/>
    <x v="1"/>
    <x v="1"/>
    <s v="AU"/>
    <x v="2"/>
    <n v="25"/>
    <s v="OK"/>
    <s v="OK"/>
  </r>
  <r>
    <s v="Rio Tinto Commercial Pte Ltd"/>
    <n v="983807791"/>
    <s v="DemandPresentation.Submit"/>
    <s v="2021-08-16T07:29:41.407Z"/>
    <s v="1a65970f-a194-43fe-b04e-5e45663c2098"/>
    <s v="41E7E6A64555E75ED63C22AB71EF5735AEB32B39716C5EBFEA1EA70248C97701"/>
    <x v="1"/>
    <x v="1"/>
    <s v="SG"/>
    <x v="2"/>
    <n v="25"/>
    <s v="OK"/>
    <s v="OK"/>
  </r>
  <r>
    <s v="ROBE RIVER ORE SALES PTY. LTD."/>
    <n v="84736786"/>
    <s v="DemandPresentation.Submit"/>
    <s v="2021-08-11T04:38:10.076Z"/>
    <s v="bd76acba-5d71-48b7-a577-b406809e6e65"/>
    <s v="12B9EE88C9C85EF68055F945E88751490BB5998CE270B140FA01FC97FC0620F3"/>
    <x v="1"/>
    <x v="1"/>
    <s v="AU"/>
    <x v="2"/>
    <n v="25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  <r>
    <n v="0"/>
    <n v="0"/>
    <n v="0"/>
    <n v="0"/>
    <n v="0"/>
    <n v="0"/>
    <x v="2"/>
    <x v="2"/>
    <e v="#N/A"/>
    <x v="3"/>
    <e v="#N/A"/>
    <s v="OK"/>
    <s v="OK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1"/>
    <x v="0"/>
    <s v="OK"/>
    <x v="0"/>
    <x v="0"/>
    <s v="HOT-31"/>
    <m/>
    <n v="0"/>
    <x v="0"/>
    <s v="The Hongkong and Shanghai Banking Corporation Limited"/>
    <s v="HSBCINBB"/>
    <m/>
    <s v="F00947"/>
    <s v="The Hongkong and Shanghai Banking Corporation Limited"/>
    <s v="Global Trade and Receivables Finance Production"/>
    <s v="Mumbai"/>
    <x v="0"/>
    <x v="0"/>
    <s v="Self-Managed"/>
    <s v="andy.x.c.wang@hsbc.com.cn; bing.qu@hsbc.com; eric.e.miao@hsbc.com; keano.y.c.chan@hsbc.com.hk; sandy.j.peng@hsbc.com.cn; henrique.centieiro@hsbc.com.hk "/>
    <s v="ou=global trade and receivables finance production, o=the hongkong and shanghai banking corporation limited, l=mumbai, c=in"/>
    <s v="Active"/>
    <n v="878938163"/>
    <x v="0"/>
    <s v="OK"/>
    <s v="SUCCESS"/>
    <n v="0"/>
    <n v="2"/>
    <s v="OK"/>
    <m/>
  </r>
  <r>
    <n v="1"/>
    <x v="0"/>
    <s v="OK"/>
    <x v="0"/>
    <x v="0"/>
    <s v="HELP-3"/>
    <m/>
    <n v="0"/>
    <x v="1"/>
    <s v="HSBC Global Services (Hong Kong) Limited"/>
    <s v="HSBCHKHHHKH"/>
    <s v="2HI3YI5320L3RW6NJ957"/>
    <n v="263876"/>
    <s v="The Hongkong and Shanghai Banking Corporation Limited"/>
    <s v="GTRF Production"/>
    <s v="Central District"/>
    <x v="1"/>
    <x v="0"/>
    <s v="Self-Managed"/>
    <s v="andy.x.c.wang@hsbc.com.cn; bing.qu@hsbc.com; eric.e.miao@hsbc.com; keano.y.c.chan@hsbc.com.hk; sandy.j.peng@hsbc.com.cn; henrique.centieiro@hsbc.com.hk "/>
    <s v="ou=gtrf production, o=the hongkong and shanghai banking corporation limited, l=central district, c=hk"/>
    <s v="Active"/>
    <n v="711592122"/>
    <x v="0"/>
    <s v="OK"/>
    <s v="SUCCESS"/>
    <n v="0"/>
    <n v="2"/>
    <s v="OK"/>
    <m/>
  </r>
  <r>
    <n v="2"/>
    <x v="1"/>
    <s v="OK"/>
    <x v="0"/>
    <x v="0"/>
    <s v="HELP-101"/>
    <m/>
    <n v="0"/>
    <x v="2"/>
    <s v="Standard Chartered Bank (Singapore) Limited"/>
    <s v="SCBLSG22"/>
    <s v="549300MDYVVHJ8D1DW28"/>
    <s v="201224747C"/>
    <s v="Standard Chartered Bank (Singapore) Limited"/>
    <s v="CIB ITO-CORDA"/>
    <s v="Singapore"/>
    <x v="2"/>
    <x v="1"/>
    <s v="Self-Managed"/>
    <s v="Balaraman.Kunduvara@sc.com; Himanshu.maggo@sc.com; Lisna.Chia@sc.com; Nikhil.Awasthi@sc.com; Urvesh.Mehta@sc.com; Rajaguru.Raman@sc.com; "/>
    <s v="ou=cib ito-corda, o=standard chartered bank (singapore) limited, l=singapore, c=sg"/>
    <s v="Active"/>
    <n v="197542693"/>
    <x v="1"/>
    <s v="OK"/>
    <s v="SUCCESS"/>
    <n v="0"/>
    <n v="0"/>
    <s v="OK"/>
    <m/>
  </r>
  <r>
    <n v="3"/>
    <x v="2"/>
    <s v="OK"/>
    <x v="0"/>
    <x v="0"/>
    <s v="HELP-31"/>
    <m/>
    <n v="0"/>
    <x v="3"/>
    <s v="Standard Chartered Bank Bangladesh Branch Limited"/>
    <s v="SCBLBDDX"/>
    <m/>
    <s v="03-077300"/>
    <s v="Standard Chartered Bank Bangladesh Branch Limited"/>
    <s v="CIB ITO-CORDA"/>
    <s v="Dhaka"/>
    <x v="3"/>
    <x v="1"/>
    <s v="Self-Managed"/>
    <s v="Balaraman.Kunduvara@sc.com; Himanshu.maggo@sc.com; Lisna.Chia@sc.com; Nikhil.Awasthi@sc.com; Urvesh.Mehta@sc.com; Rajaguru.Raman@sc.com; "/>
    <s v="ou=cib ito-corda, o=standard chartered bank bangladesh branch limited, l=dhaka, c=bd"/>
    <s v="Active"/>
    <n v="460503030"/>
    <x v="1"/>
    <s v="OK"/>
    <s v="SUCCESS"/>
    <n v="0"/>
    <n v="0"/>
    <s v="OK"/>
    <m/>
  </r>
  <r>
    <n v="1"/>
    <x v="0"/>
    <s v="OK"/>
    <x v="0"/>
    <x v="0"/>
    <s v="??"/>
    <m/>
    <n v="0"/>
    <x v="4"/>
    <s v="HSBC Bank Middle East Ltd"/>
    <s v="BBMEAEAD"/>
    <s v="549300F99IL9YJDWH369"/>
    <n v="2199"/>
    <s v="HSBC Bank Middle East Ltd"/>
    <s v="GTRF Production"/>
    <s v="Dubai"/>
    <x v="4"/>
    <x v="2"/>
    <s v="Self-Managed"/>
    <s v="andy.x.c.wang@hsbc.com.cn; bing.qu@hsbc.com; eric.e.miao@hsbc.com; keano.y.c.chan@hsbc.com.hk; sandy.j.peng@hsbc.com.cn; henrique.centieiro@hsbc.com.hk "/>
    <s v="ou=gtrf production, o=hsbc bank middle east ltd, l=dubai, c=ae"/>
    <s v="Active"/>
    <n v="479280980"/>
    <x v="0"/>
    <s v="ERROR"/>
    <s v="SUCCESS"/>
    <n v="1"/>
    <n v="1"/>
    <s v="OK"/>
    <m/>
  </r>
  <r>
    <n v="1"/>
    <x v="0"/>
    <s v="OK"/>
    <x v="0"/>
    <x v="0"/>
    <s v="HELP-2"/>
    <m/>
    <n v="0"/>
    <x v="5"/>
    <s v="The Hongkong and Shanghai Banking Corporation Limited"/>
    <s v="HSBCSGSG"/>
    <m/>
    <s v="S16FC0010A"/>
    <s v="The Hongkong and Shanghai Banking Corporation Limited"/>
    <s v="Global Trade and Receivables Finance Production"/>
    <s v="Singapore"/>
    <x v="2"/>
    <x v="3"/>
    <s v="Self-Managed"/>
    <s v="andy.x.c.wang@hsbc.com.cn; bing.qu@hsbc.com; eric.e.miao@hsbc.com; keano.y.c.chan@hsbc.com.hk; sandy.j.peng@hsbc.com.cn; henrique.centieiro@hsbc.com.hk "/>
    <s v="ou=global trade and receivables finance production, o=the hongkong and shanghai banking corporation limited, l=singapore, c=sg"/>
    <s v="Active"/>
    <n v="330856180"/>
    <x v="0"/>
    <s v="OK"/>
    <s v="SUCCESS"/>
    <n v="2"/>
    <n v="4"/>
    <s v="OK"/>
    <m/>
  </r>
  <r>
    <n v="1"/>
    <x v="0"/>
    <s v="OK"/>
    <x v="0"/>
    <x v="0"/>
    <s v="HELP-39"/>
    <m/>
    <n v="0"/>
    <x v="6"/>
    <s v="The Hongkong and Shanghai Banking Corporation Limited"/>
    <s v="HSBCBDDH"/>
    <m/>
    <s v="000002671-0002"/>
    <s v="The Hongkong and Shanghai Banking Corporation Limited"/>
    <s v="Global Trade and Receivables Finance Production"/>
    <s v="Dhaka"/>
    <x v="3"/>
    <x v="4"/>
    <s v="Self-Managed"/>
    <s v="andy.x.c.wang@hsbc.com.cn; bing.qu@hsbc.com; eric.e.miao@hsbc.com; keano.y.c.chan@hsbc.com.hk; sandy.j.peng@hsbc.com.cn; henrique.centieiro@hsbc.com.hk "/>
    <s v="ou=global trade and receivables finance production, o=the hongkong and shanghai banking corporation limited, l=dhaka, c=bd"/>
    <s v="Active"/>
    <n v="852857632"/>
    <x v="0"/>
    <s v="OK"/>
    <s v="SUCCESS"/>
    <n v="2"/>
    <n v="2"/>
    <s v="OK"/>
    <m/>
  </r>
  <r>
    <n v="1"/>
    <x v="0"/>
    <s v="OK"/>
    <x v="0"/>
    <x v="0"/>
    <s v="HELP-40"/>
    <m/>
    <n v="0"/>
    <x v="7"/>
    <s v="HSBC Bank Malaysia Berhad"/>
    <s v="HBMBMYKL"/>
    <s v="P3RPN9OJFCXUPJWB1Q09"/>
    <s v="198401015221 (127776-V)"/>
    <s v="HSBC Bank Malaysia Berhad"/>
    <s v="GTRF Production"/>
    <s v="Kuala Lumpur"/>
    <x v="5"/>
    <x v="2"/>
    <s v="Self-Managed"/>
    <s v="andy.x.c.wang@hsbc.com.cn; bing.qu@hsbc.com; eric.e.miao@hsbc.com; keano.y.c.chan@hsbc.com.hk; sandy.j.peng@hsbc.com.cn; henrique.centieiro@hsbc.com.hk "/>
    <s v="ou=gtrf production, o=hsbc bank malaysia berhad, l=kuala lumpur, c=my"/>
    <s v="Active"/>
    <n v="509447106"/>
    <x v="0"/>
    <s v="ERROR"/>
    <s v="SUCCESS"/>
    <n v="0"/>
    <n v="0"/>
    <s v="OK"/>
    <m/>
  </r>
  <r>
    <n v="10"/>
    <x v="3"/>
    <s v="OK"/>
    <x v="0"/>
    <x v="0"/>
    <s v="HELP-85"/>
    <m/>
    <n v="0"/>
    <x v="8"/>
    <s v="PT Bank Permata TBK"/>
    <s v="BBBAIDJAXXX"/>
    <s v="5493003MGU02RFSRZT53"/>
    <n v="8120118081525"/>
    <s v="PT Bank Permata TBK"/>
    <s v="Permata"/>
    <s v="Jakarta"/>
    <x v="6"/>
    <x v="5"/>
    <s v="Self-Managed"/>
    <s v="andi.saputra@permatabank.co.id; dimas.dwiputra@permatabank.co.id; dwitarsa@permatabank.co.id; geoffrey.laurens@permatabank.co.id; hrprasetyo@permatabank.co.id; rnainggolan@permatabank.co.id; "/>
    <s v="ou=permata, o=pt bank permata tbk, l=jakarta, c=id"/>
    <s v="Active"/>
    <n v="769225837"/>
    <x v="1"/>
    <s v="OK"/>
    <s v="SUCCESS"/>
    <n v="0"/>
    <n v="0"/>
    <s v="OK"/>
    <m/>
  </r>
  <r>
    <n v="1"/>
    <x v="0"/>
    <s v="OK"/>
    <x v="0"/>
    <x v="0"/>
    <s v="HELP-102"/>
    <m/>
    <n v="0"/>
    <x v="9"/>
    <s v="Hang Seng Bank Limited"/>
    <s v="HASEHKHH"/>
    <s v="5493009Z5F07LWZYMK62"/>
    <s v="00149472"/>
    <s v="Hang Seng Bank Limited"/>
    <s v="GTRF Production"/>
    <s v="Central District"/>
    <x v="1"/>
    <x v="6"/>
    <s v="Self-Managed"/>
    <s v="andy.x.c.wang@hsbc.com.cn; bing.qu@hsbc.com; eric.e.miao@hsbc.com; keano.y.c.chan@hsbc.com.hk; sandy.j.peng@hsbc.com.cn; henrique.centieiro@hsbc.com.hk "/>
    <s v="ou=gtrf production, o=hang seng bank limited, l=central district, c=hk"/>
    <s v="Active"/>
    <n v="522497260"/>
    <x v="0"/>
    <s v="OK"/>
    <s v="SUCCESS"/>
    <n v="1"/>
    <n v="2"/>
    <s v="OK"/>
    <m/>
  </r>
  <r>
    <n v="1"/>
    <x v="0"/>
    <s v="OK"/>
    <x v="0"/>
    <x v="0"/>
    <s v="HOT-171"/>
    <m/>
    <n v="0"/>
    <x v="10"/>
    <s v="HSBC Bank (China) Company Limited"/>
    <s v="HSBCCNSHXXX"/>
    <s v="2CZOJRADNJXBLT55G526"/>
    <s v="913100007989808015"/>
    <s v="HSBC Bank (China) Company Limited"/>
    <s v="GTRF Production"/>
    <s v="Shanghai"/>
    <x v="7"/>
    <x v="7"/>
    <s v="Self-Managed"/>
    <s v="andy.x.c.wang@hsbc.com.cn; bing.qu@hsbc.com; eric.e.miao@hsbc.com; keano.y.c.chan@hsbc.com.hk; sandy.j.peng@hsbc.com.cn; henrique.centieiro@hsbc.com.hk "/>
    <s v="ou=gtrf production, o=hsbc bank (china) company limited, l=shanghai, c=cn"/>
    <s v="Active"/>
    <n v="883662669"/>
    <x v="0"/>
    <s v="ERROR"/>
    <s v="SUCCESS"/>
    <n v="0"/>
    <n v="0"/>
    <s v="OK"/>
    <m/>
  </r>
  <r>
    <n v="9"/>
    <x v="4"/>
    <s v="OK"/>
    <x v="0"/>
    <x v="0"/>
    <s v="HOT-103"/>
    <m/>
    <n v="0"/>
    <x v="11"/>
    <s v="Skandinaviska Enskilda Banken AB (publ)"/>
    <s v="ESSESESSXXX"/>
    <s v="F3JS33DEI6XQ4ZBPTN86"/>
    <s v="5020329081"/>
    <s v="Skandinaviska Enskilda Banken AB (publ)"/>
    <s v="Node1"/>
    <s v="Stockholm"/>
    <x v="8"/>
    <x v="8"/>
    <s v="Self-Managed"/>
    <s v="marina.sandquist@seb.se; thommy.lindahl@seb.se"/>
    <s v="ou=node1, o=skandinaviska enskilda banken ab (publ), l=stockholm, c=se"/>
    <s v="Active"/>
    <n v="11567442"/>
    <x v="1"/>
    <s v="OK"/>
    <s v="SUCCESS"/>
    <n v="0"/>
    <n v="0"/>
    <s v="OK"/>
    <m/>
  </r>
  <r>
    <n v="6"/>
    <x v="5"/>
    <s v="OK"/>
    <x v="0"/>
    <x v="0"/>
    <s v="HOT-125"/>
    <m/>
    <n v="0"/>
    <x v="12"/>
    <s v="BNP Paribas"/>
    <s v="BNPAFRPP"/>
    <s v="R0MUWSFPU8MPRO8K5P83"/>
    <s v="662042449"/>
    <s v="BNP Paribas"/>
    <s v="CTR PRD AGENT 01"/>
    <s v="Paris"/>
    <x v="9"/>
    <x v="9"/>
    <s v="Self-Managed"/>
    <s v="baptiste.zegre@externe.bnpparibas.com; jose.pires@bnpparibas.com; kamal.naitouahmane@externe.bnpparibas.com; samer.elmurr@bnpparibas.com; "/>
    <s v="ou=ctr prd agent 01, o=bnp paribas, l=paris, c=fr"/>
    <s v="Active"/>
    <n v="82710369"/>
    <x v="1"/>
    <s v="OK"/>
    <s v="SUCCESS"/>
    <n v="0"/>
    <n v="0"/>
    <s v="OK"/>
    <m/>
  </r>
  <r>
    <n v="40"/>
    <x v="6"/>
    <s v="OK"/>
    <x v="0"/>
    <x v="0"/>
    <s v="HOT-176"/>
    <m/>
    <n v="0"/>
    <x v="13"/>
    <s v="STANDARD CHARTERED GLOBAL BUSINESS SERVICES PRIVATE LIMITED"/>
    <s v="Not found"/>
    <s v="335800QQ8KN4Q9EF4133"/>
    <s v="U67190TN2000PTC049177"/>
    <s v="STANDARD CHARTERED GLOBAL BUSINESS SERVICES PRIVATE LIMITED"/>
    <s v="CIB ITO-CORDA-SCB IN"/>
    <s v="Chennai"/>
    <x v="0"/>
    <x v="10"/>
    <s v="Self-Managed"/>
    <s v="andrelee@dbs.com; bryankang@dbs.com; leonardtanpc@dbs.com; louisatang@dbs.com; mankwanchen@dbs.com; melanieyau@dbs.com; patrickng@dbs.com; wanganchua@dbs.com"/>
    <s v="ou=cib ito-corda-scb in, o=standard chartered global business services private limited, l=chennai, c=in"/>
    <s v="Active"/>
    <n v="154952850"/>
    <x v="1"/>
    <s v="ERROR"/>
    <s v="SUCCESS"/>
    <n v="0"/>
    <n v="2"/>
    <s v="OK"/>
    <m/>
  </r>
  <r>
    <n v="1"/>
    <x v="0"/>
    <s v="OK"/>
    <x v="0"/>
    <x v="0"/>
    <s v="HELP-438"/>
    <m/>
    <n v="0"/>
    <x v="14"/>
    <s v="The Hongkong and Shanghai Banking Corporation Limited"/>
    <s v="HSBCTHBK"/>
    <m/>
    <s v="0100544000390"/>
    <s v="The Hongkong and Shanghai Banking Corporation Limited"/>
    <s v="Global Trade and Receivables Finance Production"/>
    <s v="Bangkok"/>
    <x v="10"/>
    <x v="11"/>
    <s v="Self-Managed"/>
    <s v="andy.x.c.wang@hsbc.com.cn; bing.qu@hsbc.com; eric.e.miao@hsbc.com; keano.y.c.chan@hsbc.com.hk; sandy.j.peng@hsbc.com.cn; henrique.centieiro@hsbc.com.hk ; j-c.manghardt@hsbc.com.hk ; benson.s.p.wong@hsbc.com.hk "/>
    <s v="ou=global trade and receivables finance production, o=the hongkong and shanghai banking corporation limited, l=bangkok, c=th"/>
    <s v="Active"/>
    <n v="189127242"/>
    <x v="0"/>
    <s v="ERROR"/>
    <s v="SUCCESS"/>
    <n v="0"/>
    <n v="0"/>
    <s v="OK"/>
    <m/>
  </r>
  <r>
    <n v="13"/>
    <x v="7"/>
    <s v="OK"/>
    <x v="1"/>
    <x v="0"/>
    <s v="HELP-34"/>
    <m/>
    <n v="0"/>
    <x v="15"/>
    <s v="TATA Steel Limited"/>
    <s v="Not found"/>
    <s v="335800E6C75YGSGD5T66"/>
    <s v="L27100MH1907PLC000260"/>
    <s v="TATA Steel Limited"/>
    <s v="Trade Finance"/>
    <s v="Mumbai"/>
    <x v="0"/>
    <x v="12"/>
    <s v="Cloud"/>
    <s v="amitk@tatasteel.com; mini.susan@tatasteel.com; rahullal@tatasteel.com; "/>
    <s v="ou=trade finance, o=tata steel limited, l=mumbai, c=in"/>
    <s v="Active"/>
    <n v="404564522"/>
    <x v="0"/>
    <s v="OK"/>
    <s v="SUCCESS"/>
    <n v="0"/>
    <n v="2"/>
    <s v="OK"/>
    <m/>
  </r>
  <r>
    <n v="12"/>
    <x v="8"/>
    <s v="OK"/>
    <x v="1"/>
    <x v="0"/>
    <s v="HELP-38"/>
    <m/>
    <n v="0"/>
    <x v="16"/>
    <s v="Universal Tube and Plastic Industries Ltd."/>
    <s v="Not found"/>
    <m/>
    <s v="105424B"/>
    <s v="Universal Tube and Plastic Industries Ltd."/>
    <s v="Trade Finance"/>
    <s v="Dubai"/>
    <x v="4"/>
    <x v="12"/>
    <s v="Cloud"/>
    <s v="sandeep@universaltubes.com; shylu@universaltubes.com; utpinfo@universaltubes.com; "/>
    <s v="ou=trade finance, o=universal tube and plastic industries ltd., l=dubai, c=ae"/>
    <s v="Active"/>
    <n v="668283612"/>
    <x v="0"/>
    <s v="OK"/>
    <s v="SUCCESS"/>
    <n v="0"/>
    <n v="0"/>
    <s v="OK"/>
    <m/>
  </r>
  <r>
    <n v="5"/>
    <x v="9"/>
    <s v="OK"/>
    <x v="1"/>
    <x v="0"/>
    <s v="HELP-35"/>
    <m/>
    <n v="0"/>
    <x v="17"/>
    <s v="Xiamen ITG Group Corp. Ltd"/>
    <s v="Not found"/>
    <m/>
    <s v="913502001550054395"/>
    <s v="Xiamen ITG Group Corp. Ltd"/>
    <s v="Trade Finance"/>
    <s v="Xiamen"/>
    <x v="7"/>
    <x v="13"/>
    <s v="Cloud"/>
    <s v="liyulong@itg.com.cn; sunbk@itg.com.cn; xuyiwei@itg.com.cn;"/>
    <s v="ou=trade finance, o=xiamen itg group corp. ltd, l=xiamen, c=cn"/>
    <s v="Active"/>
    <n v="381818972"/>
    <x v="0"/>
    <s v="OK"/>
    <s v="SUCCESS"/>
    <n v="0"/>
    <n v="0"/>
    <s v="OK"/>
    <m/>
  </r>
  <r>
    <n v="4"/>
    <x v="10"/>
    <s v="OK"/>
    <x v="0"/>
    <x v="0"/>
    <s v="HELP-25"/>
    <m/>
    <n v="0"/>
    <x v="18"/>
    <s v="Bank of China (Hong Kong) Limited"/>
    <s v="BKCHHKHHXXX"/>
    <s v="KNPC1X7GHDZW8U2ZSF89"/>
    <s v="01779270 - 000"/>
    <s v="Bank of China (Hong Kong) Limited"/>
    <s v="Trade Finance"/>
    <s v="Hong Kong"/>
    <x v="1"/>
    <x v="14"/>
    <s v="Cloud"/>
    <s v="emilybhng@bochk.com; kane_hhlai@bochk.com; tsckmchiu@bohk.com; tsclchik@bochk.com; "/>
    <s v="ou=trade finance, o=bank of china (hong kong) limited, l=hong kong, c=hk"/>
    <s v="Active"/>
    <n v="999225753"/>
    <x v="0"/>
    <s v="OK"/>
    <s v="SUCCESS"/>
    <n v="0"/>
    <n v="0"/>
    <s v="OK"/>
    <m/>
  </r>
  <r>
    <n v="11"/>
    <x v="11"/>
    <s v="OK"/>
    <x v="0"/>
    <x v="0"/>
    <s v="HELP-61"/>
    <m/>
    <n v="0"/>
    <x v="19"/>
    <s v="Industrial and Commercial Bank of China Limited Xiamen Branch Business Office"/>
    <s v="ICBKCNBJSMM "/>
    <m/>
    <s v="91350200854989713W"/>
    <s v="Industrial and Commercial Bank of China Limited Xiamen Branch Business Office"/>
    <s v="Trade Finance"/>
    <s v="Xiamen"/>
    <x v="7"/>
    <x v="13"/>
    <s v="Cloud"/>
    <s v="fangyiru@xm.icbc.com.cn;"/>
    <s v="ou=trade finance, o=industrial and commercial bank of china limited xiamen branch business office, l=xiamen, c=cn"/>
    <s v="Active"/>
    <n v="195191574"/>
    <x v="0"/>
    <s v="OK"/>
    <s v="SUCCESS"/>
    <n v="0"/>
    <n v="3"/>
    <s v="OK"/>
    <m/>
  </r>
  <r>
    <n v="8"/>
    <x v="12"/>
    <s v="OK"/>
    <x v="1"/>
    <x v="0"/>
    <s v="HELP-60"/>
    <m/>
    <n v="0"/>
    <x v="20"/>
    <s v="Rio Tinto Commercial Pte Ltd"/>
    <s v="Not found"/>
    <s v="875500B0FWFIGPISQH05"/>
    <s v="200711921E"/>
    <s v="Rio Tinto Commercial Pte Ltd"/>
    <s v="Trade Finance"/>
    <s v="Singapore"/>
    <x v="2"/>
    <x v="13"/>
    <s v="Cloud"/>
    <s v="Annie.Ho@riotinto.com; doreen.chew@riotinto.com; doreen.lee@riotinto.com; Michel.Alves@riotinto.com; cstradefinance@riotinto.com; SiokHwee.Tan@riotinto.com; weijie.koh@riotinto.com; Dawn.Low@riotinto.com; "/>
    <s v="ou=trade finance, o=rio tinto commercial pte ltd, l=singapore, c=sg"/>
    <s v="Active"/>
    <n v="983807791"/>
    <x v="0"/>
    <s v="OK"/>
    <s v="SUCCESS"/>
    <n v="1"/>
    <n v="3"/>
    <s v="OK"/>
    <m/>
  </r>
  <r>
    <n v="14"/>
    <x v="13"/>
    <s v="OK"/>
    <x v="0"/>
    <x v="0"/>
    <s v="HELP-86"/>
    <m/>
    <n v="0"/>
    <x v="21"/>
    <s v="DBS Bank Ltd."/>
    <s v="DBSSSGSG"/>
    <s v="ATUEL7OJR5057F2PV266"/>
    <s v="196800306E"/>
    <s v="DBS Bank Ltd."/>
    <s v="Trade Finance"/>
    <s v="Singapore"/>
    <x v="2"/>
    <x v="15"/>
    <s v="Cloud"/>
    <s v="acasiusleong@dbs.com; alextangky@dbs.com; catherinehuangh@dbs.com; keitheng@dbs.com; leonardtanpc@dbs.com; megansoo@dbs.com; siewjinliew@dbs.com; SiewLanChing@dbs.com; YeeLee@dbs.com"/>
    <s v="ou=trade finance, o=dbs bank ltd., l=singapore, c=sg"/>
    <s v="Active"/>
    <n v="722481030"/>
    <x v="0"/>
    <s v="OK"/>
    <s v="SUCCESS"/>
    <n v="0"/>
    <n v="5"/>
    <s v="OK"/>
    <m/>
  </r>
  <r>
    <n v="5"/>
    <x v="9"/>
    <s v="OK"/>
    <x v="1"/>
    <x v="0"/>
    <s v="HELP-35"/>
    <m/>
    <n v="0"/>
    <x v="22"/>
    <s v="Pointer Investment (Hong Kong) Limited"/>
    <s v="Not found"/>
    <m/>
    <n v="143030"/>
    <s v="Pointer Investment (Hong Kong) Limited"/>
    <s v="Trade Finance"/>
    <s v="Hong Kong"/>
    <x v="1"/>
    <x v="16"/>
    <s v="Cloud"/>
    <s v="liyulong@itg.com.cn; sunbk@itg.com.cn; xuyiwei@itg.com.cn;"/>
    <s v="ou=trade finance, o=pointer investment (hong kong) limited, l=hong kong, c=hk"/>
    <s v="Active"/>
    <n v="27155922"/>
    <x v="0"/>
    <s v="OK"/>
    <s v="SUCCESS"/>
    <n v="0"/>
    <n v="0"/>
    <s v="OK"/>
    <m/>
  </r>
  <r>
    <n v="8"/>
    <x v="12"/>
    <s v="OK"/>
    <x v="1"/>
    <x v="0"/>
    <s v="HELP-71"/>
    <m/>
    <n v="0"/>
    <x v="23"/>
    <s v="Robe River Ore Sales Pty. Ltd."/>
    <s v="Not found"/>
    <m/>
    <s v="ACN053296254"/>
    <s v="Robe River Ore Sales Pty. Ltd."/>
    <s v="Trade Finance"/>
    <s v="Perth"/>
    <x v="11"/>
    <x v="16"/>
    <s v="Cloud"/>
    <s v="Annie.Ho@riotinto.com; doreen.chew@riotinto.com; doreen.lee@riotinto.com; Michel.Alves@riotinto.com; cstradefinance@riotinto.com; SiokHwee.Tan@riotinto.com; weijie.koh@riotinto.com; Dawn.Low@riotinto.com; "/>
    <s v="ou=trade finance, o=robe river ore sales pty. ltd., l=perth, c=au"/>
    <s v="Active"/>
    <n v="84736786"/>
    <x v="0"/>
    <s v="OK"/>
    <s v="SUCCESS"/>
    <n v="1"/>
    <n v="1"/>
    <s v="OK"/>
    <m/>
  </r>
  <r>
    <n v="8"/>
    <x v="12"/>
    <s v="OK"/>
    <x v="1"/>
    <x v="0"/>
    <s v="HELP-70"/>
    <m/>
    <n v="0"/>
    <x v="24"/>
    <s v="Hope Downs Marketing Company Pty Ltd"/>
    <s v="Not found"/>
    <m/>
    <s v="ACN115712117"/>
    <s v="Hope Downs Marketing Company Pty Ltd"/>
    <s v="Trade Finance"/>
    <s v="Perth"/>
    <x v="11"/>
    <x v="16"/>
    <s v="Cloud"/>
    <s v="Annie.Ho@riotinto.com; doreen.chew@riotinto.com; doreen.lee@riotinto.com; Michel.Alves@riotinto.com; cstradefinance@riotinto.com; SiokHwee.Tan@riotinto.com; weijie.koh@riotinto.com; Dawn.Low@riotinto.com; "/>
    <s v="ou=trade finance, o=hope downs marketing company pty ltd, l=perth, c=au"/>
    <s v="Active"/>
    <n v="83641626"/>
    <x v="0"/>
    <s v="OK"/>
    <s v="SUCCESS"/>
    <n v="1"/>
    <n v="1"/>
    <s v="OK"/>
    <m/>
  </r>
  <r>
    <n v="7"/>
    <x v="14"/>
    <s v="OK"/>
    <x v="0"/>
    <x v="0"/>
    <s v="HELP-95"/>
    <m/>
    <n v="0"/>
    <x v="25"/>
    <s v="Bangkok Bank Public Company Limited"/>
    <s v="BKKBTHBK"/>
    <s v="549300CCL2BKJGMYXV60"/>
    <s v="0107536000374"/>
    <s v="Bangkok Bank Public Company Limited"/>
    <s v="Trade Finance"/>
    <s v="Bangkok"/>
    <x v="10"/>
    <x v="16"/>
    <s v="Cloud"/>
    <s v="Kantipong.Phairot@bangkokbank.com; Pintuwan.Kleijssen@bangkokbank.com; kajohnsak.manaviriyakul@bangkokbank.com; "/>
    <s v="ou=trade finance, o=bangkok bank public company limited, l=bangkok, c=th"/>
    <s v="Active"/>
    <n v="725177225"/>
    <x v="0"/>
    <s v="ERROR"/>
    <s v="SUCCESS"/>
    <n v="0"/>
    <n v="0"/>
    <s v="OK"/>
    <m/>
  </r>
  <r>
    <n v="7"/>
    <x v="14"/>
    <s v="OK"/>
    <x v="0"/>
    <x v="0"/>
    <s v="HELP-94"/>
    <m/>
    <n v="0"/>
    <x v="26"/>
    <s v="Bangkok Bank Public Company Limited"/>
    <s v="BKKBVNVX"/>
    <m/>
    <s v="0301219010"/>
    <s v="Bangkok Bank Public Company Limited"/>
    <s v="Trade Finance"/>
    <s v="Ho Chi Minh City"/>
    <x v="12"/>
    <x v="16"/>
    <s v="Cloud"/>
    <s v="Kantipong.Phairot@bangkokbank.com; Pintuwan.Kleijssen@bangkokbank.com; kajohnsak.manaviriyakul@bangkokbank.com; "/>
    <s v="ou=trade finance, o=bangkok bank public company limited, l=ho chi minh city, c=vn"/>
    <s v="Active"/>
    <n v="269950954"/>
    <x v="0"/>
    <s v="ERROR"/>
    <s v="SUCCESS"/>
    <n v="0"/>
    <n v="0"/>
    <s v="OK"/>
    <m/>
  </r>
  <r>
    <n v="17"/>
    <x v="15"/>
    <s v="OK"/>
    <x v="1"/>
    <x v="0"/>
    <s v="HELP-117"/>
    <s v="447Q38"/>
    <s v="CWP"/>
    <x v="27"/>
    <s v="HANGZHOU IRON &amp; STEEL (H.K.) COMPANY LIMITED"/>
    <s v="Not found"/>
    <m/>
    <n v="686829"/>
    <s v="HANGZHOU IRON &amp; STEEL (H.K.) COMPANY LIMITED"/>
    <s v="Trade Finance"/>
    <s v="Hong Kong"/>
    <x v="1"/>
    <x v="17"/>
    <s v="Cloud"/>
    <s v="alex@fuchuen.com; memo@fuchuen.com; taiyl@fuchuen.com;"/>
    <s v="ou=trade finance, o=hangzhou iron &amp; steel (h.k.) company limited, l=hong kong, c=hk"/>
    <s v="Active"/>
    <n v="578096936"/>
    <x v="0"/>
    <s v="OK"/>
    <s v="SUCCESS"/>
    <n v="0"/>
    <n v="0"/>
    <s v="OK"/>
    <m/>
  </r>
  <r>
    <n v="18"/>
    <x v="16"/>
    <s v="OK"/>
    <x v="1"/>
    <x v="0"/>
    <s v="HELP-127"/>
    <s v="650D81"/>
    <s v="CWP"/>
    <x v="28"/>
    <s v="HBIS Group Hong Kong Co. Limited"/>
    <s v="Not found"/>
    <s v="3003007YDGH5Y16N0B63"/>
    <s v="51709350-000-01-21-3"/>
    <s v="HBIS Group Hong Kong Co. Limited"/>
    <s v="Trade Finance"/>
    <s v="Hong Kong"/>
    <x v="1"/>
    <x v="18"/>
    <s v="Cloud"/>
    <s v="hesteelhk@hbisco.com; pchung@hbisco.com; kkleung@hbisco.com"/>
    <s v="ou=trade finance, o=hbis group hong kong co. limited, l=hong kong, c=hk"/>
    <s v="Active"/>
    <n v="928801753"/>
    <x v="0"/>
    <s v="ERROR"/>
    <s v="SUCCESS"/>
    <n v="0"/>
    <n v="0"/>
    <s v="OK"/>
    <m/>
  </r>
  <r>
    <n v="19"/>
    <x v="17"/>
    <s v="OK"/>
    <x v="1"/>
    <x v="0"/>
    <s v="??"/>
    <m/>
    <n v="0"/>
    <x v="29"/>
    <s v="Vale International SA"/>
    <s v="Not found"/>
    <s v="549300N2ZJ4466RLRV29"/>
    <s v="CHE-112.796.530"/>
    <s v="Vale International SA"/>
    <s v="Trade Finance Prod"/>
    <s v="St-Prex"/>
    <x v="13"/>
    <x v="19"/>
    <s v="Cloud"/>
    <s v="celeste.prates@vale.com; fatima.kiffer@vale.com; Lim.bengbing@vale.com;verachin.silva@vale.com; yeefong.fan@VALE.COM;Zulkefli.Mohamed@vale.com "/>
    <s v="ou=trade finance prod, o=vale international sa, l=st-prex, c=ch"/>
    <s v="Active"/>
    <n v="176862724"/>
    <x v="0"/>
    <s v="ERROR"/>
    <s v="SUCCESS"/>
    <n v="0"/>
    <n v="0"/>
    <s v="OK"/>
    <m/>
  </r>
  <r>
    <n v="19"/>
    <x v="17"/>
    <s v="OK"/>
    <x v="1"/>
    <x v="0"/>
    <s v="HELP-134"/>
    <m/>
    <n v="0"/>
    <x v="30"/>
    <s v="Vale International SA"/>
    <s v="Not found"/>
    <s v="549300N2ZJ4466RLRV29"/>
    <s v="CHE-112.796.530"/>
    <s v="Vale International SA"/>
    <s v="Trade Finance"/>
    <s v="St-Prex"/>
    <x v="13"/>
    <x v="19"/>
    <s v="Cloud"/>
    <s v="celeste.prates@vale.com; fatima.kiffer@vale.com; Lim.bengbing@vale.com;verachin.silva@vale.com; yeefong.fan@VALE.COM;Zulkefli.Mohamed@vale.com "/>
    <s v="ou=trade finance, o=vale international sa, l=st-prex, c=ch"/>
    <s v="Terminated"/>
    <n v="340415874"/>
    <x v="0"/>
    <s v="ERROR"/>
    <s v="FAILURE"/>
    <n v="0"/>
    <n v="3"/>
    <s v="OK"/>
    <m/>
  </r>
  <r>
    <n v="20"/>
    <x v="18"/>
    <s v="OK"/>
    <x v="1"/>
    <x v="0"/>
    <s v="HELP-139"/>
    <s v="981X83"/>
    <s v="CWP"/>
    <x v="31"/>
    <s v="Toptip Holding Pte. Ltd"/>
    <s v="Not found"/>
    <s v="549300L8TAS7NXL71I52"/>
    <s v="200805680W"/>
    <s v="Toptip Holding Pte. Ltd"/>
    <s v="Trade Finance"/>
    <s v="Singapore"/>
    <x v="2"/>
    <x v="20"/>
    <s v="Cloud"/>
    <s v="ops@toptip.com.sg"/>
    <s v="ou=trade finance, o=toptip holding pte. ltd, l=singapore, c=sg"/>
    <s v="Active"/>
    <n v="485648362"/>
    <x v="0"/>
    <s v="ERROR"/>
    <s v="SUCCESS"/>
    <n v="0"/>
    <n v="0"/>
    <s v="OK"/>
    <m/>
  </r>
  <r>
    <n v="22"/>
    <x v="19"/>
    <s v="OK"/>
    <x v="1"/>
    <x v="0"/>
    <s v="HELP-167"/>
    <n v="3.56E+16"/>
    <s v="CWP"/>
    <x v="32"/>
    <s v="Singapore Jinteng International Pte Ltd"/>
    <s v="Not found"/>
    <s v="30030009YNC87ZEJ0I96"/>
    <s v="201318265D"/>
    <s v="Singapore Jinteng International Pte Ltd"/>
    <s v="Trade Finance"/>
    <s v="Singapore"/>
    <x v="2"/>
    <x v="21"/>
    <s v="Cloud"/>
    <s v="baisuqiu@njsteel.com.cn; diaochenghai@njsteel.com.cn; yushui@njsteel.com.cn; zhaoqian@njsteel.com.cn"/>
    <s v="ou=trade finance, o=singapore jinteng international pte ltd, l=singapore, c=sg"/>
    <s v="Active"/>
    <n v="410876024"/>
    <x v="0"/>
    <s v="ERROR"/>
    <s v="SUCCESS"/>
    <n v="0"/>
    <n v="0"/>
    <s v="OK"/>
    <m/>
  </r>
  <r>
    <n v="23"/>
    <x v="20"/>
    <s v="OK"/>
    <x v="1"/>
    <x v="0"/>
    <s v="HELP-172"/>
    <s v="555G91"/>
    <s v="CWP"/>
    <x v="33"/>
    <s v="Chandra Asri Trading Company Pte Ltd"/>
    <s v="Not found"/>
    <m/>
    <s v="20091921M"/>
    <s v="Chandra Asri Trading Company Pte Ltd"/>
    <s v="Trade Finance"/>
    <s v="Singapore"/>
    <x v="2"/>
    <x v="21"/>
    <s v="Cloud"/>
    <s v="adhi.rachman@capcx.com; irawan@capcx.com; jonathan.kandinata@capcx.com"/>
    <s v="ou=trade finance, o=chandra asri trading company pte ltd, l=singapore, c=sg"/>
    <s v="Active"/>
    <n v="152502340"/>
    <x v="0"/>
    <s v="ERROR"/>
    <s v="SUCCESS"/>
    <n v="0"/>
    <n v="0"/>
    <s v="OK"/>
    <m/>
  </r>
  <r>
    <n v="24"/>
    <x v="21"/>
    <s v="OK"/>
    <x v="1"/>
    <x v="0"/>
    <s v="HELP-183"/>
    <s v="715S67"/>
    <s v="CWP"/>
    <x v="34"/>
    <s v="HONG KONG JINTENG DEVELOPMENT LIMITED"/>
    <s v="Not found"/>
    <m/>
    <n v="2326713"/>
    <s v="HONG KONG JINTENG DEVELOPMENT LIMITED"/>
    <s v="Trade Finance"/>
    <s v="Hong Kong"/>
    <x v="1"/>
    <x v="22"/>
    <s v="Cloud"/>
    <s v="baisuqiu@njsteel.com.cn; diaochenghai@njsteel.com.cn; yushui@njsteel.com.cn; zhaoqian@njsteel.com.cn"/>
    <s v="ou=trade finance, o=hong kong jinteng development limited, l=hong kong, c=hk"/>
    <s v="Active"/>
    <n v="58791134"/>
    <x v="0"/>
    <s v="ERROR"/>
    <s v="SUCCESS"/>
    <n v="0"/>
    <n v="0"/>
    <s v="OK"/>
    <m/>
  </r>
  <r>
    <n v="25"/>
    <x v="22"/>
    <s v="OK"/>
    <x v="1"/>
    <x v="0"/>
    <s v="HELP-189"/>
    <s v="274O83"/>
    <s v="CWP"/>
    <x v="35"/>
    <s v="CEMCOA LIMITED"/>
    <s v="Not found"/>
    <m/>
    <s v="11264267-000-08-18-2"/>
    <s v="CEMCOA LIMITED"/>
    <s v="Trade Finance"/>
    <s v="Hong Kong"/>
    <x v="1"/>
    <x v="23"/>
    <s v="Cloud"/>
    <s v="anika.chowdhury@thecemcoa.com; bills@thecemcoa.com; joseph.kwan@thecemcoa.com; john.khew@ssgil.com; treasury@thecemcoa.com; kineks.cheung@thecemcoa.com"/>
    <s v="ou=trade finance, o=cemcoa limited, l=hong kong, c=hk"/>
    <s v="Active"/>
    <n v="92015259"/>
    <x v="0"/>
    <s v="ERROR"/>
    <s v="SUCCESS"/>
    <n v="0"/>
    <n v="0"/>
    <s v="OK"/>
    <m/>
  </r>
  <r>
    <n v="27"/>
    <x v="23"/>
    <s v="OK"/>
    <x v="1"/>
    <x v="0"/>
    <s v="HELP-198"/>
    <s v="376Y65"/>
    <s v="CWP"/>
    <x v="36"/>
    <s v="Metal One (Thailand) Company Limited"/>
    <s v="Not found"/>
    <m/>
    <n v="245540000498"/>
    <s v="Metal One (Thailand) Company Limited"/>
    <s v="Trade Finance"/>
    <s v="Bangkok"/>
    <x v="10"/>
    <x v="24"/>
    <s v="Cloud"/>
    <s v="anon.c@mtlo.co.th; kazuyuki.inada@mtlo.co.th; mayuree@mtlo.co.th; phakhamon@mtlo.co.th"/>
    <s v="ou=trade finance, o=metal one (thailand) company limited, l=bangkok, c=th"/>
    <s v="Active"/>
    <n v="569400533"/>
    <x v="0"/>
    <s v="ERROR"/>
    <s v="SUCCESS"/>
    <n v="0"/>
    <n v="0"/>
    <s v="OK"/>
    <m/>
  </r>
  <r>
    <n v="29"/>
    <x v="24"/>
    <s v="OK"/>
    <x v="1"/>
    <x v="0"/>
    <s v="HELP-209"/>
    <s v="767S67"/>
    <s v="CWP"/>
    <x v="37"/>
    <s v="SCG Plastics Company Limited"/>
    <s v="Not found"/>
    <m/>
    <s v="0105538050741"/>
    <s v="SCG Plastics Company Limited"/>
    <s v="Trade Finance"/>
    <s v="Bangkok"/>
    <x v="10"/>
    <x v="25"/>
    <s v="Cloud"/>
    <s v="nattinea@scg.com; patcharm@scg.com; piyanucs@scg.com"/>
    <s v="ou=trade finance, o=scg plastics company limited, l=bangkok, c=th"/>
    <s v="Active"/>
    <n v="634153867"/>
    <x v="0"/>
    <s v="ERROR"/>
    <s v="SUCCESS"/>
    <n v="0"/>
    <n v="0"/>
    <s v="OK"/>
    <m/>
  </r>
  <r>
    <n v="28"/>
    <x v="25"/>
    <s v="OK"/>
    <x v="1"/>
    <x v="0"/>
    <s v="HELP-214"/>
    <s v="765X59"/>
    <s v="CWP"/>
    <x v="38"/>
    <s v="SCG Performance Chemicals Company Limited"/>
    <s v="Not found"/>
    <m/>
    <s v="0105551069531"/>
    <s v="SCG Performance Chemicals Company Limited"/>
    <s v="Trade Finance"/>
    <s v="Bangkok"/>
    <x v="10"/>
    <x v="26"/>
    <s v="Cloud"/>
    <s v="nattinea@scg.com; patcharm@scg.com; piyanucs@scg.com"/>
    <s v="ou=trade finance, o=scg performance chemicals company limited, l=bangkok, c=th"/>
    <s v="Active"/>
    <n v="600389668"/>
    <x v="0"/>
    <s v="ERROR"/>
    <s v="SUCCESS"/>
    <n v="0"/>
    <n v="0"/>
    <s v="OK"/>
    <m/>
  </r>
  <r>
    <n v="30"/>
    <x v="26"/>
    <s v="OK"/>
    <x v="1"/>
    <x v="0"/>
    <s v="HELP-218"/>
    <s v="427T62"/>
    <s v="CWP"/>
    <x v="39"/>
    <s v="PALM-OLEO SDN BHD"/>
    <s v="Not found"/>
    <m/>
    <s v="185886V"/>
    <s v="PALM-OLEO SDN BHD"/>
    <s v="Trade Finance"/>
    <s v="Petaling Jaya"/>
    <x v="5"/>
    <x v="27"/>
    <s v="Cloud"/>
    <s v="alan.lim@klkoleo.com; ml.chin@klkoleo.com; po-shipdocs@klkoleo.com; tracy.ng@klkoleo.com; william.ng@klkoleo.com"/>
    <s v="ou=trade finance, o=palm-oleo sdn bhd, l=petaling jaya, c=my"/>
    <s v="Active"/>
    <n v="729539857"/>
    <x v="0"/>
    <s v="ERROR"/>
    <s v="SUCCESS"/>
    <n v="0"/>
    <n v="0"/>
    <s v="OK"/>
    <m/>
  </r>
  <r>
    <n v="31"/>
    <x v="27"/>
    <s v="OK"/>
    <x v="1"/>
    <x v="0"/>
    <s v="HELP-220"/>
    <s v="107M20"/>
    <s v="CWP"/>
    <x v="40"/>
    <s v="PT ARISTA LATINDO"/>
    <s v="Not found"/>
    <m/>
    <s v="8120300810325"/>
    <s v="PT ARISTA LATINDO"/>
    <s v="Trade Finance"/>
    <s v="Jakarta"/>
    <x v="6"/>
    <x v="28"/>
    <s v="Cloud"/>
    <s v="aristaexim@yahoo.com; celly@aristagloves.com; lius@aristagloves.com"/>
    <s v="ou=trade finance, o=pt arista latindo, l=jakarta, c=id"/>
    <s v="Active"/>
    <n v="892739391"/>
    <x v="0"/>
    <s v="ERROR"/>
    <s v="SUCCESS"/>
    <n v="0"/>
    <n v="0"/>
    <s v="OK"/>
    <m/>
  </r>
  <r>
    <n v="34"/>
    <x v="28"/>
    <s v="OK"/>
    <x v="1"/>
    <x v="0"/>
    <s v="HELP-242"/>
    <s v="936F68"/>
    <s v="CWP"/>
    <x v="41"/>
    <s v="BRITISH AMERICAN TOBACCO BANGLADESH CO. LTD."/>
    <s v="BATSBDA1XXX"/>
    <s v="213800UHX6IFHXQL8F39"/>
    <s v="0000000180004"/>
    <s v="BRITISH AMERICAN TOBACCO BANGLADESH CO. LTD."/>
    <s v="Trade Finance"/>
    <s v="Dhaka"/>
    <x v="3"/>
    <x v="29"/>
    <s v="Cloud"/>
    <s v="ahmed_nasim@bat.com; sadia_kamal@bat.com; zarrin_tasnim@bat.com"/>
    <s v="ou=trade finance, o=british american tobacco bangladesh co. ltd., l=dhaka, c=bd"/>
    <s v="Active"/>
    <n v="367210856"/>
    <x v="0"/>
    <s v="ERROR"/>
    <s v="SUCCESS"/>
    <n v="0"/>
    <n v="0"/>
    <s v="OK"/>
    <m/>
  </r>
  <r>
    <n v="32"/>
    <x v="29"/>
    <s v="OK"/>
    <x v="1"/>
    <x v="0"/>
    <s v="HELP-228"/>
    <m/>
    <n v="0"/>
    <x v="42"/>
    <s v="ArcelorMittal Nippon Steel India Limited"/>
    <s v="Not found"/>
    <s v="335800G4XYOMDYABDS23"/>
    <s v="U27100GJ1976FLC013787"/>
    <s v="ArcelorMittal Nippon Steel India Limited"/>
    <s v="Trade Finance"/>
    <s v="Surat"/>
    <x v="0"/>
    <x v="30"/>
    <s v="Cloud"/>
    <s v="Narayan.Joshi@amns.in; pitambar.sahu@amns.in; pradeep.parte@amns.in; rajesh.patel@amns.in"/>
    <s v="ou=trade finance, o=arcelormittal nippon steel india limited, l=surat, c=in"/>
    <s v="Active"/>
    <n v="53489564"/>
    <x v="0"/>
    <s v="ERROR"/>
    <s v="SUCCESS"/>
    <n v="0"/>
    <n v="0"/>
    <s v="OK"/>
    <m/>
  </r>
  <r>
    <n v="35"/>
    <x v="30"/>
    <s v="OK"/>
    <x v="1"/>
    <x v="0"/>
    <s v="HELP-247"/>
    <s v="365M45"/>
    <s v="CWP"/>
    <x v="43"/>
    <s v="CHEMTECH CO. LTD"/>
    <s v="Not found"/>
    <m/>
    <n v="3700603175"/>
    <s v="CHEMTECH CO. LTD"/>
    <s v="Trade Finance"/>
    <s v="Binh Duong"/>
    <x v="12"/>
    <x v="30"/>
    <s v="Cloud"/>
    <s v="linhngth@scg.com; phuongntt@scg.com; thanhtra@scg.com"/>
    <s v="ou=trade finance, o=chemtech co. ltd, l=binh duong, c=vn"/>
    <s v="Active"/>
    <n v="427638024"/>
    <x v="0"/>
    <s v="ERROR"/>
    <s v="SUCCESS"/>
    <n v="0"/>
    <n v="0"/>
    <s v="OK"/>
    <m/>
  </r>
  <r>
    <n v="33"/>
    <x v="31"/>
    <s v="OK"/>
    <x v="1"/>
    <x v="0"/>
    <s v="HELP-231"/>
    <s v="715J24"/>
    <s v="CWP"/>
    <x v="44"/>
    <s v="AN PHAT BIOPLASTICS JOINT STOCK COMPANY"/>
    <s v="Not found"/>
    <m/>
    <s v="0800373586"/>
    <s v="AN PHAT BIOPLASTICS JOINT STOCK COMPANY"/>
    <s v="Trade Finance"/>
    <s v="Hai Duong"/>
    <x v="12"/>
    <x v="27"/>
    <s v="Cloud"/>
    <s v="ap.ketoan1@anphatbioplastics.com; ap.pmh7@anphatbioplastics.com; httha@anphatbioplastics.com"/>
    <s v="ou=trade finance, o=an phat bioplastics joint stock company, l=hai duong, c=vn"/>
    <s v="Active"/>
    <n v="160466141"/>
    <x v="0"/>
    <s v="ERROR"/>
    <s v="SUCCESS"/>
    <n v="0"/>
    <n v="0"/>
    <s v="OK"/>
    <m/>
  </r>
  <r>
    <n v="37"/>
    <x v="32"/>
    <s v="OK"/>
    <x v="0"/>
    <x v="0"/>
    <s v="HELP-261"/>
    <m/>
    <n v="0"/>
    <x v="45"/>
    <s v="DBS BANK (HONG KONG) LIMITED"/>
    <s v="DHBKHKHH"/>
    <s v="JB11ZK3Z2RFU15QNWV97"/>
    <s v="00513603-000-04-21-2"/>
    <s v="DBS BANK (HONG KONG) LIMITED"/>
    <s v="Trade Finance"/>
    <s v="Central District"/>
    <x v="1"/>
    <x v="7"/>
    <s v="Cloud"/>
    <s v="acasiusleong@dbs.com; alextangky@dbs.com; catherinehuangh@dbs.com; keitheng@dbs.com; leonardtanpc@dbs.com; megansoo@dbs.com; siewjinliew@dbs.com; SiewLanChing@dbs.com; YeeLee@dbs.com"/>
    <s v="ou=trade finance, o=dbs bank (hong kong) limited, l=central district, c=hk"/>
    <s v="Active"/>
    <n v="112554448"/>
    <x v="0"/>
    <s v="ERROR"/>
    <s v="SUCCESS"/>
    <n v="0"/>
    <n v="0"/>
    <s v="OK"/>
    <m/>
  </r>
  <r>
    <n v="39"/>
    <x v="33"/>
    <s v="OK"/>
    <x v="1"/>
    <x v="0"/>
    <s v="HELP-268"/>
    <s v="850F26"/>
    <s v="CWP"/>
    <x v="46"/>
    <s v="Polyplex (Thailand) Public Company Limited"/>
    <s v="Not found"/>
    <s v="529900B3G8NVNTYVGM61"/>
    <s v="0107547000729"/>
    <s v="Polyplex (Thailand) Public Company Limited"/>
    <s v="Trade Finance"/>
    <s v="Bangkok"/>
    <x v="10"/>
    <x v="31"/>
    <s v="Cloud"/>
    <s v="supritha@polyplex.com; manisha@polyplex.com; ratheesh.aniyeri@polyplex.com; kittima@polyplex.com"/>
    <s v="ou=trade finance, o=polyplex (thailand) public company limited, l=bangkok, c=th"/>
    <s v="Active"/>
    <n v="510564880"/>
    <x v="0"/>
    <s v="ERROR"/>
    <s v="SUCCESS"/>
    <n v="0"/>
    <n v="0"/>
    <s v="OK"/>
    <m/>
  </r>
  <r>
    <n v="41"/>
    <x v="34"/>
    <s v="OK"/>
    <x v="1"/>
    <x v="0"/>
    <s v="HELP-283"/>
    <s v="672X65"/>
    <s v="CWP"/>
    <x v="47"/>
    <s v="Thailand Anthracite Company Limited"/>
    <s v="Not found"/>
    <m/>
    <s v="0105535023964"/>
    <s v="Thailand Anthracite Company Limited"/>
    <s v="Trade Finance"/>
    <s v="Bangkok"/>
    <x v="10"/>
    <x v="31"/>
    <s v="Cloud"/>
    <s v="nutthawan@thailandanthracite.com;supaporn@easternpearl.co.th;kittiya@thailandanthracite.com;supaporn@easternpearl.co.th;rattana@thailandanthracite.com"/>
    <s v="ou=trade finance, o=thailand anthracite company limited, l=bangkok, c=th"/>
    <s v="Active"/>
    <n v="140106384"/>
    <x v="0"/>
    <s v="ERROR"/>
    <s v="SUCCESS"/>
    <n v="0"/>
    <n v="0"/>
    <s v="OK"/>
    <m/>
  </r>
  <r>
    <n v="42"/>
    <x v="35"/>
    <s v="OK"/>
    <x v="1"/>
    <x v="0"/>
    <s v="HELP-293"/>
    <s v="223L71"/>
    <s v="CWP"/>
    <x v="48"/>
    <s v="STAVIAN CHEMICAL JOINT STOCK COMPANY"/>
    <s v="Not found"/>
    <m/>
    <s v="0104160054"/>
    <s v="STAVIAN CHEMICAL JOINT STOCK COMPANY"/>
    <s v="Trade Finance"/>
    <s v="Hung Yen"/>
    <x v="12"/>
    <x v="32"/>
    <s v="Cloud"/>
    <s v="hien.nguyen@stavianchem.com; trong.duong@stavianchem.com; giang.dao@stavianchem.com; duong.nguyen@stavianchem.com"/>
    <s v="ou=trade finance, o=stavian chemical joint stock company, l=hung yen, c=vn"/>
    <s v="Active"/>
    <n v="260365413"/>
    <x v="0"/>
    <s v="ERROR"/>
    <s v="SUCCESS"/>
    <n v="0"/>
    <n v="0"/>
    <s v="OK"/>
    <m/>
  </r>
  <r>
    <n v="36"/>
    <x v="36"/>
    <s v="OK"/>
    <x v="1"/>
    <x v="0"/>
    <s v="HELP-253"/>
    <s v="461C28"/>
    <s v="CWP"/>
    <x v="49"/>
    <s v="MACWORLD INDUSTRIES LIMITED"/>
    <s v="Not found"/>
    <s v="2549009CKWERKPL5KY60"/>
    <s v="LL08375"/>
    <s v="MACWORLD INDUSTRIES LIMITED"/>
    <s v="Trade Finance"/>
    <s v="LABUAN"/>
    <x v="5"/>
    <x v="32"/>
    <s v="Cloud"/>
    <s v="shams@macworldinc.com;export.bulk@macworldinc.com;teamaccounts@macworldinc.com;finance@macworldinc.com;praseed@macworldinc.com;praseed@macworldinc.com"/>
    <s v="ou=trade finance, o=macworld industries limited, l=labuan, c=my"/>
    <s v="Active"/>
    <n v="242720749"/>
    <x v="0"/>
    <s v="ERROR"/>
    <s v="SUCCESS"/>
    <n v="0"/>
    <n v="0"/>
    <s v="OK"/>
    <m/>
  </r>
  <r>
    <n v="43"/>
    <x v="37"/>
    <s v="OK"/>
    <x v="1"/>
    <x v="0"/>
    <s v="HELP-305"/>
    <s v="900V68"/>
    <s v="CWP"/>
    <x v="50"/>
    <s v="Aptec Distribution FZ-LLC"/>
    <s v="Not found"/>
    <m/>
    <n v="20264"/>
    <s v="Aptec Distribution FZ-LLC"/>
    <s v="Trade Finance"/>
    <s v="Dubai"/>
    <x v="4"/>
    <x v="32"/>
    <s v="Cloud"/>
    <s v="mohammad.usman@ingrammicro.com;krishnan.lakshman@ingrammicro.com;mohammed.faiyaz@ingrammicro.com"/>
    <s v="ou=trade finance, o=aptec distribution fz-llc, l=dubai, c=ae"/>
    <s v="Active"/>
    <n v="408372966"/>
    <x v="0"/>
    <s v="ERROR"/>
    <s v="SUCCESS"/>
    <n v="0"/>
    <n v="0"/>
    <s v="OK"/>
    <m/>
  </r>
  <r>
    <n v="45"/>
    <x v="38"/>
    <s v="OK"/>
    <x v="1"/>
    <x v="0"/>
    <s v="HELP-327"/>
    <s v="734P64"/>
    <s v="IP"/>
    <x v="51"/>
    <s v="LONGTEX RUBBER INDUSTRY CO. LTD."/>
    <s v="Not found"/>
    <m/>
    <s v="0105527011707"/>
    <s v="LONGTEX RUBBER INDUSTRY CO. LTD."/>
    <s v="Trade Finance"/>
    <s v="Samut Prakan"/>
    <x v="10"/>
    <x v="33"/>
    <s v="Cloud"/>
    <s v="purchase@longtex.co.th; itcenter@longtex.co.th; jensunwei@gmail.com"/>
    <s v="ou=trade finance, o=longtex rubber industry co. ltd., l=samut prakan, c=th"/>
    <s v="Active"/>
    <n v="160967364"/>
    <x v="0"/>
    <s v="ERROR"/>
    <s v="SUCCESS"/>
    <n v="0"/>
    <n v="0"/>
    <s v="OK"/>
    <m/>
  </r>
  <r>
    <n v="21"/>
    <x v="39"/>
    <s v="OK"/>
    <x v="0"/>
    <x v="0"/>
    <s v="HELP-307"/>
    <m/>
    <n v="0"/>
    <x v="52"/>
    <s v="SUMITOMO MITSUI BANKING CORPORATION SINGAPORE BRANCH"/>
    <s v="SMBCSGSG"/>
    <m/>
    <s v="T03FC6366F"/>
    <s v="SUMITOMO MITSUI BANKING CORPORATION SINGAPORE BRANCH"/>
    <s v="Trade Finance"/>
    <s v="Singapore"/>
    <x v="2"/>
    <x v="33"/>
    <s v="Cloud"/>
    <s v="benny_suwe@sg.smbc.co.jp;hendry_janto@sg.smbc.co.jp;veronica_yeo@sg.smbc.co.jp;nagappan_nagappan@sg.smbc.co.jp;jason_goh@sg.smbc.co.jp"/>
    <s v="ou=trade finance, o=sumitomo mitsui banking corporation singapore branch, l=singapore, c=sg"/>
    <s v="Active"/>
    <n v="697593286"/>
    <x v="0"/>
    <s v="ERROR"/>
    <s v="SUCCESS"/>
    <n v="0"/>
    <n v="0"/>
    <s v="OK"/>
    <m/>
  </r>
  <r>
    <n v="44"/>
    <x v="40"/>
    <s v="OK"/>
    <x v="1"/>
    <x v="0"/>
    <s v="HELP-310"/>
    <s v="506P73"/>
    <s v="CWP"/>
    <x v="53"/>
    <s v="SINGAPORE (COGENERATION) STEEL PTE. LTD."/>
    <s v="Not found"/>
    <s v="213800UADFMBBZ6DYX92"/>
    <s v="200923888C"/>
    <s v="SINGAPORE (COGENERATION) STEEL PTE. LTD."/>
    <s v="Trade Finance"/>
    <s v="Singapore"/>
    <x v="2"/>
    <x v="33"/>
    <s v="Cloud"/>
    <s v="zy@ciec.com;xujing@ciec.com;sg@ciec.com"/>
    <s v="ou=trade finance, o=singapore (cogeneration) steel pte. ltd., l=singapore, c=sg"/>
    <s v="Active"/>
    <n v="672528621"/>
    <x v="0"/>
    <s v="ERROR"/>
    <s v="SUCCESS"/>
    <n v="0"/>
    <n v="0"/>
    <s v="OK"/>
    <m/>
  </r>
  <r>
    <n v="47"/>
    <x v="41"/>
    <s v="OK"/>
    <x v="1"/>
    <x v="0"/>
    <s v="HELP-341"/>
    <m/>
    <n v="0"/>
    <x v="54"/>
    <s v="Anglo American Marketing Limited Singapore Branch"/>
    <s v="Not found"/>
    <m/>
    <s v="T11FC0199H"/>
    <s v="Anglo American Marketing Limited Singapore Branch"/>
    <s v="Trade Finance"/>
    <s v="Singapore"/>
    <x v="2"/>
    <x v="34"/>
    <s v="Cloud"/>
    <s v="lokechoong.foo@angloamerican.com; kenneth.ang@angloamerican.com; gordon.liew@angloamerican.com"/>
    <s v="ou=trade finance, o=anglo american marketing limited singapore branch, l=singapore, c=sg"/>
    <s v="Active"/>
    <n v="839391795"/>
    <x v="0"/>
    <s v="ERROR"/>
    <s v="SUCCESS"/>
    <n v="0"/>
    <n v="0"/>
    <s v="OK"/>
    <m/>
  </r>
  <r>
    <n v="48"/>
    <x v="42"/>
    <s v="OK"/>
    <x v="1"/>
    <x v="0"/>
    <s v="HELP-339"/>
    <s v="788H24"/>
    <s v="IP"/>
    <x v="55"/>
    <s v="THAI ACRYLIC FIBRE COMPANY LIMITED"/>
    <s v="Not found"/>
    <m/>
    <s v="1695/2530"/>
    <s v="THAI ACRYLIC FIBRE COMPANY LIMITED"/>
    <s v="Trade Finance"/>
    <s v="Bangkok"/>
    <x v="10"/>
    <x v="34"/>
    <s v="Cloud"/>
    <s v=" b.patel@adityabirla.com;sachin.nama@adityabirla.com;sritapa.n@adityabirla.com"/>
    <s v="ou=trade finance, o=thai acrylic fibre company limited, l=bangkok, c=th"/>
    <s v="Active"/>
    <n v="214986782"/>
    <x v="0"/>
    <s v="ERROR"/>
    <s v="SUCCESS"/>
    <n v="0"/>
    <n v="0"/>
    <s v="OK"/>
    <m/>
  </r>
  <r>
    <n v="46"/>
    <x v="43"/>
    <s v="OK"/>
    <x v="1"/>
    <x v="0"/>
    <s v="HELP-343"/>
    <m/>
    <n v="0"/>
    <x v="56"/>
    <s v="Anglo American Marketing Limited"/>
    <s v="Not found"/>
    <s v="549300OQM2EOMFY1G222"/>
    <s v="00405724"/>
    <s v="Anglo American Marketing Limited"/>
    <s v="Trade Finance"/>
    <s v="London"/>
    <x v="14"/>
    <x v="35"/>
    <s v="Cloud"/>
    <s v="lokechoong.foo@angloamerican.com;kenneth.ang@angloamerican.com;gordon.liew@angloamerican.com"/>
    <s v="ou=trade finance, o=anglo american marketing limited, l=london, c=gb"/>
    <s v="Active"/>
    <n v="698169473"/>
    <x v="0"/>
    <s v="ERROR"/>
    <s v="SUCCESS"/>
    <n v="0"/>
    <n v="0"/>
    <s v="OK"/>
    <m/>
  </r>
  <r>
    <n v="49"/>
    <x v="44"/>
    <s v="OK"/>
    <x v="1"/>
    <x v="0"/>
    <s v="HELP-352"/>
    <s v="487D13"/>
    <s v="CWP"/>
    <x v="57"/>
    <s v="WIN FAITH TRADING LIMITED"/>
    <s v="Not found"/>
    <m/>
    <s v="51287310-000-07-20-9"/>
    <s v="WIN FAITH TRADING LIMITED"/>
    <s v="Trade Finance"/>
    <s v="Hong Kong"/>
    <x v="1"/>
    <x v="36"/>
    <s v="Cloud"/>
    <s v="OP.WINFAITH@SUMEC.COM.CN;WINFAITHFINANCE@SUMEC.COM.CN;ZHANGCS@SUMEC.COM.CN;OP.WINFAITH@SUMEC.COM.CN"/>
    <s v="ou=trade finance, o=win faith trading limited, l=hong kong, c=hk"/>
    <s v="Active"/>
    <n v="180770833"/>
    <x v="0"/>
    <s v="ERROR"/>
    <s v="SUCCESS"/>
    <n v="0"/>
    <n v="0"/>
    <s v="OK"/>
    <m/>
  </r>
  <r>
    <n v="52"/>
    <x v="45"/>
    <s v="OK"/>
    <x v="1"/>
    <x v="0"/>
    <s v="HELP-363"/>
    <s v="580H89"/>
    <s v="CWP"/>
    <x v="58"/>
    <s v="HBIS GROUP SINGAPORE PTE. LTD."/>
    <s v="Not found"/>
    <s v="3003008RTA7C48MFUG08"/>
    <s v="201134899R"/>
    <s v="HBIS GROUP SINGAPORE PTE. LTD."/>
    <s v="Trade Finance"/>
    <s v="Singapore"/>
    <x v="2"/>
    <x v="36"/>
    <s v="Cloud"/>
    <s v="chenshuyin@hbisco.com;nijie@hbisco.com;guoqiuhong@hbisco.com;baijinyu@hbisco.com"/>
    <s v="ou=trade finance, o=hbis group singapore pte. ltd., l=singapore, c=sg"/>
    <s v="Active"/>
    <n v="755701683"/>
    <x v="0"/>
    <s v="ERROR"/>
    <s v="SUCCESS"/>
    <n v="0"/>
    <n v="0"/>
    <s v="OK"/>
    <m/>
  </r>
  <r>
    <n v="50"/>
    <x v="46"/>
    <s v="OK"/>
    <x v="1"/>
    <x v="0"/>
    <s v="HELP-373"/>
    <s v="220T52"/>
    <s v="CWP"/>
    <x v="59"/>
    <s v="PT. CHANDRA ASRI PETROCHEMICAL TBK"/>
    <s v="Not found"/>
    <m/>
    <n v="8120011061265"/>
    <s v="PT. CHANDRA ASRI PETROCHEMICAL TBK"/>
    <s v="Trade Finance"/>
    <s v="Jakarta"/>
    <x v="6"/>
    <x v="37"/>
    <s v="Cloud"/>
    <s v="adhi.rachman@capcx.com;irawan@capcx.com;jonathan.kandinata@capcx.com"/>
    <s v="ou=trade finance, o=pt. chandra asri petrochemical tbk, l=jakarta, c=id"/>
    <s v="Active"/>
    <n v="627200948"/>
    <x v="0"/>
    <s v="ERROR"/>
    <s v="SUCCESS"/>
    <n v="0"/>
    <n v="0"/>
    <s v="OK"/>
    <m/>
  </r>
  <r>
    <n v="51"/>
    <x v="47"/>
    <s v="OK"/>
    <x v="1"/>
    <x v="0"/>
    <s v="HELP-359"/>
    <s v="892M13"/>
    <s v="CWP"/>
    <x v="60"/>
    <s v="RANGPUR METAL INDUSTRIES LIMITED"/>
    <s v="Not found"/>
    <m/>
    <s v="000637834-0704"/>
    <s v="RANGPUR METAL INDUSTRIES LIMITED"/>
    <s v="Trade Finance"/>
    <s v="HOBIGONJ"/>
    <x v="3"/>
    <x v="37"/>
    <s v="Cloud"/>
    <s v="rfl1210@rflgroupbd.com;bd19@prangroup.com;mis54@mis.prangroup.com"/>
    <s v="ou=trade finance, o=rangpur metal industries limited, l=hobigonj, c=bd"/>
    <s v="Active"/>
    <n v="16001518"/>
    <x v="0"/>
    <s v="ERROR"/>
    <s v="SUCCESS"/>
    <n v="0"/>
    <n v="0"/>
    <s v="OK"/>
    <m/>
  </r>
  <r>
    <n v="54"/>
    <x v="48"/>
    <s v="OK"/>
    <x v="1"/>
    <x v="0"/>
    <s v="HELP-388"/>
    <m/>
    <n v="0"/>
    <x v="61"/>
    <s v="Eldon Development Limited"/>
    <s v="Not found"/>
    <m/>
    <n v="249979"/>
    <s v="Eldon Development Limited"/>
    <s v="Trade Finance"/>
    <s v="Wan Chai"/>
    <x v="1"/>
    <x v="38"/>
    <s v="Cloud"/>
    <s v="xiaqing@sgjtgm.com; zzk@eldon-hk.com; yangran@sgjtgm.com"/>
    <s v="ou=trade finance, o=eldon development limited, l=wan chai, c=hk"/>
    <s v="Active"/>
    <n v="863576436"/>
    <x v="0"/>
    <s v="ERROR"/>
    <s v="SUCCESS"/>
    <n v="0"/>
    <n v="0"/>
    <s v="OK"/>
    <m/>
  </r>
  <r>
    <n v="55"/>
    <x v="49"/>
    <s v="OK"/>
    <x v="1"/>
    <x v="0"/>
    <s v="HELP-390"/>
    <m/>
    <n v="0"/>
    <x v="62"/>
    <s v="Kumba Singapore Pte Ltd"/>
    <s v="Not found"/>
    <s v="549300WDSRHG1U1Z7C46"/>
    <s v="201212769W"/>
    <s v="Kumba Singapore Pte Ltd"/>
    <s v="Trade Finance"/>
    <s v="Singapore"/>
    <x v="2"/>
    <x v="38"/>
    <s v="Cloud"/>
    <s v="kenneth.ang@angloamerican.com; gordon.liew@angloamerican.com; lokechoong.foo@angloamerican.com"/>
    <s v="ou=trade finance, o=kumba singapore pte ltd, l=singapore, c=sg"/>
    <s v="Active"/>
    <n v="157362304"/>
    <x v="0"/>
    <s v="ERROR"/>
    <s v="SUCCESS"/>
    <n v="0"/>
    <n v="0"/>
    <s v="OK"/>
    <m/>
  </r>
  <r>
    <n v="53"/>
    <x v="50"/>
    <s v="OK"/>
    <x v="0"/>
    <x v="0"/>
    <s v="HELP-386"/>
    <m/>
    <n v="0"/>
    <x v="63"/>
    <s v="INDUSTRIAL AND COMMERCIAL BANK OF CHINA (ASIA) LIMITED"/>
    <s v="UBHKHKHHXXX"/>
    <m/>
    <n v="10837"/>
    <s v="INDUSTRIAL AND COMMERCIAL BANK OF CHINA (ASIA) LIMITED"/>
    <s v="Trade Finance"/>
    <s v="Hong Kong"/>
    <x v="1"/>
    <x v="38"/>
    <s v="Cloud"/>
    <s v="tradefinance@icbcasia.com"/>
    <s v="ou=trade finance, o=industrial and commercial bank of china (asia) limited, l=hong kong, c=hk"/>
    <s v="Active"/>
    <n v="187135132"/>
    <x v="0"/>
    <s v="ERROR"/>
    <s v="SUCCESS"/>
    <n v="0"/>
    <n v="0"/>
    <s v="OK"/>
    <m/>
  </r>
  <r>
    <n v="58"/>
    <x v="51"/>
    <s v="OK"/>
    <x v="1"/>
    <x v="0"/>
    <s v="HELP-407"/>
    <s v="313H57"/>
    <s v="CWP"/>
    <x v="64"/>
    <s v="Jidong Development (HK) International Limited"/>
    <s v="Not found"/>
    <m/>
    <n v="1704590"/>
    <s v="Jidong Development (HK) International Limited"/>
    <s v="Trade Finance"/>
    <s v="Kowloon Bay"/>
    <x v="1"/>
    <x v="39"/>
    <s v="Cloud"/>
    <s v="helen.he@ijdhk.com; zhoucui@ijdhk.com; rainy.du@ijdhk.com"/>
    <s v="ou=trade finance, o=jidong development (hk) international limited, l=kowloon bay, c=hk"/>
    <s v="Active"/>
    <n v="786604617"/>
    <x v="0"/>
    <s v="ERROR"/>
    <s v="SUCCESS"/>
    <n v="0"/>
    <n v="0"/>
    <s v="OK"/>
    <m/>
  </r>
  <r>
    <n v="60"/>
    <x v="52"/>
    <s v="OK"/>
    <x v="1"/>
    <x v="0"/>
    <s v="HELP-419"/>
    <s v="743V98"/>
    <s v="CWP"/>
    <x v="65"/>
    <s v="Bajaj Auto Limited"/>
    <s v="Not found"/>
    <s v="335800DLAO5NCNN8G863"/>
    <n v="130076"/>
    <s v="Bajaj Auto Limited"/>
    <s v="Trade Finance"/>
    <s v="Pune"/>
    <x v="0"/>
    <x v="40"/>
    <s v="Cloud"/>
    <s v="jdshah@bajajauto.co.in; savalecha@bajajauto.co.in"/>
    <s v="ou=trade finance, o=bajaj auto limited, l=pune, c=in"/>
    <s v="Active"/>
    <n v="266516712"/>
    <x v="0"/>
    <s v="ERROR"/>
    <s v="SUCCESS"/>
    <n v="0"/>
    <n v="0"/>
    <s v="OK"/>
    <m/>
  </r>
  <r>
    <n v="61"/>
    <x v="53"/>
    <s v="OK"/>
    <x v="1"/>
    <x v="0"/>
    <s v="HELP-426"/>
    <s v="279P56"/>
    <s v="CWP"/>
    <x v="66"/>
    <s v="TPT PETROCHEMICALS PUBLIC COMPANY LIMITED"/>
    <s v="Not found"/>
    <m/>
    <s v="0107538000711"/>
    <s v="TPT PETROCHEMICALS PUBLIC COMPANY LIMITED"/>
    <s v="Trade Finance"/>
    <s v="Bangkok"/>
    <x v="10"/>
    <x v="11"/>
    <s v="Cloud"/>
    <s v="IVL_finance_trade@indorama.net;manish.g@indorama.net;montien.p@indorama.net;prachit.p@indorama.net"/>
    <s v="ou=trade finance, o=tpt petrochemicals public company limited, l=bangkok, c=th"/>
    <s v="Active"/>
    <n v="419250959"/>
    <x v="0"/>
    <s v="ERROR"/>
    <s v="SUCCESS"/>
    <n v="0"/>
    <n v="0"/>
    <s v="OK"/>
    <m/>
  </r>
  <r>
    <n v="62"/>
    <x v="54"/>
    <s v="OK"/>
    <x v="1"/>
    <x v="0"/>
    <s v="HELP-429"/>
    <s v="658Q64"/>
    <s v="CWP"/>
    <x v="67"/>
    <s v="INDORAMA PETROCHEM LIMITED"/>
    <s v="Not found"/>
    <s v="549300MB5BDYV4UR5O77"/>
    <s v="0105546057211"/>
    <s v="INDORAMA PETROCHEM LIMITED"/>
    <s v="Trade Finance"/>
    <s v="Bangkok"/>
    <x v="10"/>
    <x v="11"/>
    <s v="Cloud"/>
    <s v="IVL_finance_trade@indorama.net;manish.g@indorama.net;montien.p@indorama.net;prachit.p@indorama.net"/>
    <s v="ou=trade finance, o=indorama petrochem limited, l=bangkok, c=th"/>
    <s v="Active"/>
    <n v="76611502"/>
    <x v="0"/>
    <s v="ERROR"/>
    <s v="SUCCESS"/>
    <n v="0"/>
    <n v="0"/>
    <s v="OK"/>
    <m/>
  </r>
  <r>
    <n v="57"/>
    <x v="55"/>
    <s v="OK"/>
    <x v="1"/>
    <x v="0"/>
    <s v="HELP-412"/>
    <s v="124M46"/>
    <s v="CWP"/>
    <x v="68"/>
    <s v="Indorama Polyester Industries Public Company Limited"/>
    <s v="Not found"/>
    <m/>
    <s v="0107537002451"/>
    <s v="Indorama Polyester Industries Public Company Limited"/>
    <s v="Trade Finance"/>
    <s v="Bangkok"/>
    <x v="10"/>
    <x v="40"/>
    <s v="Cloud"/>
    <s v="IVL_finance_trade@indorama.net;manish.g@indorama.net;montien.p@indorama.net;prachit.p@indorama.net"/>
    <s v="ou=trade finance, o=indorama polyester industries public company limited, l=bangkok, c=th"/>
    <s v="Active"/>
    <n v="299071760"/>
    <x v="0"/>
    <s v="ERROR"/>
    <s v="SUCCESS"/>
    <n v="0"/>
    <n v="0"/>
    <s v="OK"/>
    <m/>
  </r>
  <r>
    <n v="38"/>
    <x v="56"/>
    <s v="OK"/>
    <x v="0"/>
    <x v="0"/>
    <s v="HELP-442"/>
    <m/>
    <n v="0"/>
    <x v="69"/>
    <s v="DBS Bank (China) Limited"/>
    <s v="DBSSCNSH"/>
    <s v="549300BPHEJP44XN4232"/>
    <n v="9.1310000664264704E+16"/>
    <s v="DBS Bank (China) Limited"/>
    <s v="Trade Finance"/>
    <s v="Shanghai"/>
    <x v="7"/>
    <x v="41"/>
    <s v="Cloud"/>
    <s v="ianding@dbs.com; jeremyzheng@dbs.com; wendywu@dbs.com; catherinechenxp@dbs.com; chesterhao@dbs.com"/>
    <s v="ou=trade finance, o=dbs bank (china) limited, l=shanghai, c=cn"/>
    <s v="Active"/>
    <n v="364992398"/>
    <x v="0"/>
    <s v="ERROR"/>
    <s v="SUCCESS"/>
    <n v="0"/>
    <n v="0"/>
    <s v="OK"/>
    <m/>
  </r>
  <r>
    <n v="64"/>
    <x v="57"/>
    <s v="OK"/>
    <x v="1"/>
    <x v="0"/>
    <s v="HELP-453"/>
    <s v="987I53"/>
    <s v="CWP"/>
    <x v="70"/>
    <s v="ASIA PET (THAILAND) LIMITED"/>
    <s v="Not found"/>
    <m/>
    <n v="105544061679"/>
    <s v="ASIA PET (THAILAND) LIMITED"/>
    <s v="Trade Finance"/>
    <s v="Bangkok"/>
    <x v="10"/>
    <x v="42"/>
    <s v="Cloud"/>
    <s v="IVL_finance_trade@indorama.net;manish.g@indorama.net;montien.p@indorama.net;prachit.p@indorama.net"/>
    <s v="ou=trade finance, o=asia pet (thailand) limited, l=bangkok, c=th"/>
    <s v="Active"/>
    <n v="34682411"/>
    <x v="0"/>
    <s v="ERROR"/>
    <s v="SUCCESS"/>
    <n v="0"/>
    <n v="0"/>
    <s v="OK"/>
    <m/>
  </r>
  <r>
    <n v="65"/>
    <x v="58"/>
    <s v="OK"/>
    <x v="1"/>
    <x v="0"/>
    <s v="HELP-462"/>
    <s v="410K14"/>
    <s v="CWP"/>
    <x v="71"/>
    <s v="EMIRCOM LLC"/>
    <s v="Not found"/>
    <m/>
    <s v="CN-1018601"/>
    <s v="EMIRCOM LLC"/>
    <s v="Trade Finance"/>
    <s v="Abu Dhabi"/>
    <x v="4"/>
    <x v="43"/>
    <s v="Cloud"/>
    <s v="yusaf@emircom.com; sudhakar.aravind@emircom.com; yuvaraj@emircom.com"/>
    <s v="ou=trade finance, o=emircom llc, l=abu dhabi, c=ae"/>
    <s v="Active"/>
    <n v="364873783"/>
    <x v="0"/>
    <s v="ERROR"/>
    <s v="SUCCESS"/>
    <n v="0"/>
    <n v="0"/>
    <s v="OK"/>
    <m/>
  </r>
  <r>
    <n v="56"/>
    <x v="59"/>
    <s v="OK"/>
    <x v="0"/>
    <x v="0"/>
    <s v="HELP-474"/>
    <m/>
    <n v="0"/>
    <x v="72"/>
    <s v="MILITARY COMMERCIAL JOINT STOCK BANK"/>
    <s v="MSCBVNVX "/>
    <m/>
    <n v="100283873"/>
    <s v="MILITARY COMMERCIAL JOINT STOCK BANK"/>
    <s v="Trade Finance"/>
    <s v="Ha Noi"/>
    <x v="12"/>
    <x v="44"/>
    <s v="Cloud"/>
    <s v="tfcenter.ho@mbbank.com.vn;dwnk.ho@mbbank.com.vn,dvxnk.kvpn@mbbank.com.vn;kienbv@mbbank.com.vn"/>
    <s v="ou=trade finance, o=military commercial joint stock bank, l=ha noi, c=vn"/>
    <s v="Active"/>
    <n v="331079860"/>
    <x v="0"/>
    <s v="ERROR"/>
    <s v="SUCCESS"/>
    <n v="0"/>
    <n v="0"/>
    <s v="OK"/>
    <m/>
  </r>
  <r>
    <n v="66"/>
    <x v="60"/>
    <s v="OK"/>
    <x v="1"/>
    <x v="0"/>
    <s v="HELP-477"/>
    <m/>
    <n v="0"/>
    <x v="73"/>
    <s v="Genesis Fashions Ltd."/>
    <s v="Not found"/>
    <s v="254900A9MZW1NHYXD737"/>
    <s v="C-23274(1679)/92"/>
    <s v="Genesis Fashions Ltd."/>
    <s v="Trade Finance"/>
    <s v="Gazipur"/>
    <x v="3"/>
    <x v="45"/>
    <s v="Cloud"/>
    <s v="syed_harun@mj-group.com; maksudur_rahman@mj-group.com"/>
    <s v="ou=trade finance, o=genesis fashions ltd., l=gazipur, c=bd"/>
    <s v="ERROR"/>
    <s v="ERROR"/>
    <x v="2"/>
    <s v="ERROR"/>
    <s v="NOT FOUND"/>
    <n v="0"/>
    <n v="0"/>
    <s v="ERROR"/>
    <m/>
  </r>
  <r>
    <n v="68"/>
    <x v="61"/>
    <s v="OK"/>
    <x v="1"/>
    <x v="0"/>
    <s v="HELP-486"/>
    <m/>
    <n v="0"/>
    <x v="74"/>
    <s v="Columbia Apparels Ltd."/>
    <s v="Not found"/>
    <s v="5493000D613K0WEHRU36"/>
    <s v="C-38340(298)/99"/>
    <s v="Columbia Apparels Ltd."/>
    <s v="Trade Finance"/>
    <s v="Gazipur"/>
    <x v="3"/>
    <x v="46"/>
    <s v="Cloud"/>
    <s v="syed_harun@mj-group.com; maksudur_rahman@mj-group.com"/>
    <s v="ou=trade finance, o=columbia apparels ltd., l=gazipur, c=bd"/>
    <s v="ERROR"/>
    <s v="ERROR"/>
    <x v="2"/>
    <s v="ERROR"/>
    <s v="NOT FOUND"/>
    <n v="0"/>
    <n v="0"/>
    <s v="ERROR"/>
    <m/>
  </r>
  <r>
    <n v="70"/>
    <x v="62"/>
    <s v="OK"/>
    <x v="1"/>
    <x v="0"/>
    <s v="HELP-490"/>
    <m/>
    <s v="CWP"/>
    <x v="75"/>
    <s v="Epyllion Style Limited"/>
    <s v="Not found"/>
    <s v="C-55796"/>
    <s v="C-55796(2479)/05"/>
    <s v="Epyllion Style Limited"/>
    <s v="Trade Finance"/>
    <s v="Dhaka"/>
    <x v="3"/>
    <x v="46"/>
    <s v="Cloud"/>
    <s v="jewel@epylliongroup.com; mithu@epylliongroup.com; arshad@epylliongroup.com"/>
    <s v="ou=trade finance, o=epyllion style limited, l=dhaka, c=bd"/>
    <s v="ERROR"/>
    <s v="ERROR"/>
    <x v="2"/>
    <s v="ERROR"/>
    <s v="NOT FOUND"/>
    <n v="0"/>
    <n v="0"/>
    <s v="ERROR"/>
    <m/>
  </r>
  <r>
    <n v="67"/>
    <x v="63"/>
    <s v="OK"/>
    <x v="1"/>
    <x v="0"/>
    <s v="HELP-484"/>
    <s v="816X37"/>
    <s v="BGWG"/>
    <x v="76"/>
    <s v="Columbia Garments Ltd."/>
    <s v="Not found"/>
    <s v="549300IF5HJJZ4H32K82"/>
    <s v="C-18822(676)/89 "/>
    <s v="Columbia Garments Ltd."/>
    <s v="Trade Finance"/>
    <s v="Gazipur"/>
    <x v="3"/>
    <x v="46"/>
    <s v="Cloud"/>
    <s v="syed_harun@mj-group.com;maksudur_rahman@mj-group.com"/>
    <s v="ou=trade finance, o=columbia garments ltd., l=gazipur, c=bd"/>
    <s v="ERROR"/>
    <s v="ERROR"/>
    <x v="2"/>
    <s v="ERROR"/>
    <s v="NOT FOUND"/>
    <n v="0"/>
    <n v="0"/>
    <s v="ERROR"/>
    <m/>
  </r>
  <r>
    <n v="71"/>
    <x v="64"/>
    <s v="OK"/>
    <x v="1"/>
    <x v="0"/>
    <s v="HELP-492"/>
    <s v="487D14"/>
    <s v="BGWG"/>
    <x v="77"/>
    <s v="EPYLLION KNITWEARS LTD."/>
    <s v="Not found"/>
    <s v="254900MCDRCHRFQMBK52"/>
    <s v="C-49243(1232)/2003 "/>
    <s v="EPYLLION KNITWEARS LTD."/>
    <s v="Trade Finance"/>
    <s v="Dhaka"/>
    <x v="3"/>
    <x v="46"/>
    <s v="Cloud"/>
    <s v="jewel@epylliongroup.com;mithu@epylliongroup.com;arshad@epylliongroup.com"/>
    <s v="ou=trade finance, o=epyllion knitwears ltd., l=dhaka, c=bd"/>
    <s v="ERROR"/>
    <s v="ERROR"/>
    <x v="2"/>
    <s v="ERROR"/>
    <s v="NOT FOUND"/>
    <n v="0"/>
    <n v="0"/>
    <s v="ERROR"/>
    <m/>
  </r>
  <r>
    <n v="69"/>
    <x v="65"/>
    <s v="OK"/>
    <x v="1"/>
    <x v="0"/>
    <s v="HELP-488"/>
    <s v="897X43"/>
    <s v="BGWG"/>
    <x v="78"/>
    <s v="Columbia Washing Plant Ltd."/>
    <s v="Not found"/>
    <s v="254900EA5VOL2166D523"/>
    <s v="C-38341(299)/99"/>
    <s v="Columbia Washing Plant Ltd."/>
    <s v="Trade Finance"/>
    <s v="Gazipur"/>
    <x v="3"/>
    <x v="46"/>
    <s v="Cloud"/>
    <s v="syed_harun@mj-group.com;maksudur_rahman@mj-group.com"/>
    <s v="ou=trade finance, o=columbia washing plant ltd., l=gazipur, c=bd"/>
    <s v="ERROR"/>
    <s v="ERROR"/>
    <x v="2"/>
    <s v="ERROR"/>
    <s v="NOT FOUND"/>
    <n v="0"/>
    <n v="0"/>
    <s v="ERROR"/>
    <m/>
  </r>
  <r>
    <n v="0"/>
    <x v="66"/>
    <s v="OK"/>
    <x v="2"/>
    <x v="1"/>
    <m/>
    <m/>
    <n v="0"/>
    <x v="79"/>
    <s v="Contour Pte. Ltd."/>
    <m/>
    <m/>
    <m/>
    <s v="Contour Pte. Ltd."/>
    <s v="Bayfront Bank"/>
    <s v="Singapore"/>
    <x v="2"/>
    <x v="47"/>
    <s v="Cloud"/>
    <m/>
    <s v="ou=bayfront bank, o=contour pte. ltd., l=singapore, c=sg"/>
    <s v="Active"/>
    <n v="296240999"/>
    <x v="3"/>
    <s v="ERROR"/>
    <s v="FAILURE"/>
    <n v="0"/>
    <n v="0"/>
    <s v="OK"/>
    <m/>
  </r>
  <r>
    <n v="0"/>
    <x v="66"/>
    <s v="OK"/>
    <x v="2"/>
    <x v="1"/>
    <m/>
    <m/>
    <n v="0"/>
    <x v="80"/>
    <s v="Contour Pte. Ltd."/>
    <m/>
    <m/>
    <m/>
    <s v="Contour Pte. Ltd."/>
    <s v="Century Bank"/>
    <s v="Singapore"/>
    <x v="2"/>
    <x v="47"/>
    <s v="Cloud"/>
    <m/>
    <s v="ou=century bank, o=contour pte. ltd., l=singapore, c=sg"/>
    <s v="Active"/>
    <n v="123744915"/>
    <x v="0"/>
    <s v="ERROR"/>
    <s v="SUCCESS"/>
    <n v="0"/>
    <n v="420"/>
    <s v="OK"/>
    <m/>
  </r>
  <r>
    <n v="0"/>
    <x v="66"/>
    <s v="OK"/>
    <x v="2"/>
    <x v="1"/>
    <m/>
    <m/>
    <n v="0"/>
    <x v="81"/>
    <s v="Contour Pte. Ltd."/>
    <m/>
    <m/>
    <m/>
    <s v="Contour Pte. Ltd."/>
    <s v="Comprehensive Corp"/>
    <s v="Singapore"/>
    <x v="2"/>
    <x v="47"/>
    <s v="Cloud"/>
    <m/>
    <s v="ou=comprehensive corp, o=contour pte. ltd., l=singapore, c=sg"/>
    <s v="Active"/>
    <n v="793152576"/>
    <x v="0"/>
    <s v="ERROR"/>
    <s v="SUCCESS"/>
    <n v="0"/>
    <n v="4"/>
    <s v="OK"/>
    <m/>
  </r>
  <r>
    <n v="0"/>
    <x v="66"/>
    <s v="OK"/>
    <x v="2"/>
    <x v="1"/>
    <m/>
    <m/>
    <n v="0"/>
    <x v="82"/>
    <s v="Contour Pte. Ltd."/>
    <m/>
    <m/>
    <m/>
    <s v="Contour Pte. Ltd."/>
    <s v="Comprehensive Fabric"/>
    <s v="Singapore"/>
    <x v="2"/>
    <x v="47"/>
    <s v="Cloud"/>
    <m/>
    <s v="ou=comprehensive fabric, o=contour pte. ltd., l=singapore, c=sg"/>
    <s v="Active"/>
    <n v="287885091"/>
    <x v="0"/>
    <s v="ERROR"/>
    <s v="FAILURE"/>
    <n v="0"/>
    <n v="0"/>
    <s v="OK"/>
    <m/>
  </r>
  <r>
    <n v="0"/>
    <x v="66"/>
    <s v="OK"/>
    <x v="2"/>
    <x v="1"/>
    <m/>
    <m/>
    <n v="0"/>
    <x v="83"/>
    <s v="Contour Pte. Ltd."/>
    <m/>
    <m/>
    <m/>
    <s v="Contour Pte. Ltd."/>
    <s v="Asia Best Bank"/>
    <s v="Singapore"/>
    <x v="2"/>
    <x v="47"/>
    <s v="Cloud"/>
    <m/>
    <s v="ou=asia best bank, o=contour pte. ltd., l=singapore, c=sg"/>
    <s v="Active"/>
    <n v="647136517"/>
    <x v="0"/>
    <s v="ERROR"/>
    <s v="FAILURE"/>
    <n v="0"/>
    <n v="2"/>
    <s v="OK"/>
    <m/>
  </r>
  <r>
    <n v="0"/>
    <x v="66"/>
    <s v="OK"/>
    <x v="2"/>
    <x v="1"/>
    <m/>
    <m/>
    <n v="0"/>
    <x v="84"/>
    <s v="Contour Pte. Ltd."/>
    <m/>
    <m/>
    <m/>
    <s v="Contour Pte. Ltd."/>
    <s v="Delta One Corp"/>
    <s v="Singapore"/>
    <x v="2"/>
    <x v="47"/>
    <s v="Cloud"/>
    <m/>
    <s v="ou=delta one corp, o=contour pte. ltd., l=singapore, c=sg"/>
    <s v="Active"/>
    <n v="116301400"/>
    <x v="1"/>
    <s v="ERROR"/>
    <s v="SUCCESS"/>
    <n v="0"/>
    <n v="18"/>
    <s v="OK"/>
    <m/>
  </r>
  <r>
    <n v="0"/>
    <x v="66"/>
    <s v="OK"/>
    <x v="2"/>
    <x v="1"/>
    <m/>
    <m/>
    <n v="0"/>
    <x v="85"/>
    <s v="Contour Pte. Ltd."/>
    <m/>
    <m/>
    <m/>
    <s v="Contour Pte. Ltd."/>
    <s v="Good Design"/>
    <s v="Singapore"/>
    <x v="2"/>
    <x v="47"/>
    <s v="Cloud"/>
    <m/>
    <s v="ou=good design, o=contour pte. ltd., l=singapore, c=sg"/>
    <s v="Active"/>
    <n v="576038790"/>
    <x v="1"/>
    <s v="ERROR"/>
    <s v="FAILURE"/>
    <n v="0"/>
    <n v="1"/>
    <s v="OK"/>
    <m/>
  </r>
  <r>
    <n v="0"/>
    <x v="66"/>
    <s v="OK"/>
    <x v="2"/>
    <x v="1"/>
    <m/>
    <m/>
    <n v="0"/>
    <x v="86"/>
    <s v="Contour Pte. Ltd."/>
    <m/>
    <m/>
    <m/>
    <s v="Contour Pte. Ltd."/>
    <s v="Mid Atlantic Bank"/>
    <s v="Singapore"/>
    <x v="2"/>
    <x v="47"/>
    <s v="Cloud"/>
    <m/>
    <s v="ou=mid atlantic bank, o=contour pte. ltd., l=singapore, c=sg"/>
    <s v="Active"/>
    <n v="297362855"/>
    <x v="1"/>
    <s v="ERROR"/>
    <s v="FAILURE"/>
    <n v="0"/>
    <n v="1"/>
    <s v="OK"/>
    <m/>
  </r>
  <r>
    <n v="0"/>
    <x v="66"/>
    <s v="OK"/>
    <x v="2"/>
    <x v="1"/>
    <m/>
    <m/>
    <n v="0"/>
    <x v="87"/>
    <s v="Contour Pte. Ltd."/>
    <m/>
    <m/>
    <m/>
    <s v="Contour Pte. Ltd."/>
    <s v="Dictionary Bank"/>
    <s v="Singapore"/>
    <x v="2"/>
    <x v="47"/>
    <s v="Cloud"/>
    <m/>
    <s v="ou=dictionary bank, o=contour pte. ltd., l=singapore, c=sg"/>
    <s v="Active"/>
    <n v="43013727"/>
    <x v="1"/>
    <s v="ERROR"/>
    <s v="SUCCESS"/>
    <n v="0"/>
    <n v="31"/>
    <s v="OK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31D92-94D6-B14A-A30D-EEF83BEC46C3}" name="PivotTable1" cacheId="1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81:C86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NF Sponsored" fld="2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F09490-0F5A-7749-AD42-74C5262B5BBE}" name="PivotTable1" cacheId="115" applyNumberFormats="0" applyBorderFormats="0" applyFontFormats="0" applyPatternFormats="0" applyAlignmentFormats="0" applyWidthHeightFormats="1" dataCaption="Values" updatedVersion="7" minRefreshableVersion="3" showDrill="0" showDataTips="0" itemPrintTitles="1" createdVersion="7" indent="0" showHeaders="0" compact="0" compactData="0" gridDropZones="1" multipleFieldFilters="0" rowHeaderCaption="Party">
  <location ref="B10:E17" firstHeaderRow="1" firstDataRow="2" firstDataCol="2" rowPageCount="1" colPageCount="1"/>
  <pivotFields count="13"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multipleItemSelectionAllowed="1" showAll="0">
      <items count="10">
        <item m="1" x="6"/>
        <item m="1" x="7"/>
        <item x="1"/>
        <item h="1" x="2"/>
        <item x="0"/>
        <item m="1" x="3"/>
        <item m="1" x="5"/>
        <item m="1" x="4"/>
        <item m="1" x="8"/>
        <item t="default"/>
      </items>
    </pivotField>
    <pivotField axis="axisPage" compact="0" outline="0" multipleItemSelectionAllowed="1" showAll="0">
      <items count="5">
        <item x="0"/>
        <item x="1"/>
        <item h="1" x="2"/>
        <item h="1" m="1" x="3"/>
        <item t="default"/>
      </items>
    </pivotField>
    <pivotField compact="0" outline="0" showAll="0"/>
    <pivotField axis="axisRow" compact="0" outline="0" showAll="0">
      <items count="6">
        <item x="0"/>
        <item x="2"/>
        <item m="1" x="4"/>
        <item x="3"/>
        <item x="1"/>
        <item t="default"/>
      </items>
    </pivotField>
    <pivotField dataField="1" compact="0" outline="0" showAll="0"/>
    <pivotField compact="0" outline="0" showAll="0"/>
    <pivotField compact="0" outline="0" showAll="0"/>
  </pivotFields>
  <rowFields count="2">
    <field x="6"/>
    <field x="9"/>
  </rowFields>
  <rowItems count="6">
    <i>
      <x v="2"/>
      <x v="1"/>
    </i>
    <i t="default">
      <x v="2"/>
    </i>
    <i>
      <x v="4"/>
      <x/>
    </i>
    <i r="1">
      <x v="4"/>
    </i>
    <i t="default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7" hier="-1"/>
  </pageFields>
  <dataFields count="2">
    <dataField name="Number Txn" fld="3" subtotal="count" baseField="0" baseItem="0"/>
    <dataField name="Total Cost" fld="10" baseField="0" baseItem="0" numFmtId="168"/>
  </dataFields>
  <formats count="6">
    <format dxfId="127">
      <pivotArea outline="0" fieldPosition="0">
        <references count="1">
          <reference field="4294967294" count="1" selected="0">
            <x v="1"/>
          </reference>
        </references>
      </pivotArea>
    </format>
    <format dxfId="126">
      <pivotArea type="all" dataOnly="0" outline="0" fieldPosition="0"/>
    </format>
    <format dxfId="125">
      <pivotArea dataOnly="0" outline="0" fieldPosition="0">
        <references count="1">
          <reference field="6" count="0" defaultSubtotal="1"/>
        </references>
      </pivotArea>
    </format>
    <format dxfId="124">
      <pivotArea dataOnly="0" grandRow="1" outline="0" fieldPosition="0"/>
    </format>
    <format dxfId="123">
      <pivotArea dataOnly="0" grandRow="1" outline="0" fieldPosition="0"/>
    </format>
    <format dxfId="122">
      <pivotArea dataOnly="0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468972-2FDC-CD47-A5FD-F9CDEE8B36A4}" name="PivotTable1" cacheId="125" applyNumberFormats="0" applyBorderFormats="0" applyFontFormats="0" applyPatternFormats="0" applyAlignmentFormats="0" applyWidthHeightFormats="1" dataCaption="Values" updatedVersion="7" minRefreshableVersion="3" showDrill="0" showDataTips="0" itemPrintTitles="1" createdVersion="7" indent="0" showHeaders="0" compact="0" compactData="0" gridDropZones="1" multipleFieldFilters="0">
  <location ref="B26:C40" firstHeaderRow="2" firstDataRow="2" firstDataCol="1" rowPageCount="2" colPageCount="1"/>
  <pivotFields count="30">
    <pivotField compact="0" outline="0" showAll="0"/>
    <pivotField axis="axisPage" compact="0" outline="0" multipleItemSelectionAllowed="1" showAll="0">
      <items count="70">
        <item h="1" x="66"/>
        <item x="0"/>
        <item x="1"/>
        <item x="2"/>
        <item x="3"/>
        <item m="1" x="67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39"/>
        <item h="1" x="19"/>
        <item h="1" x="20"/>
        <item h="1" x="21"/>
        <item h="1" x="22"/>
        <item h="1" x="23"/>
        <item h="1" x="24"/>
        <item h="1" x="25"/>
        <item h="1" x="27"/>
        <item h="1" x="28"/>
        <item h="1" x="26"/>
        <item h="1" x="29"/>
        <item h="1" x="30"/>
        <item h="1" m="1" x="68"/>
        <item h="1" x="32"/>
        <item h="1" x="6"/>
        <item h="1" x="33"/>
        <item h="1" x="34"/>
        <item h="1" x="35"/>
        <item h="1" x="36"/>
        <item h="1" x="37"/>
        <item h="1" x="38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31"/>
        <item t="default"/>
      </items>
    </pivotField>
    <pivotField compact="0" outline="0" showAll="0"/>
    <pivotField axis="axisPage" compact="0" outline="0" multipleItemSelectionAllowed="1" showAll="0">
      <items count="5">
        <item h="1" m="1" x="3"/>
        <item x="0"/>
        <item h="1" x="1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>
      <items count="19">
        <item m="1" x="16"/>
        <item x="1"/>
        <item x="2"/>
        <item m="1" x="15"/>
        <item x="0"/>
        <item x="3"/>
        <item x="4"/>
        <item x="5"/>
        <item x="6"/>
        <item m="1" x="17"/>
        <item x="8"/>
        <item x="9"/>
        <item x="7"/>
        <item x="11"/>
        <item x="10"/>
        <item x="12"/>
        <item x="13"/>
        <item x="1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6"/>
  </rowFields>
  <rowItems count="13">
    <i>
      <x v="1"/>
    </i>
    <i>
      <x v="2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 t="grand">
      <x/>
    </i>
  </rowItems>
  <colItems count="1">
    <i/>
  </colItems>
  <pageFields count="2">
    <pageField fld="3" hier="-1"/>
    <pageField fld="1" hier="-1"/>
  </pageFields>
  <dataFields count="1">
    <dataField name="Country" fld="13" subtotal="count" baseField="0" baseItem="0"/>
  </dataFields>
  <formats count="2">
    <format dxfId="119">
      <pivotArea field="3" type="button" dataOnly="0" labelOnly="1" outline="0" axis="axisPage" fieldPosition="0"/>
    </format>
    <format dxfId="11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1E7D0-AA7F-2345-9C5F-22AC0575AC8A}" name="PivotTable2" cacheId="125" applyNumberFormats="0" applyBorderFormats="0" applyFontFormats="0" applyPatternFormats="0" applyAlignmentFormats="0" applyWidthHeightFormats="1" dataCaption="Values" updatedVersion="7" minRefreshableVersion="3" showDrill="0" showDataTips="0" itemPrintTitles="1" createdVersion="7" indent="0" showHeaders="0" compact="0" compactData="0" gridDropZones="1" multipleFieldFilters="0">
  <location ref="F26:G35" firstHeaderRow="2" firstDataRow="2" firstDataCol="1" rowPageCount="2" colPageCount="1"/>
  <pivotFields count="30">
    <pivotField compact="0" outline="0" showAll="0"/>
    <pivotField axis="axisPage" compact="0" outline="0" multipleItemSelectionAllowed="1" showAll="0">
      <items count="70">
        <item h="1" x="66"/>
        <item x="0"/>
        <item x="1"/>
        <item x="2"/>
        <item x="3"/>
        <item m="1" x="67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39"/>
        <item h="1" x="19"/>
        <item h="1" x="20"/>
        <item h="1" x="21"/>
        <item h="1" x="22"/>
        <item h="1" x="23"/>
        <item h="1" x="24"/>
        <item h="1" x="25"/>
        <item h="1" x="27"/>
        <item h="1" x="28"/>
        <item h="1" x="26"/>
        <item h="1" x="29"/>
        <item h="1" x="30"/>
        <item h="1" m="1" x="68"/>
        <item h="1" x="32"/>
        <item h="1" x="6"/>
        <item h="1" x="33"/>
        <item h="1" x="34"/>
        <item h="1" x="35"/>
        <item h="1" x="36"/>
        <item h="1" x="37"/>
        <item h="1" x="38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31"/>
        <item t="default"/>
      </items>
    </pivotField>
    <pivotField compact="0" outline="0" showAll="0"/>
    <pivotField axis="axisPage" compact="0" outline="0" multipleItemSelectionAllowed="1" showAll="0">
      <items count="5">
        <item h="1" m="1" x="3"/>
        <item h="1" x="0"/>
        <item x="1"/>
        <item h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>
      <items count="19">
        <item m="1" x="16"/>
        <item x="1"/>
        <item x="2"/>
        <item m="1" x="15"/>
        <item x="0"/>
        <item x="3"/>
        <item x="4"/>
        <item x="5"/>
        <item x="6"/>
        <item m="1" x="17"/>
        <item x="8"/>
        <item x="9"/>
        <item x="7"/>
        <item x="11"/>
        <item x="10"/>
        <item x="12"/>
        <item x="13"/>
        <item x="1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6"/>
  </rowFields>
  <rowItems count="8">
    <i>
      <x v="1"/>
    </i>
    <i>
      <x v="2"/>
    </i>
    <i>
      <x v="4"/>
    </i>
    <i>
      <x v="6"/>
    </i>
    <i>
      <x v="12"/>
    </i>
    <i>
      <x v="13"/>
    </i>
    <i>
      <x v="16"/>
    </i>
    <i t="grand">
      <x/>
    </i>
  </rowItems>
  <colItems count="1">
    <i/>
  </colItems>
  <pageFields count="2">
    <pageField fld="3" hier="-1"/>
    <pageField fld="1" hier="-1"/>
  </pageFields>
  <dataFields count="1">
    <dataField name="Country" fld="13" subtotal="count" baseField="0" baseItem="0"/>
  </dataFields>
  <formats count="2">
    <format dxfId="121">
      <pivotArea field="3" type="button" dataOnly="0" labelOnly="1" outline="0" axis="axisPage" fieldPosition="0"/>
    </format>
    <format dxfId="12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FD593-780A-E24B-8382-6E67B5EC09E8}" name="PivotTable1" cacheId="125" applyNumberFormats="0" applyBorderFormats="0" applyFontFormats="0" applyPatternFormats="0" applyAlignmentFormats="0" applyWidthHeightFormats="1" dataCaption="Values" updatedVersion="7" minRefreshableVersion="3" showDrill="0" showDataTips="0" useAutoFormatting="1" itemPrintTitles="1" createdVersion="7" indent="0" compact="0" compactData="0" gridDropZones="1" multipleFieldFilters="0">
  <location ref="A6:J87" firstHeaderRow="2" firstDataRow="2" firstDataCol="4" rowPageCount="1" colPageCount="1"/>
  <pivotFields count="30">
    <pivotField compact="0" outline="0" showAll="0"/>
    <pivotField compact="0" outline="0" showAll="0"/>
    <pivotField compact="0" outline="0" showAll="0"/>
    <pivotField axis="axisRow" compact="0" outline="0" showAll="0" defaultSubtotal="0">
      <items count="4">
        <item m="1" x="3"/>
        <item x="0"/>
        <item x="1"/>
        <item x="2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92">
        <item x="83"/>
        <item x="25"/>
        <item x="26"/>
        <item x="18"/>
        <item x="79"/>
        <item x="12"/>
        <item x="80"/>
        <item x="81"/>
        <item x="82"/>
        <item x="21"/>
        <item x="84"/>
        <item x="87"/>
        <item x="85"/>
        <item x="9"/>
        <item x="27"/>
        <item x="28"/>
        <item m="1" x="88"/>
        <item x="24"/>
        <item m="1" x="91"/>
        <item x="6"/>
        <item x="1"/>
        <item x="0"/>
        <item x="5"/>
        <item x="19"/>
        <item x="22"/>
        <item x="8"/>
        <item x="20"/>
        <item x="23"/>
        <item x="11"/>
        <item x="2"/>
        <item x="3"/>
        <item x="15"/>
        <item x="31"/>
        <item x="16"/>
        <item x="30"/>
        <item x="17"/>
        <item x="29"/>
        <item m="1" x="89"/>
        <item x="32"/>
        <item x="33"/>
        <item x="34"/>
        <item x="35"/>
        <item x="36"/>
        <item x="37"/>
        <item x="38"/>
        <item x="40"/>
        <item x="41"/>
        <item x="39"/>
        <item x="42"/>
        <item x="43"/>
        <item x="44"/>
        <item x="10"/>
        <item x="45"/>
        <item x="13"/>
        <item x="46"/>
        <item x="47"/>
        <item x="48"/>
        <item x="49"/>
        <item x="50"/>
        <item x="51"/>
        <item m="1" x="90"/>
        <item x="53"/>
        <item x="4"/>
        <item x="7"/>
        <item x="54"/>
        <item x="55"/>
        <item x="56"/>
        <item x="57"/>
        <item x="58"/>
        <item x="52"/>
        <item x="59"/>
        <item x="60"/>
        <item x="61"/>
        <item x="62"/>
        <item x="63"/>
        <item x="64"/>
        <item x="65"/>
        <item x="14"/>
        <item x="66"/>
        <item x="67"/>
        <item x="68"/>
        <item x="69"/>
        <item x="70"/>
        <item x="71"/>
        <item x="72"/>
        <item x="86"/>
        <item x="73"/>
        <item x="74"/>
        <item x="75"/>
        <item x="76"/>
        <item x="77"/>
        <item x="78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Country" axis="axisRow" compact="0" outline="0" showAll="0" defaultSubtotal="0">
      <items count="18">
        <item x="4"/>
        <item x="11"/>
        <item x="3"/>
        <item m="1" x="16"/>
        <item x="13"/>
        <item x="7"/>
        <item x="9"/>
        <item x="1"/>
        <item x="6"/>
        <item x="0"/>
        <item x="5"/>
        <item m="1" x="17"/>
        <item x="8"/>
        <item x="2"/>
        <item x="10"/>
        <item x="12"/>
        <item m="1" x="15"/>
        <item x="14"/>
      </items>
    </pivotField>
    <pivotField axis="axisRow" compact="0" outline="0" showAll="0">
      <items count="49">
        <item x="0"/>
        <item x="1"/>
        <item x="3"/>
        <item x="12"/>
        <item x="4"/>
        <item x="14"/>
        <item x="13"/>
        <item x="16"/>
        <item x="15"/>
        <item x="5"/>
        <item x="6"/>
        <item x="17"/>
        <item x="8"/>
        <item x="18"/>
        <item x="9"/>
        <item x="19"/>
        <item x="20"/>
        <item x="21"/>
        <item x="47"/>
        <item x="22"/>
        <item x="23"/>
        <item x="24"/>
        <item x="25"/>
        <item x="26"/>
        <item x="28"/>
        <item x="29"/>
        <item x="27"/>
        <item x="30"/>
        <item x="7"/>
        <item x="10"/>
        <item x="31"/>
        <item x="32"/>
        <item x="33"/>
        <item x="2"/>
        <item x="34"/>
        <item x="35"/>
        <item x="36"/>
        <item x="37"/>
        <item x="38"/>
        <item x="39"/>
        <item x="40"/>
        <item x="11"/>
        <item x="41"/>
        <item x="42"/>
        <item x="43"/>
        <item x="44"/>
        <item x="45"/>
        <item x="4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3"/>
    <field x="16"/>
    <field x="8"/>
    <field x="17"/>
  </rowFields>
  <rowItems count="80">
    <i>
      <x v="1"/>
      <x/>
      <x v="62"/>
      <x v="33"/>
    </i>
    <i r="1">
      <x v="2"/>
      <x v="19"/>
      <x v="4"/>
    </i>
    <i r="2">
      <x v="30"/>
      <x v="1"/>
    </i>
    <i r="1">
      <x v="5"/>
      <x v="23"/>
      <x v="6"/>
    </i>
    <i r="2">
      <x v="51"/>
      <x v="28"/>
    </i>
    <i r="2">
      <x v="81"/>
      <x v="42"/>
    </i>
    <i r="1">
      <x v="6"/>
      <x v="5"/>
      <x v="14"/>
    </i>
    <i r="1">
      <x v="7"/>
      <x v="3"/>
      <x v="5"/>
    </i>
    <i r="2">
      <x v="13"/>
      <x v="10"/>
    </i>
    <i r="2">
      <x v="20"/>
      <x/>
    </i>
    <i r="2">
      <x v="52"/>
      <x v="28"/>
    </i>
    <i r="2">
      <x v="74"/>
      <x v="38"/>
    </i>
    <i r="1">
      <x v="8"/>
      <x v="25"/>
      <x v="9"/>
    </i>
    <i r="1">
      <x v="9"/>
      <x v="21"/>
      <x/>
    </i>
    <i r="2">
      <x v="53"/>
      <x v="29"/>
    </i>
    <i r="1">
      <x v="10"/>
      <x v="63"/>
      <x v="33"/>
    </i>
    <i r="1">
      <x v="12"/>
      <x v="28"/>
      <x v="12"/>
    </i>
    <i r="1">
      <x v="13"/>
      <x v="9"/>
      <x v="8"/>
    </i>
    <i r="2">
      <x v="22"/>
      <x v="2"/>
    </i>
    <i r="2">
      <x v="29"/>
      <x v="1"/>
    </i>
    <i r="2">
      <x v="69"/>
      <x v="32"/>
    </i>
    <i r="1">
      <x v="14"/>
      <x v="1"/>
      <x v="7"/>
    </i>
    <i r="2">
      <x v="77"/>
      <x v="41"/>
    </i>
    <i r="1">
      <x v="15"/>
      <x v="2"/>
      <x v="7"/>
    </i>
    <i r="2">
      <x v="84"/>
      <x v="45"/>
    </i>
    <i>
      <x v="2"/>
      <x/>
      <x v="33"/>
      <x v="3"/>
    </i>
    <i r="2">
      <x v="58"/>
      <x v="31"/>
    </i>
    <i r="2">
      <x v="83"/>
      <x v="44"/>
    </i>
    <i r="1">
      <x v="1"/>
      <x v="17"/>
      <x v="7"/>
    </i>
    <i r="2">
      <x v="27"/>
      <x v="7"/>
    </i>
    <i r="1">
      <x v="2"/>
      <x v="46"/>
      <x v="25"/>
    </i>
    <i r="2">
      <x v="71"/>
      <x v="37"/>
    </i>
    <i r="2">
      <x v="86"/>
      <x v="46"/>
    </i>
    <i r="2">
      <x v="87"/>
      <x v="47"/>
    </i>
    <i r="2">
      <x v="88"/>
      <x v="47"/>
    </i>
    <i r="2">
      <x v="89"/>
      <x v="47"/>
    </i>
    <i r="2">
      <x v="90"/>
      <x v="47"/>
    </i>
    <i r="2">
      <x v="91"/>
      <x v="47"/>
    </i>
    <i r="1">
      <x v="4"/>
      <x v="34"/>
      <x v="15"/>
    </i>
    <i r="2">
      <x v="36"/>
      <x v="15"/>
    </i>
    <i r="1">
      <x v="5"/>
      <x v="35"/>
      <x v="6"/>
    </i>
    <i r="1">
      <x v="7"/>
      <x v="14"/>
      <x v="11"/>
    </i>
    <i r="2">
      <x v="15"/>
      <x v="13"/>
    </i>
    <i r="2">
      <x v="24"/>
      <x v="7"/>
    </i>
    <i r="2">
      <x v="40"/>
      <x v="19"/>
    </i>
    <i r="2">
      <x v="41"/>
      <x v="20"/>
    </i>
    <i r="2">
      <x v="67"/>
      <x v="36"/>
    </i>
    <i r="2">
      <x v="72"/>
      <x v="38"/>
    </i>
    <i r="2">
      <x v="75"/>
      <x v="39"/>
    </i>
    <i r="1">
      <x v="8"/>
      <x v="45"/>
      <x v="24"/>
    </i>
    <i r="2">
      <x v="70"/>
      <x v="37"/>
    </i>
    <i r="1">
      <x v="9"/>
      <x v="31"/>
      <x v="3"/>
    </i>
    <i r="2">
      <x v="48"/>
      <x v="27"/>
    </i>
    <i r="2">
      <x v="76"/>
      <x v="40"/>
    </i>
    <i r="1">
      <x v="10"/>
      <x v="47"/>
      <x v="26"/>
    </i>
    <i r="2">
      <x v="57"/>
      <x v="31"/>
    </i>
    <i r="1">
      <x v="13"/>
      <x v="26"/>
      <x v="6"/>
    </i>
    <i r="2">
      <x v="32"/>
      <x v="16"/>
    </i>
    <i r="2">
      <x v="38"/>
      <x v="17"/>
    </i>
    <i r="2">
      <x v="39"/>
      <x v="17"/>
    </i>
    <i r="2">
      <x v="61"/>
      <x v="32"/>
    </i>
    <i r="2">
      <x v="64"/>
      <x v="34"/>
    </i>
    <i r="2">
      <x v="68"/>
      <x v="36"/>
    </i>
    <i r="2">
      <x v="73"/>
      <x v="38"/>
    </i>
    <i r="1">
      <x v="14"/>
      <x v="42"/>
      <x v="21"/>
    </i>
    <i r="2">
      <x v="43"/>
      <x v="22"/>
    </i>
    <i r="2">
      <x v="44"/>
      <x v="23"/>
    </i>
    <i r="2">
      <x v="54"/>
      <x v="30"/>
    </i>
    <i r="2">
      <x v="55"/>
      <x v="30"/>
    </i>
    <i r="2">
      <x v="59"/>
      <x v="32"/>
    </i>
    <i r="2">
      <x v="65"/>
      <x v="34"/>
    </i>
    <i r="2">
      <x v="78"/>
      <x v="41"/>
    </i>
    <i r="2">
      <x v="79"/>
      <x v="41"/>
    </i>
    <i r="2">
      <x v="80"/>
      <x v="40"/>
    </i>
    <i r="2">
      <x v="82"/>
      <x v="43"/>
    </i>
    <i r="1">
      <x v="15"/>
      <x v="49"/>
      <x v="27"/>
    </i>
    <i r="2">
      <x v="50"/>
      <x v="26"/>
    </i>
    <i r="2">
      <x v="56"/>
      <x v="31"/>
    </i>
    <i r="1">
      <x v="17"/>
      <x v="66"/>
      <x v="35"/>
    </i>
    <i t="grand">
      <x/>
    </i>
  </rowItems>
  <colItems count="1">
    <i/>
  </colItems>
  <pageFields count="1">
    <pageField fld="4" hier="-1"/>
  </pageFields>
  <formats count="102">
    <format dxfId="117">
      <pivotArea dataOnly="0" outline="0" fieldPosition="0">
        <references count="1">
          <reference field="8" count="1">
            <x v="29"/>
          </reference>
        </references>
      </pivotArea>
    </format>
    <format dxfId="116">
      <pivotArea dataOnly="0" labelOnly="1" outline="0" fieldPosition="0">
        <references count="1">
          <reference field="8" count="0"/>
        </references>
      </pivotArea>
    </format>
    <format dxfId="115">
      <pivotArea type="all" dataOnly="0" outline="0" fieldPosition="0"/>
    </format>
    <format dxfId="114">
      <pivotArea field="3" type="button" dataOnly="0" labelOnly="1" outline="0" axis="axisRow" fieldPosition="0"/>
    </format>
    <format dxfId="113">
      <pivotArea field="16" type="button" dataOnly="0" labelOnly="1" outline="0" axis="axisRow" fieldPosition="1"/>
    </format>
    <format dxfId="112">
      <pivotArea field="8" type="button" dataOnly="0" labelOnly="1" outline="0" axis="axisRow" fieldPosition="2"/>
    </format>
    <format dxfId="111">
      <pivotArea type="origin" dataOnly="0" labelOnly="1" outline="0" fieldPosition="0"/>
    </format>
    <format dxfId="110">
      <pivotArea type="topRight" dataOnly="0" labelOnly="1" outline="0" fieldPosition="0"/>
    </format>
    <format dxfId="109">
      <pivotArea dataOnly="0" labelOnly="1" outline="0" fieldPosition="0">
        <references count="1">
          <reference field="3" count="0"/>
        </references>
      </pivotArea>
    </format>
    <format dxfId="108">
      <pivotArea dataOnly="0" labelOnly="1" outline="0" fieldPosition="0">
        <references count="3">
          <reference field="3" count="1" selected="0">
            <x v="2"/>
          </reference>
          <reference field="8" count="11">
            <x v="0"/>
            <x v="4"/>
            <x v="6"/>
            <x v="7"/>
            <x v="8"/>
            <x v="10"/>
            <x v="11"/>
            <x v="12"/>
            <x v="26"/>
            <x v="32"/>
            <x v="36"/>
          </reference>
          <reference field="16" count="1" selected="0">
            <x v="13"/>
          </reference>
        </references>
      </pivotArea>
    </format>
    <format dxfId="107">
      <pivotArea dataOnly="0" outline="0" fieldPosition="0">
        <references count="1">
          <reference field="8" count="1">
            <x v="37"/>
          </reference>
        </references>
      </pivotArea>
    </format>
    <format dxfId="106">
      <pivotArea dataOnly="0" grandRow="1" outline="0" fieldPosition="0"/>
    </format>
    <format dxfId="105">
      <pivotArea dataOnly="0" grandRow="1" outline="0" fieldPosition="0"/>
    </format>
    <format dxfId="104">
      <pivotArea dataOnly="0" labelOnly="1" outline="0" fieldPosition="0">
        <references count="1">
          <reference field="3" count="1">
            <x v="1"/>
          </reference>
        </references>
      </pivotArea>
    </format>
    <format dxfId="103">
      <pivotArea dataOnly="0" labelOnly="1" outline="0" fieldPosition="0">
        <references count="1">
          <reference field="3" count="1">
            <x v="2"/>
          </reference>
        </references>
      </pivotArea>
    </format>
    <format dxfId="102">
      <pivotArea dataOnly="0" outline="0" fieldPosition="0">
        <references count="1">
          <reference field="8" count="1">
            <x v="38"/>
          </reference>
        </references>
      </pivotArea>
    </format>
    <format dxfId="101">
      <pivotArea dataOnly="0" outline="0" fieldPosition="0">
        <references count="1">
          <reference field="3" count="1">
            <x v="1"/>
          </reference>
        </references>
      </pivotArea>
    </format>
    <format dxfId="100">
      <pivotArea dataOnly="0" labelOnly="1" outline="0" fieldPosition="0">
        <references count="3">
          <reference field="3" count="1" selected="0">
            <x v="1"/>
          </reference>
          <reference field="8" count="1">
            <x v="16"/>
          </reference>
          <reference field="16" count="1" selected="0">
            <x v="0"/>
          </reference>
        </references>
      </pivotArea>
    </format>
    <format dxfId="99">
      <pivotArea dataOnly="0" labelOnly="1" outline="0" fieldPosition="0">
        <references count="3">
          <reference field="3" count="1" selected="0">
            <x v="1"/>
          </reference>
          <reference field="8" count="1">
            <x v="18"/>
          </reference>
          <reference field="16" count="1" selected="0">
            <x v="10"/>
          </reference>
        </references>
      </pivotArea>
    </format>
    <format dxfId="98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16"/>
          </reference>
          <reference field="16" count="1" selected="0">
            <x v="0"/>
          </reference>
          <reference field="17" count="1">
            <x v="2"/>
          </reference>
        </references>
      </pivotArea>
    </format>
    <format dxfId="97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19"/>
          </reference>
          <reference field="16" count="1" selected="0">
            <x v="2"/>
          </reference>
          <reference field="17" count="1">
            <x v="4"/>
          </reference>
        </references>
      </pivotArea>
    </format>
    <format dxfId="96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30"/>
          </reference>
          <reference field="16" count="1" selected="0">
            <x v="2"/>
          </reference>
          <reference field="17" count="1">
            <x v="1"/>
          </reference>
        </references>
      </pivotArea>
    </format>
    <format dxfId="95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3"/>
          </reference>
          <reference field="16" count="1" selected="0">
            <x v="5"/>
          </reference>
          <reference field="17" count="1">
            <x v="6"/>
          </reference>
        </references>
      </pivotArea>
    </format>
    <format dxfId="94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51"/>
          </reference>
          <reference field="16" count="1" selected="0">
            <x v="5"/>
          </reference>
          <reference field="17" count="1">
            <x v="28"/>
          </reference>
        </references>
      </pivotArea>
    </format>
    <format dxfId="93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5"/>
          </reference>
          <reference field="16" count="1" selected="0">
            <x v="6"/>
          </reference>
          <reference field="17" count="1">
            <x v="14"/>
          </reference>
        </references>
      </pivotArea>
    </format>
    <format dxfId="92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3"/>
          </reference>
          <reference field="16" count="1" selected="0">
            <x v="7"/>
          </reference>
          <reference field="17" count="1">
            <x v="5"/>
          </reference>
        </references>
      </pivotArea>
    </format>
    <format dxfId="91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13"/>
          </reference>
          <reference field="16" count="1" selected="0">
            <x v="7"/>
          </reference>
          <reference field="17" count="1">
            <x v="10"/>
          </reference>
        </references>
      </pivotArea>
    </format>
    <format dxfId="90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0"/>
          </reference>
          <reference field="16" count="1" selected="0">
            <x v="7"/>
          </reference>
          <reference field="17" count="1">
            <x v="0"/>
          </reference>
        </references>
      </pivotArea>
    </format>
    <format dxfId="89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52"/>
          </reference>
          <reference field="16" count="1" selected="0">
            <x v="7"/>
          </reference>
          <reference field="17" count="1">
            <x v="28"/>
          </reference>
        </references>
      </pivotArea>
    </format>
    <format dxfId="88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5"/>
          </reference>
          <reference field="16" count="1" selected="0">
            <x v="8"/>
          </reference>
          <reference field="17" count="1">
            <x v="9"/>
          </reference>
        </references>
      </pivotArea>
    </format>
    <format dxfId="87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1"/>
          </reference>
          <reference field="16" count="1" selected="0">
            <x v="9"/>
          </reference>
          <reference field="17" count="1">
            <x v="0"/>
          </reference>
        </references>
      </pivotArea>
    </format>
    <format dxfId="86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53"/>
          </reference>
          <reference field="16" count="1" selected="0">
            <x v="9"/>
          </reference>
          <reference field="17" count="1">
            <x v="29"/>
          </reference>
        </references>
      </pivotArea>
    </format>
    <format dxfId="85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18"/>
          </reference>
          <reference field="16" count="1" selected="0">
            <x v="10"/>
          </reference>
          <reference field="17" count="1">
            <x v="4"/>
          </reference>
        </references>
      </pivotArea>
    </format>
    <format dxfId="84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8"/>
          </reference>
          <reference field="16" count="1" selected="0">
            <x v="12"/>
          </reference>
          <reference field="17" count="1">
            <x v="12"/>
          </reference>
        </references>
      </pivotArea>
    </format>
    <format dxfId="83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9"/>
          </reference>
          <reference field="16" count="1" selected="0">
            <x v="13"/>
          </reference>
          <reference field="17" count="1">
            <x v="8"/>
          </reference>
        </references>
      </pivotArea>
    </format>
    <format dxfId="82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2"/>
          </reference>
          <reference field="16" count="1" selected="0">
            <x v="13"/>
          </reference>
          <reference field="17" count="1">
            <x v="2"/>
          </reference>
        </references>
      </pivotArea>
    </format>
    <format dxfId="81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9"/>
          </reference>
          <reference field="16" count="1" selected="0">
            <x v="13"/>
          </reference>
          <reference field="17" count="1">
            <x v="1"/>
          </reference>
        </references>
      </pivotArea>
    </format>
    <format dxfId="80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1"/>
          </reference>
          <reference field="16" count="1" selected="0">
            <x v="14"/>
          </reference>
          <reference field="17" count="1">
            <x v="7"/>
          </reference>
        </references>
      </pivotArea>
    </format>
    <format dxfId="79">
      <pivotArea dataOnly="0" labelOnly="1" outline="0" fieldPosition="0">
        <references count="4">
          <reference field="3" count="1" selected="0">
            <x v="1"/>
          </reference>
          <reference field="8" count="1" selected="0">
            <x v="2"/>
          </reference>
          <reference field="16" count="1" selected="0">
            <x v="15"/>
          </reference>
          <reference field="17" count="1">
            <x v="7"/>
          </reference>
        </references>
      </pivotArea>
    </format>
    <format dxfId="78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3"/>
          </reference>
          <reference field="16" count="1" selected="0">
            <x v="0"/>
          </reference>
          <reference field="17" count="1">
            <x v="3"/>
          </reference>
        </references>
      </pivotArea>
    </format>
    <format dxfId="77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58"/>
          </reference>
          <reference field="16" count="1" selected="0">
            <x v="0"/>
          </reference>
          <reference field="17" count="1">
            <x v="31"/>
          </reference>
        </references>
      </pivotArea>
    </format>
    <format dxfId="76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17"/>
          </reference>
          <reference field="16" count="1" selected="0">
            <x v="1"/>
          </reference>
          <reference field="17" count="1">
            <x v="7"/>
          </reference>
        </references>
      </pivotArea>
    </format>
    <format dxfId="75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27"/>
          </reference>
          <reference field="16" count="1" selected="0">
            <x v="1"/>
          </reference>
          <reference field="17" count="1">
            <x v="7"/>
          </reference>
        </references>
      </pivotArea>
    </format>
    <format dxfId="74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6"/>
          </reference>
          <reference field="16" count="1" selected="0">
            <x v="2"/>
          </reference>
          <reference field="17" count="1">
            <x v="25"/>
          </reference>
        </references>
      </pivotArea>
    </format>
    <format dxfId="73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4"/>
          </reference>
          <reference field="16" count="1" selected="0">
            <x v="4"/>
          </reference>
          <reference field="17" count="1">
            <x v="15"/>
          </reference>
        </references>
      </pivotArea>
    </format>
    <format dxfId="72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5"/>
          </reference>
          <reference field="16" count="1" selected="0">
            <x v="5"/>
          </reference>
          <reference field="17" count="1">
            <x v="6"/>
          </reference>
        </references>
      </pivotArea>
    </format>
    <format dxfId="71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14"/>
          </reference>
          <reference field="16" count="1" selected="0">
            <x v="7"/>
          </reference>
          <reference field="17" count="1">
            <x v="11"/>
          </reference>
        </references>
      </pivotArea>
    </format>
    <format dxfId="70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15"/>
          </reference>
          <reference field="16" count="1" selected="0">
            <x v="7"/>
          </reference>
          <reference field="17" count="1">
            <x v="13"/>
          </reference>
        </references>
      </pivotArea>
    </format>
    <format dxfId="69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24"/>
          </reference>
          <reference field="16" count="1" selected="0">
            <x v="7"/>
          </reference>
          <reference field="17" count="1">
            <x v="7"/>
          </reference>
        </references>
      </pivotArea>
    </format>
    <format dxfId="68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0"/>
          </reference>
          <reference field="16" count="1" selected="0">
            <x v="7"/>
          </reference>
          <reference field="17" count="1">
            <x v="19"/>
          </reference>
        </references>
      </pivotArea>
    </format>
    <format dxfId="67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1"/>
          </reference>
          <reference field="16" count="1" selected="0">
            <x v="7"/>
          </reference>
          <reference field="17" count="1">
            <x v="20"/>
          </reference>
        </references>
      </pivotArea>
    </format>
    <format dxfId="66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5"/>
          </reference>
          <reference field="16" count="1" selected="0">
            <x v="8"/>
          </reference>
          <reference field="17" count="1">
            <x v="24"/>
          </reference>
        </references>
      </pivotArea>
    </format>
    <format dxfId="65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1"/>
          </reference>
          <reference field="16" count="1" selected="0">
            <x v="9"/>
          </reference>
          <reference field="17" count="1">
            <x v="3"/>
          </reference>
        </references>
      </pivotArea>
    </format>
    <format dxfId="64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8"/>
          </reference>
          <reference field="16" count="1" selected="0">
            <x v="9"/>
          </reference>
          <reference field="17" count="1">
            <x v="27"/>
          </reference>
        </references>
      </pivotArea>
    </format>
    <format dxfId="63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7"/>
          </reference>
          <reference field="16" count="1" selected="0">
            <x v="10"/>
          </reference>
          <reference field="17" count="1">
            <x v="26"/>
          </reference>
        </references>
      </pivotArea>
    </format>
    <format dxfId="62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57"/>
          </reference>
          <reference field="16" count="1" selected="0">
            <x v="10"/>
          </reference>
          <reference field="17" count="1">
            <x v="31"/>
          </reference>
        </references>
      </pivotArea>
    </format>
    <format dxfId="61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26"/>
          </reference>
          <reference field="16" count="1" selected="0">
            <x v="13"/>
          </reference>
          <reference field="17" count="1">
            <x v="6"/>
          </reference>
        </references>
      </pivotArea>
    </format>
    <format dxfId="60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2"/>
          </reference>
          <reference field="16" count="1" selected="0">
            <x v="13"/>
          </reference>
          <reference field="17" count="1">
            <x v="16"/>
          </reference>
        </references>
      </pivotArea>
    </format>
    <format dxfId="59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8"/>
          </reference>
          <reference field="16" count="1" selected="0">
            <x v="13"/>
          </reference>
          <reference field="17" count="1">
            <x v="17"/>
          </reference>
        </references>
      </pivotArea>
    </format>
    <format dxfId="58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39"/>
          </reference>
          <reference field="16" count="1" selected="0">
            <x v="13"/>
          </reference>
          <reference field="17" count="1">
            <x v="17"/>
          </reference>
        </references>
      </pivotArea>
    </format>
    <format dxfId="57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2"/>
          </reference>
          <reference field="16" count="1" selected="0">
            <x v="14"/>
          </reference>
          <reference field="17" count="1">
            <x v="21"/>
          </reference>
        </references>
      </pivotArea>
    </format>
    <format dxfId="56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3"/>
          </reference>
          <reference field="16" count="1" selected="0">
            <x v="14"/>
          </reference>
          <reference field="17" count="1">
            <x v="22"/>
          </reference>
        </references>
      </pivotArea>
    </format>
    <format dxfId="55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4"/>
          </reference>
          <reference field="16" count="1" selected="0">
            <x v="14"/>
          </reference>
          <reference field="17" count="1">
            <x v="23"/>
          </reference>
        </references>
      </pivotArea>
    </format>
    <format dxfId="54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54"/>
          </reference>
          <reference field="16" count="1" selected="0">
            <x v="14"/>
          </reference>
          <reference field="17" count="1">
            <x v="30"/>
          </reference>
        </references>
      </pivotArea>
    </format>
    <format dxfId="53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55"/>
          </reference>
          <reference field="16" count="1" selected="0">
            <x v="14"/>
          </reference>
          <reference field="17" count="1">
            <x v="30"/>
          </reference>
        </references>
      </pivotArea>
    </format>
    <format dxfId="52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49"/>
          </reference>
          <reference field="16" count="1" selected="0">
            <x v="15"/>
          </reference>
          <reference field="17" count="1">
            <x v="27"/>
          </reference>
        </references>
      </pivotArea>
    </format>
    <format dxfId="51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50"/>
          </reference>
          <reference field="16" count="1" selected="0">
            <x v="15"/>
          </reference>
          <reference field="17" count="1">
            <x v="26"/>
          </reference>
        </references>
      </pivotArea>
    </format>
    <format dxfId="50">
      <pivotArea dataOnly="0" labelOnly="1" outline="0" fieldPosition="0">
        <references count="4">
          <reference field="3" count="1" selected="0">
            <x v="2"/>
          </reference>
          <reference field="8" count="1" selected="0">
            <x v="56"/>
          </reference>
          <reference field="16" count="1" selected="0">
            <x v="15"/>
          </reference>
          <reference field="17" count="1">
            <x v="31"/>
          </reference>
        </references>
      </pivotArea>
    </format>
    <format dxfId="49">
      <pivotArea dataOnly="0" labelOnly="1" outline="0" fieldPosition="0">
        <references count="3">
          <reference field="3" count="1" selected="0">
            <x v="1"/>
          </reference>
          <reference field="8" count="4">
            <x v="9"/>
            <x v="22"/>
            <x v="29"/>
            <x v="60"/>
          </reference>
          <reference field="16" count="1" selected="0">
            <x v="13"/>
          </reference>
        </references>
      </pivotArea>
    </format>
    <format dxfId="48">
      <pivotArea type="origin" dataOnly="0" labelOnly="1" outline="0" fieldPosition="0"/>
    </format>
    <format dxfId="47">
      <pivotArea field="3" type="button" dataOnly="0" labelOnly="1" outline="0" axis="axisRow" fieldPosition="0"/>
    </format>
    <format dxfId="46">
      <pivotArea field="16" type="button" dataOnly="0" labelOnly="1" outline="0" axis="axisRow" fieldPosition="1"/>
    </format>
    <format dxfId="45">
      <pivotArea field="8" type="button" dataOnly="0" labelOnly="1" outline="0" axis="axisRow" fieldPosition="2"/>
    </format>
    <format dxfId="44">
      <pivotArea dataOnly="0" labelOnly="1" outline="0" fieldPosition="0">
        <references count="1">
          <reference field="3" count="2">
            <x v="1"/>
            <x v="2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2">
          <reference field="3" count="1" selected="0">
            <x v="1"/>
          </reference>
          <reference field="16" count="12">
            <x v="0"/>
            <x v="2"/>
            <x v="5"/>
            <x v="6"/>
            <x v="7"/>
            <x v="8"/>
            <x v="9"/>
            <x v="10"/>
            <x v="12"/>
            <x v="13"/>
            <x v="14"/>
            <x v="15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2"/>
          </reference>
          <reference field="16" count="13">
            <x v="0"/>
            <x v="1"/>
            <x v="2"/>
            <x v="4"/>
            <x v="5"/>
            <x v="7"/>
            <x v="8"/>
            <x v="9"/>
            <x v="10"/>
            <x v="13"/>
            <x v="14"/>
            <x v="15"/>
            <x v="17"/>
          </reference>
        </references>
      </pivotArea>
    </format>
    <format dxfId="40">
      <pivotArea dataOnly="0" labelOnly="1" outline="0" fieldPosition="0">
        <references count="3">
          <reference field="3" count="1" selected="0">
            <x v="1"/>
          </reference>
          <reference field="8" count="1">
            <x v="62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3">
          <reference field="3" count="1" selected="0">
            <x v="1"/>
          </reference>
          <reference field="8" count="2">
            <x v="19"/>
            <x v="30"/>
          </reference>
          <reference field="16" count="1" selected="0">
            <x v="2"/>
          </reference>
        </references>
      </pivotArea>
    </format>
    <format dxfId="38">
      <pivotArea dataOnly="0" labelOnly="1" outline="0" fieldPosition="0">
        <references count="3">
          <reference field="3" count="1" selected="0">
            <x v="1"/>
          </reference>
          <reference field="8" count="3">
            <x v="23"/>
            <x v="51"/>
            <x v="81"/>
          </reference>
          <reference field="16" count="1" selected="0">
            <x v="5"/>
          </reference>
        </references>
      </pivotArea>
    </format>
    <format dxfId="37">
      <pivotArea dataOnly="0" labelOnly="1" outline="0" fieldPosition="0">
        <references count="3">
          <reference field="3" count="1" selected="0">
            <x v="1"/>
          </reference>
          <reference field="8" count="1">
            <x v="5"/>
          </reference>
          <reference field="16" count="1" selected="0">
            <x v="6"/>
          </reference>
        </references>
      </pivotArea>
    </format>
    <format dxfId="36">
      <pivotArea dataOnly="0" labelOnly="1" outline="0" fieldPosition="0">
        <references count="3">
          <reference field="3" count="1" selected="0">
            <x v="1"/>
          </reference>
          <reference field="8" count="5">
            <x v="3"/>
            <x v="13"/>
            <x v="20"/>
            <x v="52"/>
            <x v="74"/>
          </reference>
          <reference field="16" count="1" selected="0">
            <x v="7"/>
          </reference>
        </references>
      </pivotArea>
    </format>
    <format dxfId="35">
      <pivotArea dataOnly="0" labelOnly="1" outline="0" fieldPosition="0">
        <references count="3">
          <reference field="3" count="1" selected="0">
            <x v="1"/>
          </reference>
          <reference field="8" count="1">
            <x v="25"/>
          </reference>
          <reference field="16" count="1" selected="0">
            <x v="8"/>
          </reference>
        </references>
      </pivotArea>
    </format>
    <format dxfId="34">
      <pivotArea dataOnly="0" labelOnly="1" outline="0" fieldPosition="0">
        <references count="3">
          <reference field="3" count="1" selected="0">
            <x v="1"/>
          </reference>
          <reference field="8" count="2">
            <x v="21"/>
            <x v="53"/>
          </reference>
          <reference field="16" count="1" selected="0">
            <x v="9"/>
          </reference>
        </references>
      </pivotArea>
    </format>
    <format dxfId="33">
      <pivotArea dataOnly="0" labelOnly="1" outline="0" fieldPosition="0">
        <references count="3">
          <reference field="3" count="1" selected="0">
            <x v="1"/>
          </reference>
          <reference field="8" count="1">
            <x v="63"/>
          </reference>
          <reference field="16" count="1" selected="0">
            <x v="10"/>
          </reference>
        </references>
      </pivotArea>
    </format>
    <format dxfId="32">
      <pivotArea dataOnly="0" labelOnly="1" outline="0" fieldPosition="0">
        <references count="3">
          <reference field="3" count="1" selected="0">
            <x v="1"/>
          </reference>
          <reference field="8" count="1">
            <x v="28"/>
          </reference>
          <reference field="16" count="1" selected="0">
            <x v="12"/>
          </reference>
        </references>
      </pivotArea>
    </format>
    <format dxfId="31">
      <pivotArea dataOnly="0" labelOnly="1" outline="0" fieldPosition="0">
        <references count="3">
          <reference field="3" count="1" selected="0">
            <x v="1"/>
          </reference>
          <reference field="8" count="4">
            <x v="9"/>
            <x v="22"/>
            <x v="29"/>
            <x v="69"/>
          </reference>
          <reference field="16" count="1" selected="0">
            <x v="13"/>
          </reference>
        </references>
      </pivotArea>
    </format>
    <format dxfId="30">
      <pivotArea dataOnly="0" labelOnly="1" outline="0" fieldPosition="0">
        <references count="3">
          <reference field="3" count="1" selected="0">
            <x v="1"/>
          </reference>
          <reference field="8" count="2">
            <x v="1"/>
            <x v="77"/>
          </reference>
          <reference field="16" count="1" selected="0">
            <x v="14"/>
          </reference>
        </references>
      </pivotArea>
    </format>
    <format dxfId="29">
      <pivotArea dataOnly="0" labelOnly="1" outline="0" fieldPosition="0">
        <references count="3">
          <reference field="3" count="1" selected="0">
            <x v="1"/>
          </reference>
          <reference field="8" count="2">
            <x v="2"/>
            <x v="84"/>
          </reference>
          <reference field="16" count="1" selected="0">
            <x v="15"/>
          </reference>
        </references>
      </pivotArea>
    </format>
    <format dxfId="28">
      <pivotArea dataOnly="0" labelOnly="1" outline="0" fieldPosition="0">
        <references count="3">
          <reference field="3" count="1" selected="0">
            <x v="2"/>
          </reference>
          <reference field="8" count="3">
            <x v="33"/>
            <x v="58"/>
            <x v="83"/>
          </reference>
          <reference field="16" count="1" selected="0">
            <x v="0"/>
          </reference>
        </references>
      </pivotArea>
    </format>
    <format dxfId="27">
      <pivotArea dataOnly="0" labelOnly="1" outline="0" fieldPosition="0">
        <references count="3">
          <reference field="3" count="1" selected="0">
            <x v="2"/>
          </reference>
          <reference field="8" count="2">
            <x v="17"/>
            <x v="27"/>
          </reference>
          <reference field="16" count="1" selected="0">
            <x v="1"/>
          </reference>
        </references>
      </pivotArea>
    </format>
    <format dxfId="26">
      <pivotArea dataOnly="0" labelOnly="1" outline="0" fieldPosition="0">
        <references count="3">
          <reference field="3" count="1" selected="0">
            <x v="2"/>
          </reference>
          <reference field="8" count="3">
            <x v="46"/>
            <x v="71"/>
            <x v="86"/>
          </reference>
          <reference field="16" count="1" selected="0">
            <x v="2"/>
          </reference>
        </references>
      </pivotArea>
    </format>
    <format dxfId="25">
      <pivotArea dataOnly="0" labelOnly="1" outline="0" fieldPosition="0">
        <references count="3">
          <reference field="3" count="1" selected="0">
            <x v="2"/>
          </reference>
          <reference field="8" count="2">
            <x v="34"/>
            <x v="36"/>
          </reference>
          <reference field="16" count="1" selected="0">
            <x v="4"/>
          </reference>
        </references>
      </pivotArea>
    </format>
    <format dxfId="24">
      <pivotArea dataOnly="0" labelOnly="1" outline="0" fieldPosition="0">
        <references count="3">
          <reference field="3" count="1" selected="0">
            <x v="2"/>
          </reference>
          <reference field="8" count="1">
            <x v="35"/>
          </reference>
          <reference field="16" count="1" selected="0">
            <x v="5"/>
          </reference>
        </references>
      </pivotArea>
    </format>
    <format dxfId="23">
      <pivotArea dataOnly="0" labelOnly="1" outline="0" fieldPosition="0">
        <references count="3">
          <reference field="3" count="1" selected="0">
            <x v="2"/>
          </reference>
          <reference field="8" count="8">
            <x v="14"/>
            <x v="15"/>
            <x v="24"/>
            <x v="40"/>
            <x v="41"/>
            <x v="67"/>
            <x v="72"/>
            <x v="75"/>
          </reference>
          <reference field="16" count="1" selected="0">
            <x v="7"/>
          </reference>
        </references>
      </pivotArea>
    </format>
    <format dxfId="22">
      <pivotArea dataOnly="0" labelOnly="1" outline="0" fieldPosition="0">
        <references count="3">
          <reference field="3" count="1" selected="0">
            <x v="2"/>
          </reference>
          <reference field="8" count="2">
            <x v="45"/>
            <x v="70"/>
          </reference>
          <reference field="16" count="1" selected="0">
            <x v="8"/>
          </reference>
        </references>
      </pivotArea>
    </format>
    <format dxfId="21">
      <pivotArea dataOnly="0" labelOnly="1" outline="0" fieldPosition="0">
        <references count="3">
          <reference field="3" count="1" selected="0">
            <x v="2"/>
          </reference>
          <reference field="8" count="3">
            <x v="31"/>
            <x v="48"/>
            <x v="76"/>
          </reference>
          <reference field="16" count="1" selected="0">
            <x v="9"/>
          </reference>
        </references>
      </pivotArea>
    </format>
    <format dxfId="20">
      <pivotArea dataOnly="0" labelOnly="1" outline="0" fieldPosition="0">
        <references count="3">
          <reference field="3" count="1" selected="0">
            <x v="2"/>
          </reference>
          <reference field="8" count="2">
            <x v="47"/>
            <x v="57"/>
          </reference>
          <reference field="16" count="1" selected="0">
            <x v="10"/>
          </reference>
        </references>
      </pivotArea>
    </format>
    <format dxfId="19">
      <pivotArea dataOnly="0" labelOnly="1" outline="0" fieldPosition="0">
        <references count="3">
          <reference field="3" count="1" selected="0">
            <x v="2"/>
          </reference>
          <reference field="8" count="8">
            <x v="26"/>
            <x v="32"/>
            <x v="38"/>
            <x v="39"/>
            <x v="61"/>
            <x v="64"/>
            <x v="68"/>
            <x v="73"/>
          </reference>
          <reference field="16" count="1" selected="0">
            <x v="13"/>
          </reference>
        </references>
      </pivotArea>
    </format>
    <format dxfId="18">
      <pivotArea dataOnly="0" labelOnly="1" outline="0" fieldPosition="0">
        <references count="3">
          <reference field="3" count="1" selected="0">
            <x v="2"/>
          </reference>
          <reference field="8" count="11">
            <x v="42"/>
            <x v="43"/>
            <x v="44"/>
            <x v="54"/>
            <x v="55"/>
            <x v="59"/>
            <x v="65"/>
            <x v="78"/>
            <x v="79"/>
            <x v="80"/>
            <x v="82"/>
          </reference>
          <reference field="16" count="1" selected="0">
            <x v="14"/>
          </reference>
        </references>
      </pivotArea>
    </format>
    <format dxfId="17">
      <pivotArea dataOnly="0" labelOnly="1" outline="0" fieldPosition="0">
        <references count="3">
          <reference field="3" count="1" selected="0">
            <x v="2"/>
          </reference>
          <reference field="8" count="3">
            <x v="49"/>
            <x v="50"/>
            <x v="56"/>
          </reference>
          <reference field="16" count="1" selected="0">
            <x v="15"/>
          </reference>
        </references>
      </pivotArea>
    </format>
    <format dxfId="16">
      <pivotArea dataOnly="0" labelOnly="1" outline="0" fieldPosition="0">
        <references count="3">
          <reference field="3" count="1" selected="0">
            <x v="2"/>
          </reference>
          <reference field="8" count="1">
            <x v="66"/>
          </reference>
          <reference field="16" count="1" selected="0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9DCBE6-7332-E44E-807F-536F2C1B82BE}" name="Parties" displayName="Parties" ref="A1:N73" totalsRowShown="0" headerRowDxfId="198" dataDxfId="197">
  <autoFilter ref="A1:N73" xr:uid="{2B19F555-0158-4C4C-A4E9-0EA83BF5AA89}"/>
  <tableColumns count="14">
    <tableColumn id="3" xr3:uid="{56B483AC-345C-B340-B3BA-D3FA6522AD4D}" name="Type" dataDxfId="196"/>
    <tableColumn id="4" xr3:uid="{A7439DEE-8912-5D41-9645-28C18D85863A}" name="Contracting Party Legal Entity Name" dataDxfId="195"/>
    <tableColumn id="5" xr3:uid="{F2F0856E-C419-6847-A099-BD368286F8E2}" name="Org Type" dataDxfId="194"/>
    <tableColumn id="27" xr3:uid="{655EA5C5-7345-4676-803D-76BAF495706B}" name="Business Reg. No. " dataDxfId="193"/>
    <tableColumn id="31" xr3:uid="{C7DEDD3C-A7A9-DD43-8CA9-96ADAFED83E5}" name="Party LEI" dataDxfId="192"/>
    <tableColumn id="26" xr3:uid="{EB38751F-F424-4FE0-877C-F2953E865E4E}" name="Primary Contact(s)" dataDxfId="191"/>
    <tableColumn id="20" xr3:uid="{FCA9FA09-E98B-1243-A821-707FF7126411}" name="Contact Number(s)" dataDxfId="190"/>
    <tableColumn id="23" xr3:uid="{35D997DD-755A-554F-98BA-4786F96B1635}" name="Affiliate Model" dataDxfId="189"/>
    <tableColumn id="7" xr3:uid="{3D02804A-79C5-7A4D-8ABD-517A33A3F10E}" name="MSA Effective Date" dataDxfId="188"/>
    <tableColumn id="24" xr3:uid="{2295CFE1-0416-AC49-928E-0AA8743E7B0D}" name="Billing Address" dataDxfId="187"/>
    <tableColumn id="2" xr3:uid="{014AA345-F3BE-F54F-84FE-39E1D0F209B9}" name="Billing Email Notifications" dataDxfId="186"/>
    <tableColumn id="1" xr3:uid="{E2F15AF3-679E-B148-90CF-CE136D0D4F56}" name="Active Subscription" dataDxfId="2" dataCellStyle="Hyperlink">
      <calculatedColumnFormula>COUNTIFS('DB - Subscriptions'!c_parties,Parties[[#This Row],[Contracting Party Legal Entity Name]],'DB - Subscriptions'!R:R,"OK")</calculatedColumnFormula>
    </tableColumn>
    <tableColumn id="6" xr3:uid="{F06B1E46-9F26-154D-AA60-CFD43FB6AAD8}" name="# Events" dataDxfId="0">
      <calculatedColumnFormula array="1">SUMIF('DB - Subscriptions'!V:V,'DB - Subscriptions'!c_parties,Parties[[#This Row],[Contracting Party Legal Entity Name]])</calculatedColumnFormula>
    </tableColumn>
    <tableColumn id="8" xr3:uid="{2D3E1FC0-C51B-934E-BBDE-2FF10C85FE2D}" name="Time to First Transaction" dataDxfId="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7F9D9B1-96AA-824B-B861-19C77638F9D4}" name="Parties6" displayName="Parties6" ref="B1:V73" totalsRowShown="0" headerRowDxfId="185" dataDxfId="184">
  <autoFilter ref="B1:V73" xr:uid="{2B19F555-0158-4C4C-A4E9-0EA83BF5AA89}"/>
  <tableColumns count="21">
    <tableColumn id="4" xr3:uid="{88612BC8-E3E1-1741-9720-FEEC533C1796}" name="Contracting Party Legal Entity Name" dataDxfId="183"/>
    <tableColumn id="5" xr3:uid="{1871AB34-9084-DA42-9F7A-BCA8A016EA8C}" name="MSA Effective Date" dataDxfId="182">
      <calculatedColumnFormula>_xlfn.XLOOKUP(Parties6[[#This Row],[Contracting Party Legal Entity Name]],c_parties,'DB - Contracting Parties'!I:I)</calculatedColumnFormula>
    </tableColumn>
    <tableColumn id="20" xr3:uid="{39FBC6E0-9B4B-6A44-8B46-D79F1912EF32}" name="Deal ID" dataDxfId="181"/>
    <tableColumn id="15" xr3:uid="{EB6C083D-A519-1F46-A744-E3BA0F6BF600}" name="Subscription Start Date" dataDxfId="180"/>
    <tableColumn id="8" xr3:uid="{677E3B93-241C-4D46-BE80-0E1794018595}" name="Billing Start" dataDxfId="179"/>
    <tableColumn id="9" xr3:uid="{A69C598F-6340-7C49-A6FE-A360E66AEE13}" name="Billing End" dataDxfId="178"/>
    <tableColumn id="1" xr3:uid="{2E04947A-76D9-9C40-B31D-8FA71A0261D0}" name="Initiative" dataDxfId="15"/>
    <tableColumn id="10" xr3:uid="{EB3DF041-0A19-C943-B204-CB4737A37BDA}" name="Identity Purchased " dataDxfId="177"/>
    <tableColumn id="19" xr3:uid="{E9C3C2A1-6213-F544-922B-210DA90B8C12}" name="Identity Price (USD)" dataDxfId="176"/>
    <tableColumn id="11" xr3:uid="{F9BBF8CF-DD99-024A-A084-092281226BAA}" name="Dedicated Nodes" dataDxfId="175"/>
    <tableColumn id="6" xr3:uid="{84093D2C-CA3D-8F4E-8579-D91F056D1835}" name="Hosting Type" dataDxfId="174"/>
    <tableColumn id="18" xr3:uid="{98F49262-A396-D84F-BE84-AB1686CDF82B}" name="Node Price (USD)" dataDxfId="173" dataCellStyle="Currency"/>
    <tableColumn id="12" xr3:uid="{9B76D871-782A-DE4C-9361-905BA390B162}" name="CNF Sponsored" dataDxfId="172"/>
    <tableColumn id="16" xr3:uid="{EA65593C-5B93-FE4A-95EE-E617E8C9149C}" name="Invoice Total Amount (USD)" dataDxfId="171"/>
    <tableColumn id="13" xr3:uid="{99568369-834E-CF46-9A61-C94312C73DB2}" name="Invoice Sent" dataDxfId="170"/>
    <tableColumn id="22" xr3:uid="{DC04B264-D666-DE48-B977-A65EEB552005}" name="Days to Expiry2" dataDxfId="169" dataCellStyle="Comma">
      <calculatedColumnFormula>_xlfn.DAYS(G2,NOW())</calculatedColumnFormula>
    </tableColumn>
    <tableColumn id="21" xr3:uid="{C4AF9EF4-9E19-E642-8A18-10DBB44409FC}" name="Subscription Status" dataDxfId="168" dataCellStyle="Comma">
      <calculatedColumnFormula>IF(Parties6[[#This Row],[Days to Expiry2]]&gt;0, "OK", "EXPIRED")</calculatedColumnFormula>
    </tableColumn>
    <tableColumn id="17" xr3:uid="{6D766096-3242-7745-BF6E-5BD74208A554}" name="Active Identities" dataDxfId="167">
      <calculatedColumnFormula>COUNTIFS('DB - Identities'!A:A,A2,'DB - Identities'!V:V,"Active")</calculatedColumnFormula>
    </tableColumn>
    <tableColumn id="14" xr3:uid="{59A6A2E0-4FA3-A74D-9DD3-C3557B53E760}" name="Too Many Identites ?" dataDxfId="166">
      <calculatedColumnFormula>IF(Parties6[[#This Row],[Active Identities]]&gt;Parties6[[#This Row],[Identity Purchased ]],"ERROR", "OK")</calculatedColumnFormula>
    </tableColumn>
    <tableColumn id="28" xr3:uid="{AF8A9BA6-C988-A246-BB0A-4C61E3584106}" name="# Events this month" dataDxfId="165">
      <calculatedColumnFormula>SUMIF('DB - Identities'!A:A,A2,'DB - Identities'!AA:AA)</calculatedColumnFormula>
    </tableColumn>
    <tableColumn id="30" xr3:uid="{CEC04810-2C45-034D-B545-1936EEA037FB}" name="Total # of Events" dataDxfId="164">
      <calculatedColumnFormula>SUMIF('DB - Identities'!A:A,A2,'DB - Identities'!AB:AB)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C11C1F-E7B9-3247-B97D-07593F36830E}" name="Table4" displayName="Table4" ref="A1:I383" totalsRowShown="0">
  <autoFilter ref="A1:I383" xr:uid="{034ABC58-8E78-6E42-B0D5-3AA2EF8CEE49}"/>
  <tableColumns count="9">
    <tableColumn id="1" xr3:uid="{238EC1B5-80CC-A94D-9DE0-339AE11AFFC9}" name="Code" dataDxfId="163"/>
    <tableColumn id="2" xr3:uid="{F85D1380-ACF8-694C-9680-4C21B3161533}" name="Initiative"/>
    <tableColumn id="3" xr3:uid="{F10107D9-A6A3-3D4B-A8D4-16C13E1876E5}" name="Issued To"/>
    <tableColumn id="4" xr3:uid="{5A73E7FD-048E-EC44-88A0-7F985BD81BA2}" name="Expiry"/>
    <tableColumn id="8" xr3:uid="{4224CACE-2AA4-5C44-AD58-157B45A21C5B}" name="Discount"/>
    <tableColumn id="5" xr3:uid="{8A5B405C-2942-2C44-91FA-AFE0FBD57BB3}" name="Planned For"/>
    <tableColumn id="6" xr3:uid="{DFA5B1CC-0A01-A04F-BAC7-9229759B199E}" name="In Use By" dataDxfId="162">
      <calculatedColumnFormula>_xlfn.XLOOKUP(Table4[[#This Row],[Code]],'DB - Identities'!G:G,'DB - Identities'!B:B,"Not Used")</calculatedColumnFormula>
    </tableColumn>
    <tableColumn id="7" xr3:uid="{AD2AE925-F5AD-814D-B0DD-8C8109B33A70}" name="Set-up Date"/>
    <tableColumn id="9" xr3:uid="{C36DFE41-AADB-4002-9E21-CA365F7E99B7}" name="Column1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450EA4-FD9C-1641-83A5-3DD30EF3152F}" name="identities_t" displayName="identities_t" ref="A1:AD89" totalsRowShown="0" headerRowDxfId="161" dataDxfId="160" tableBorderDxfId="159">
  <autoFilter ref="A1:AD89" xr:uid="{71ABEF68-688A-0E46-86E3-4FDB3BFEBB8E}"/>
  <tableColumns count="30">
    <tableColumn id="1" xr3:uid="{FCEC3D4B-A6B2-5E43-B2E4-19B44870D26F}" name="Subscription ID" dataDxfId="158"/>
    <tableColumn id="2" xr3:uid="{3AAB8C0A-39D1-3647-9A77-FD19E25B8D12}" name="Contracting Party" dataDxfId="157">
      <calculatedColumnFormula>_xlfn.XLOOKUP(identities_t[[#This Row],[Subscription ID]],'DB - Subscriptions'!A:A,'DB - Subscriptions'!c_parties,"ERROR")</calculatedColumnFormula>
    </tableColumn>
    <tableColumn id="31" xr3:uid="{12569868-C90B-BA4B-9719-B579519D2965}" name="Subscription Status" dataDxfId="156">
      <calculatedColumnFormula>_xlfn.XLOOKUP(identities_t[[#This Row],[Subscription ID]],'DB - Subscriptions'!A:A,'DB - Subscriptions'!Q:Q)</calculatedColumnFormula>
    </tableColumn>
    <tableColumn id="15" xr3:uid="{7A89769C-8E83-1549-A5E3-8BB602E45411}" name="Type" dataDxfId="155">
      <calculatedColumnFormula>_xlfn.XLOOKUP(identities_t[[#This Row],[Contracting Party]],c_parties,'DB - Contracting Parties'!C:C)</calculatedColumnFormula>
    </tableColumn>
    <tableColumn id="20" xr3:uid="{2A5DC361-6E58-4D45-9543-F429F8A1F2F0}" name="Internal" dataDxfId="154">
      <calculatedColumnFormula>IF(identities_t[[#This Row],[Contracting Party]]="Contour Pte. Ltd.", TRUE, FALSE)</calculatedColumnFormula>
    </tableColumn>
    <tableColumn id="3" xr3:uid="{0956383C-A9CA-5844-9145-69D601E5CD5E}" name="Jira Ref" dataDxfId="153"/>
    <tableColumn id="23" xr3:uid="{39D25723-1B18-EB43-A00A-E0BA86D0F6FD}" name="Initiative Code" dataDxfId="152"/>
    <tableColumn id="25" xr3:uid="{CD9F1C6B-74A0-1649-BC05-84DA0733B7DD}" name="Initiative" dataDxfId="151">
      <calculatedColumnFormula>_xlfn.XLOOKUP(identities_t[[#This Row],[Initiative Code]],Codes!A:A,Codes!B:B,"N/A")</calculatedColumnFormula>
    </tableColumn>
    <tableColumn id="5" xr3:uid="{80819700-4072-864F-87E4-F443884DD951}" name="Contour Identity" dataDxfId="150"/>
    <tableColumn id="4" xr3:uid="{D24BB1CF-F748-F541-AA00-38A170DF2339}" name="Identity Legal Entity Name (O)" dataDxfId="149"/>
    <tableColumn id="29" xr3:uid="{A91C9631-1539-B743-BF01-5E2E2EE0951E}" name="Identity BIC" dataDxfId="148"/>
    <tableColumn id="27" xr3:uid="{71635685-C442-5C40-9E13-FA543877A76B}" name="Identity LEI" dataDxfId="147"/>
    <tableColumn id="26" xr3:uid="{337A49D0-C61A-7243-8F9E-2F0D0905603B}" name="Identity Reg Number" dataDxfId="146"/>
    <tableColumn id="6" xr3:uid="{749422A9-2474-7A48-915D-E9C4EC208222}" name="X500-O" dataDxfId="145">
      <calculatedColumnFormula>identities_t[[#This Row],[Identity Legal Entity Name (O)]]</calculatedColumnFormula>
    </tableColumn>
    <tableColumn id="7" xr3:uid="{6AB1DD23-D47F-6E43-9B7D-B49EEAD70953}" name="X500-OU" dataDxfId="144"/>
    <tableColumn id="8" xr3:uid="{96730340-6F38-AD4C-AA1E-EA1EA0F75377}" name="X500-L" dataDxfId="143"/>
    <tableColumn id="9" xr3:uid="{3252914A-A1B9-5B49-AE7D-18229F997A53}" name="X500-C" dataDxfId="142"/>
    <tableColumn id="10" xr3:uid="{882F2E86-8AE4-B74B-8D1C-2164E8499F65}" name="Set-up Date" dataDxfId="141"/>
    <tableColumn id="11" xr3:uid="{ECCDCE28-3F43-A245-A4A6-17B71CDB7F3E}" name="Hosting Type" dataDxfId="140"/>
    <tableColumn id="19" xr3:uid="{F2C0CFC7-9358-7844-B2B0-F0040AEBCB55}" name="Identity Contacts (CSV)" dataDxfId="139"/>
    <tableColumn id="12" xr3:uid="{68FF00FC-ED42-224C-9533-28A765A0C7CB}" name="Full X500" dataDxfId="138">
      <calculatedColumnFormula>LOWER("OU="&amp;'DB - Identities'!$O2&amp;", O="&amp;'DB - Identities'!$N2&amp;", L="&amp;'DB - Identities'!$P2&amp;", C="&amp;'DB - Identities'!$Q2)</calculatedColumnFormula>
    </tableColumn>
    <tableColumn id="16" xr3:uid="{A6FCA305-CE05-7E42-9292-0E8188BA74CF}" name="BNO DB Status" dataDxfId="137">
      <calculatedColumnFormula>_xlfn.XLOOKUP(identities_t[[#This Row],[Full X500]],'Input 3 - BNO Members'!A:A,'Input 3 - BNO Members'!C:C,"ERROR")</calculatedColumnFormula>
    </tableColumn>
    <tableColumn id="17" xr3:uid="{CD2D109C-3E08-6643-BD64-242B1C215FB6}" name="BNO ID" dataDxfId="136">
      <calculatedColumnFormula>_xlfn.XLOOKUP(identities_t[[#This Row],[Full X500]],'Input 3 - BNO Members'!A:A,'Input 3 - BNO Members'!B:B,"ERROR")</calculatedColumnFormula>
    </tableColumn>
    <tableColumn id="24" xr3:uid="{3655C54F-4785-744E-AD24-8533FAEFDEB0}" name="Cordapp Version" dataDxfId="135">
      <calculatedColumnFormula>_xlfn.XLOOKUP(U:U,'Input 3 - BNO Members'!A:A,'Input 3 - BNO Members'!E:E)</calculatedColumnFormula>
    </tableColumn>
    <tableColumn id="18" xr3:uid="{6D64F91B-51DC-D149-A1DD-1152D58DFAEC}" name="CNF Sponsored" dataDxfId="134">
      <calculatedColumnFormula>IF(_xlfn.XLOOKUP(identities_t[[#This Row],[Full X500]],'CNF Sponsorship'!B:B,'CNF Sponsorship'!A:A,"ERROR")&lt;&gt;"ERROR","OK","ERROR")</calculatedColumnFormula>
    </tableColumn>
    <tableColumn id="13" xr3:uid="{2FC8317E-DD5F-EA4D-B098-0A2779B77178}" name="Billing Run Result" dataDxfId="133">
      <calculatedColumnFormula>_xlfn.XLOOKUP(identities_t[[#This Row],[BNO ID]],'Input 1 - Billing Run'!A:A,'Input 1 - Billing Run'!C:C,"NOT FOUND")</calculatedColumnFormula>
    </tableColumn>
    <tableColumn id="14" xr3:uid="{8A6D5BF0-177B-7341-BFDE-54C51A776753}" name="Events This Month" dataDxfId="132">
      <calculatedColumnFormula>COUNTIF('Input 2 - Transactions'!C:C,identities_t[[#This Row],[BNO ID]])</calculatedColumnFormula>
    </tableColumn>
    <tableColumn id="22" xr3:uid="{1EAC6EE1-BE63-4849-AB4C-6B7839BB2692}" name="Total Events" dataDxfId="131">
      <calculatedColumnFormula>_xlfn.IFNA(_xlfn.XLOOKUP(identities_t[[#This Row],[BNO ID]],'Input 1 - Billing Run'!A:A,'Input 1 - Billing Run'!F:F),0)</calculatedColumnFormula>
    </tableColumn>
    <tableColumn id="21" xr3:uid="{31350669-C30C-4A30-B0EE-BA4D74A14386}" name="BNMS vs BNO" dataDxfId="130">
      <calculatedColumnFormula>IF(_xlfn.XLOOKUP(identities_t[[#This Row],[Full X500]],'BNO Recon'!B:B,'BNO Recon'!AC:AC,"ERROR")&lt;&gt;"ERROR","OK","ERROR")</calculatedColumnFormula>
    </tableColumn>
    <tableColumn id="28" xr3:uid="{F65E537D-4E1B-5F48-888E-18CB8DFB2DD2}" name="TBC" dataDxfId="12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34F39C-1DDA-9644-B7F7-E5296EC13AB9}" name="Table3" displayName="Table3" ref="A1:F139" totalsRowShown="0">
  <tableColumns count="6">
    <tableColumn id="1" xr3:uid="{10470FDF-E0CF-AC42-8441-B307401ED679}" name="member_name"/>
    <tableColumn id="2" xr3:uid="{106D35CC-2C07-ED41-92DB-74724493213B}" name="client_id"/>
    <tableColumn id="3" xr3:uid="{42498752-9F09-D342-86FA-4AED47F5310B}" name="Status"/>
    <tableColumn id="4" xr3:uid="{CE23EDA5-5906-AE4A-A213-9E2C965DF1E0}" name="Recorded_Timestamp" dataDxfId="128"/>
    <tableColumn id="6" xr3:uid="{B5FB5402-1DAC-8A40-B793-BA6204695CC2}" name="CorDapp Version"/>
    <tableColumn id="7" xr3:uid="{381AECCE-4F78-8C48-A4FB-D5F0BB26D419}" name="Others?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8" dT="2021-09-01T04:06:21.30" personId="{8539227E-98D5-4D9F-A009-4479B8A2F82E}" id="{8BC863D8-EB47-4AC7-BE25-597BA91D26F9}">
    <text>Bhamas reg number - not UAE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verachin.silva@vale.com" TargetMode="External"/><Relationship Id="rId18" Type="http://schemas.openxmlformats.org/officeDocument/2006/relationships/hyperlink" Target="mailto:xuyiwei@itg.com.cn" TargetMode="External"/><Relationship Id="rId26" Type="http://schemas.openxmlformats.org/officeDocument/2006/relationships/hyperlink" Target="mailto:celly@aristagloves.com" TargetMode="External"/><Relationship Id="rId39" Type="http://schemas.openxmlformats.org/officeDocument/2006/relationships/hyperlink" Target="mailto:lokechoong.foo@angloamerican.com" TargetMode="External"/><Relationship Id="rId21" Type="http://schemas.openxmlformats.org/officeDocument/2006/relationships/hyperlink" Target="mailto:poinvoice.ukie@citi.com" TargetMode="External"/><Relationship Id="rId34" Type="http://schemas.openxmlformats.org/officeDocument/2006/relationships/hyperlink" Target="mailto:govindasamy.devaraj@sc.com" TargetMode="External"/><Relationship Id="rId42" Type="http://schemas.openxmlformats.org/officeDocument/2006/relationships/hyperlink" Target="mailto:nijie@hbisco.com" TargetMode="External"/><Relationship Id="rId47" Type="http://schemas.openxmlformats.org/officeDocument/2006/relationships/hyperlink" Target="mailto:ivl_finance_trade@indorama.net" TargetMode="External"/><Relationship Id="rId50" Type="http://schemas.openxmlformats.org/officeDocument/2006/relationships/hyperlink" Target="mailto:ivl_finance_trade@indorama.net" TargetMode="External"/><Relationship Id="rId55" Type="http://schemas.openxmlformats.org/officeDocument/2006/relationships/hyperlink" Target="mailto:syed_harun@mj-group.com" TargetMode="External"/><Relationship Id="rId7" Type="http://schemas.openxmlformats.org/officeDocument/2006/relationships/hyperlink" Target="mailto:hsastiawan@permatabank.co.id" TargetMode="External"/><Relationship Id="rId2" Type="http://schemas.openxmlformats.org/officeDocument/2006/relationships/hyperlink" Target="mailto:Kajohnsak.manaviriyakul@bangkokbank.com" TargetMode="External"/><Relationship Id="rId16" Type="http://schemas.openxmlformats.org/officeDocument/2006/relationships/hyperlink" Target="mailto:pchung@hbisco.com" TargetMode="External"/><Relationship Id="rId29" Type="http://schemas.openxmlformats.org/officeDocument/2006/relationships/hyperlink" Target="mailto:thanhtra@scg.com" TargetMode="External"/><Relationship Id="rId11" Type="http://schemas.openxmlformats.org/officeDocument/2006/relationships/hyperlink" Target="mailto:mohammad-raisul.amin@sc.com" TargetMode="External"/><Relationship Id="rId24" Type="http://schemas.openxmlformats.org/officeDocument/2006/relationships/hyperlink" Target="mailto:patcharm@scg.com" TargetMode="External"/><Relationship Id="rId32" Type="http://schemas.openxmlformats.org/officeDocument/2006/relationships/hyperlink" Target="mailto:nutthawan@thailandanthracite.com" TargetMode="External"/><Relationship Id="rId37" Type="http://schemas.openxmlformats.org/officeDocument/2006/relationships/hyperlink" Target="mailto:purchase@longtex.co.th" TargetMode="External"/><Relationship Id="rId40" Type="http://schemas.openxmlformats.org/officeDocument/2006/relationships/hyperlink" Target="mailto:WINFAITHFINANCE@SUMEC.COM.CN" TargetMode="External"/><Relationship Id="rId45" Type="http://schemas.openxmlformats.org/officeDocument/2006/relationships/hyperlink" Target="mailto:lokechoong.foo@angloamerican.com" TargetMode="External"/><Relationship Id="rId53" Type="http://schemas.openxmlformats.org/officeDocument/2006/relationships/hyperlink" Target="mailto:ivl_finance_trade@indorama.net" TargetMode="External"/><Relationship Id="rId58" Type="http://schemas.openxmlformats.org/officeDocument/2006/relationships/hyperlink" Target="mailto:syed_harun@mj-group.com" TargetMode="External"/><Relationship Id="rId5" Type="http://schemas.openxmlformats.org/officeDocument/2006/relationships/hyperlink" Target="mailto:office@fuchuen.com" TargetMode="External"/><Relationship Id="rId61" Type="http://schemas.openxmlformats.org/officeDocument/2006/relationships/hyperlink" Target="mailto:zhangsuxin@chinavalin.com" TargetMode="External"/><Relationship Id="rId19" Type="http://schemas.openxmlformats.org/officeDocument/2006/relationships/hyperlink" Target="mailto:jenny.gunawan@capcx.com" TargetMode="External"/><Relationship Id="rId14" Type="http://schemas.openxmlformats.org/officeDocument/2006/relationships/hyperlink" Target="mailto:horikawa_koji@rk.smbc.co.jp" TargetMode="External"/><Relationship Id="rId22" Type="http://schemas.openxmlformats.org/officeDocument/2006/relationships/hyperlink" Target="mailto:mayuree@mtlo.co.th" TargetMode="External"/><Relationship Id="rId27" Type="http://schemas.openxmlformats.org/officeDocument/2006/relationships/hyperlink" Target="mailto:tthoakt@anphatbioplastics.com" TargetMode="External"/><Relationship Id="rId30" Type="http://schemas.openxmlformats.org/officeDocument/2006/relationships/hyperlink" Target="mailto:teamaccounts@macworldinc.com" TargetMode="External"/><Relationship Id="rId35" Type="http://schemas.openxmlformats.org/officeDocument/2006/relationships/hyperlink" Target="mailto:mohammad.usman@ingrammicro.com" TargetMode="External"/><Relationship Id="rId43" Type="http://schemas.openxmlformats.org/officeDocument/2006/relationships/hyperlink" Target="mailto:tradefinance@icbcasia.com" TargetMode="External"/><Relationship Id="rId48" Type="http://schemas.openxmlformats.org/officeDocument/2006/relationships/hyperlink" Target="mailto:zhangfeng@ijdhk.com" TargetMode="External"/><Relationship Id="rId56" Type="http://schemas.openxmlformats.org/officeDocument/2006/relationships/hyperlink" Target="mailto:syed_harun@mj-group.com" TargetMode="External"/><Relationship Id="rId8" Type="http://schemas.openxmlformats.org/officeDocument/2006/relationships/hyperlink" Target="mailto:Michel.Alves@riotinto.com" TargetMode="External"/><Relationship Id="rId51" Type="http://schemas.openxmlformats.org/officeDocument/2006/relationships/hyperlink" Target="mailto:ivl_finance_trade@indorama.net" TargetMode="External"/><Relationship Id="rId3" Type="http://schemas.openxmlformats.org/officeDocument/2006/relationships/hyperlink" Target="mailto:emilybhng@bochk.com" TargetMode="External"/><Relationship Id="rId12" Type="http://schemas.openxmlformats.org/officeDocument/2006/relationships/hyperlink" Target="mailto:lovelyjohn@universaltubes.com" TargetMode="External"/><Relationship Id="rId17" Type="http://schemas.openxmlformats.org/officeDocument/2006/relationships/hyperlink" Target="mailto:Fahdah.n.alkhuthailah@sabb.com" TargetMode="External"/><Relationship Id="rId25" Type="http://schemas.openxmlformats.org/officeDocument/2006/relationships/hyperlink" Target="mailto:POR-FinanceAR@klkoleo.com" TargetMode="External"/><Relationship Id="rId33" Type="http://schemas.openxmlformats.org/officeDocument/2006/relationships/hyperlink" Target="mailto:hien.nguyen@stavianchem.com" TargetMode="External"/><Relationship Id="rId38" Type="http://schemas.openxmlformats.org/officeDocument/2006/relationships/hyperlink" Target="mailto:lokechoong.foo@angloamerican.com" TargetMode="External"/><Relationship Id="rId46" Type="http://schemas.openxmlformats.org/officeDocument/2006/relationships/hyperlink" Target="mailto:tfcenter.ho@mbbank.com.vn" TargetMode="External"/><Relationship Id="rId59" Type="http://schemas.openxmlformats.org/officeDocument/2006/relationships/hyperlink" Target="mailto:mazharacc@epylliongroup.com" TargetMode="External"/><Relationship Id="rId20" Type="http://schemas.openxmlformats.org/officeDocument/2006/relationships/hyperlink" Target="mailto:liaozhiying@njsteel.com.cn" TargetMode="External"/><Relationship Id="rId41" Type="http://schemas.openxmlformats.org/officeDocument/2006/relationships/hyperlink" Target="mailto:rfl1210@rflgroupbd.com" TargetMode="External"/><Relationship Id="rId54" Type="http://schemas.openxmlformats.org/officeDocument/2006/relationships/hyperlink" Target="mailto:bank@emircom.com" TargetMode="External"/><Relationship Id="rId62" Type="http://schemas.openxmlformats.org/officeDocument/2006/relationships/table" Target="../tables/table1.xml"/><Relationship Id="rId1" Type="http://schemas.openxmlformats.org/officeDocument/2006/relationships/hyperlink" Target="mailto:supplier.invoice.hk@hsbc.com.hk" TargetMode="External"/><Relationship Id="rId6" Type="http://schemas.openxmlformats.org/officeDocument/2006/relationships/hyperlink" Target="mailto:xuxiaoping2@xm.icbc.com.cn" TargetMode="External"/><Relationship Id="rId15" Type="http://schemas.openxmlformats.org/officeDocument/2006/relationships/hyperlink" Target="mailto:liaozhiying@njsteel.com.cn" TargetMode="External"/><Relationship Id="rId23" Type="http://schemas.openxmlformats.org/officeDocument/2006/relationships/hyperlink" Target="mailto:patcharm@scg.com" TargetMode="External"/><Relationship Id="rId28" Type="http://schemas.openxmlformats.org/officeDocument/2006/relationships/hyperlink" Target="mailto:ahmed_nasim@bat.com" TargetMode="External"/><Relationship Id="rId36" Type="http://schemas.openxmlformats.org/officeDocument/2006/relationships/hyperlink" Target="mailto:xujing@ciec.com" TargetMode="External"/><Relationship Id="rId49" Type="http://schemas.openxmlformats.org/officeDocument/2006/relationships/hyperlink" Target="mailto:lovelyjohn@universaltubes.com" TargetMode="External"/><Relationship Id="rId57" Type="http://schemas.openxmlformats.org/officeDocument/2006/relationships/hyperlink" Target="mailto:syed_harun@mj-group.com" TargetMode="External"/><Relationship Id="rId10" Type="http://schemas.openxmlformats.org/officeDocument/2006/relationships/hyperlink" Target="mailto:samuel-john.mathew@sc.com" TargetMode="External"/><Relationship Id="rId31" Type="http://schemas.openxmlformats.org/officeDocument/2006/relationships/hyperlink" Target="mailto:supritha@polyplex.com" TargetMode="External"/><Relationship Id="rId44" Type="http://schemas.openxmlformats.org/officeDocument/2006/relationships/hyperlink" Target="mailto:zzk@eldon-hk.com" TargetMode="External"/><Relationship Id="rId52" Type="http://schemas.openxmlformats.org/officeDocument/2006/relationships/hyperlink" Target="mailto:Raghupathy.Subramanian@sc.com" TargetMode="External"/><Relationship Id="rId60" Type="http://schemas.openxmlformats.org/officeDocument/2006/relationships/hyperlink" Target="mailto:mazharacc@epylliongroup.com" TargetMode="External"/><Relationship Id="rId4" Type="http://schemas.openxmlformats.org/officeDocument/2006/relationships/hyperlink" Target="mailto:acasiusleong@dbs.com" TargetMode="External"/><Relationship Id="rId9" Type="http://schemas.openxmlformats.org/officeDocument/2006/relationships/hyperlink" Target="mailto:Helen.seemann@seb.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IVL_finance_trade@indorama.net;manish.g@indorama.net;montien.p@indorama.net;prachit.p@indorama.net" TargetMode="External"/><Relationship Id="rId13" Type="http://schemas.openxmlformats.org/officeDocument/2006/relationships/comments" Target="../comments1.xml"/><Relationship Id="rId3" Type="http://schemas.openxmlformats.org/officeDocument/2006/relationships/hyperlink" Target="mailto:supritha@polyplex.com;" TargetMode="External"/><Relationship Id="rId7" Type="http://schemas.openxmlformats.org/officeDocument/2006/relationships/hyperlink" Target="mailto:IVL_finance_trade@indorama.net;manish.g@indorama.net;montien.p@indorama.net;prachit.p@indorama.net" TargetMode="External"/><Relationship Id="rId12" Type="http://schemas.openxmlformats.org/officeDocument/2006/relationships/table" Target="../tables/table4.xml"/><Relationship Id="rId2" Type="http://schemas.openxmlformats.org/officeDocument/2006/relationships/hyperlink" Target="mailto:ops@toptip.com.sg" TargetMode="External"/><Relationship Id="rId1" Type="http://schemas.openxmlformats.org/officeDocument/2006/relationships/hyperlink" Target="mailto:fangyiru@xm.icbc.com.cn;" TargetMode="External"/><Relationship Id="rId6" Type="http://schemas.openxmlformats.org/officeDocument/2006/relationships/hyperlink" Target="mailto:rfl1210@rflgroupbd.com;bd19@prangroup.com;mis54@mis.prangroup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lokechoong.foo@angloamerican.com;%20kenneth.ang@angloamerican.com;%20gordon.liew@angloamerican.com" TargetMode="External"/><Relationship Id="rId10" Type="http://schemas.openxmlformats.org/officeDocument/2006/relationships/hyperlink" Target="mailto:IVL_finance_trade@indorama.net;manish.g@indorama.net;montien.p@indorama.net;prachit.p@indorama.net" TargetMode="External"/><Relationship Id="rId4" Type="http://schemas.openxmlformats.org/officeDocument/2006/relationships/hyperlink" Target="mailto:nutthawan@thailandanthracite.com;supaporn@easternpearl.co.th;kittiya@thailandanthracite.com;supaporn@easternpearl.co.th;rattana@thailandanthracite.com" TargetMode="External"/><Relationship Id="rId9" Type="http://schemas.openxmlformats.org/officeDocument/2006/relationships/hyperlink" Target="mailto:IVL_finance_trade@indorama.net;manish.g@indorama.net;montien.p@indorama.net;prachit.p@indorama.net" TargetMode="Externa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A7CF4-A9AD-E349-91C4-89196D4A4EA9}">
  <sheetPr codeName="Sheet1">
    <tabColor theme="9" tint="0.59999389629810485"/>
  </sheetPr>
  <dimension ref="A1:N94"/>
  <sheetViews>
    <sheetView zoomScaleNormal="110" workbookViewId="0">
      <pane xSplit="3" ySplit="1" topLeftCell="G2" activePane="bottomRight" state="frozen"/>
      <selection pane="topRight" activeCell="D1" sqref="D1"/>
      <selection pane="bottomLeft" activeCell="A2" sqref="A2"/>
      <selection pane="bottomRight" activeCell="M2" sqref="M2"/>
    </sheetView>
  </sheetViews>
  <sheetFormatPr baseColWidth="10" defaultColWidth="10.5" defaultRowHeight="16"/>
  <cols>
    <col min="1" max="1" width="13" style="15" customWidth="1"/>
    <col min="2" max="2" width="44" style="65" customWidth="1"/>
    <col min="3" max="3" width="12.5" style="15" customWidth="1"/>
    <col min="4" max="4" width="24.5" style="15" bestFit="1" customWidth="1"/>
    <col min="5" max="5" width="25.5" style="15" bestFit="1" customWidth="1"/>
    <col min="6" max="6" width="28.83203125" style="15" bestFit="1" customWidth="1"/>
    <col min="7" max="7" width="22.83203125" style="15" bestFit="1" customWidth="1"/>
    <col min="8" max="8" width="17.5" style="15" customWidth="1"/>
    <col min="9" max="9" width="18" style="68" customWidth="1"/>
    <col min="10" max="10" width="45" style="68" customWidth="1"/>
    <col min="11" max="11" width="27.5" style="65" customWidth="1"/>
    <col min="12" max="12" width="12.6640625" style="238" customWidth="1"/>
    <col min="13" max="13" width="19" style="65" customWidth="1"/>
    <col min="14" max="14" width="17.33203125" style="65" customWidth="1"/>
    <col min="15" max="16384" width="10.5" style="65"/>
  </cols>
  <sheetData>
    <row r="1" spans="1:14" s="63" customFormat="1" ht="34.5" customHeight="1">
      <c r="A1" s="227" t="s">
        <v>2</v>
      </c>
      <c r="B1" s="227" t="s">
        <v>3</v>
      </c>
      <c r="C1" s="227" t="s">
        <v>4</v>
      </c>
      <c r="D1" s="227" t="s">
        <v>5</v>
      </c>
      <c r="E1" s="227" t="s">
        <v>6</v>
      </c>
      <c r="F1" s="227" t="s">
        <v>7</v>
      </c>
      <c r="G1" s="227" t="s">
        <v>8</v>
      </c>
      <c r="H1" s="227" t="s">
        <v>9</v>
      </c>
      <c r="I1" s="227" t="s">
        <v>2168</v>
      </c>
      <c r="J1" s="227" t="s">
        <v>10</v>
      </c>
      <c r="K1" s="227" t="s">
        <v>11</v>
      </c>
      <c r="L1" s="62" t="s">
        <v>2164</v>
      </c>
      <c r="M1" s="62" t="s">
        <v>2173</v>
      </c>
      <c r="N1" s="62" t="s">
        <v>2172</v>
      </c>
    </row>
    <row r="2" spans="1:14">
      <c r="A2" s="96" t="s">
        <v>25</v>
      </c>
      <c r="B2" s="97" t="s">
        <v>26</v>
      </c>
      <c r="C2" s="96" t="s">
        <v>27</v>
      </c>
      <c r="D2" s="96"/>
      <c r="E2" s="96"/>
      <c r="F2" s="96"/>
      <c r="G2" s="96"/>
      <c r="H2" s="97"/>
      <c r="I2" s="98">
        <v>44197</v>
      </c>
      <c r="J2" s="98"/>
      <c r="K2" s="99"/>
      <c r="L2" s="248">
        <f ca="1">COUNTIFS('DB - Subscriptions'!c_parties,Parties[[#This Row],[Contracting Party Legal Entity Name]],'DB - Subscriptions'!R:R,"OK")</f>
        <v>1</v>
      </c>
      <c r="M2" s="65" t="e" cm="1" vm="1">
        <f t="array" aca="1" ref="M2" ca="1">SUMIF('DB - Subscriptions'!V:V,'DB - Subscriptions'!c_parties,Parties[[#This Row],[Contracting Party Legal Entity Name]])</f>
        <v>#VALUE!</v>
      </c>
    </row>
    <row r="3" spans="1:14" ht="136">
      <c r="A3" s="15" t="s">
        <v>25</v>
      </c>
      <c r="B3" s="65" t="s">
        <v>30</v>
      </c>
      <c r="C3" s="15" t="s">
        <v>31</v>
      </c>
      <c r="D3" s="15">
        <v>2532090</v>
      </c>
      <c r="E3" s="15" t="s">
        <v>32</v>
      </c>
      <c r="F3" s="15" t="s">
        <v>33</v>
      </c>
      <c r="G3" s="74" t="s">
        <v>34</v>
      </c>
      <c r="H3" s="63" t="s">
        <v>36</v>
      </c>
      <c r="I3" s="57">
        <v>44197</v>
      </c>
      <c r="J3" s="66" t="s">
        <v>37</v>
      </c>
      <c r="K3" s="70" t="s">
        <v>38</v>
      </c>
      <c r="L3" s="257">
        <f ca="1">COUNTIFS('DB - Subscriptions'!c_parties,Parties[[#This Row],[Contracting Party Legal Entity Name]],'DB - Subscriptions'!R:R,"OK")</f>
        <v>1</v>
      </c>
      <c r="M3" s="65" t="e" cm="1" vm="1">
        <f t="array" aca="1" ref="M3" ca="1">SUMIF('DB - Subscriptions'!V:V,'DB - Subscriptions'!c_parties,Parties[[#This Row],[Contracting Party Legal Entity Name]])</f>
        <v>#VALUE!</v>
      </c>
    </row>
    <row r="4" spans="1:14" ht="85">
      <c r="A4" s="15" t="s">
        <v>25</v>
      </c>
      <c r="B4" s="65" t="s">
        <v>41</v>
      </c>
      <c r="C4" s="15" t="s">
        <v>31</v>
      </c>
      <c r="D4" s="15" t="s">
        <v>42</v>
      </c>
      <c r="E4" s="15" t="s">
        <v>43</v>
      </c>
      <c r="F4" s="15" t="s">
        <v>44</v>
      </c>
      <c r="G4" s="72" t="s">
        <v>45</v>
      </c>
      <c r="H4" s="63" t="s">
        <v>46</v>
      </c>
      <c r="I4" s="57">
        <v>44197</v>
      </c>
      <c r="J4" s="66" t="s">
        <v>47</v>
      </c>
      <c r="K4" s="70" t="s">
        <v>48</v>
      </c>
      <c r="L4" s="257">
        <f ca="1">COUNTIFS('DB - Subscriptions'!c_parties,Parties[[#This Row],[Contracting Party Legal Entity Name]],'DB - Subscriptions'!R:R,"OK")</f>
        <v>1</v>
      </c>
      <c r="M4" s="65" t="e" cm="1" vm="1">
        <f t="array" aca="1" ref="M4" ca="1">SUMIF('DB - Subscriptions'!V:V,'DB - Subscriptions'!c_parties,Parties[[#This Row],[Contracting Party Legal Entity Name]])</f>
        <v>#VALUE!</v>
      </c>
    </row>
    <row r="5" spans="1:14" ht="68">
      <c r="A5" s="15" t="s">
        <v>49</v>
      </c>
      <c r="B5" s="65" t="s">
        <v>50</v>
      </c>
      <c r="C5" s="15" t="s">
        <v>31</v>
      </c>
      <c r="D5" s="72" t="s">
        <v>51</v>
      </c>
      <c r="E5" s="15" t="s">
        <v>51</v>
      </c>
      <c r="F5" s="15" t="s">
        <v>52</v>
      </c>
      <c r="G5" s="72" t="s">
        <v>53</v>
      </c>
      <c r="H5" s="293" t="s">
        <v>54</v>
      </c>
      <c r="I5" s="57">
        <v>44197</v>
      </c>
      <c r="J5" s="66" t="s">
        <v>55</v>
      </c>
      <c r="K5" s="70" t="s">
        <v>56</v>
      </c>
      <c r="L5" s="257">
        <f ca="1">COUNTIFS('DB - Subscriptions'!c_parties,Parties[[#This Row],[Contracting Party Legal Entity Name]],'DB - Subscriptions'!R:R,"OK")</f>
        <v>1</v>
      </c>
      <c r="M5" s="65" t="e" cm="1" vm="1">
        <f t="array" aca="1" ref="M5" ca="1">SUMIF('DB - Subscriptions'!V:V,'DB - Subscriptions'!c_parties,Parties[[#This Row],[Contracting Party Legal Entity Name]])</f>
        <v>#VALUE!</v>
      </c>
    </row>
    <row r="6" spans="1:14" ht="85">
      <c r="A6" s="15" t="s">
        <v>25</v>
      </c>
      <c r="B6" s="65" t="s">
        <v>57</v>
      </c>
      <c r="C6" s="15" t="s">
        <v>31</v>
      </c>
      <c r="D6" s="72" t="s">
        <v>58</v>
      </c>
      <c r="E6" s="15" t="s">
        <v>59</v>
      </c>
      <c r="F6" s="15" t="s">
        <v>60</v>
      </c>
      <c r="G6" s="15" t="s">
        <v>61</v>
      </c>
      <c r="H6" s="63" t="s">
        <v>46</v>
      </c>
      <c r="I6" s="57">
        <v>44256</v>
      </c>
      <c r="J6" s="66" t="s">
        <v>62</v>
      </c>
      <c r="K6" s="80" t="s">
        <v>63</v>
      </c>
      <c r="L6" s="257">
        <f ca="1">COUNTIFS('DB - Subscriptions'!c_parties,Parties[[#This Row],[Contracting Party Legal Entity Name]],'DB - Subscriptions'!R:R,"OK")</f>
        <v>1</v>
      </c>
      <c r="M6" s="65" t="e" cm="1" vm="1">
        <f t="array" aca="1" ref="M6" ca="1">SUMIF('DB - Subscriptions'!V:V,'DB - Subscriptions'!c_parties,Parties[[#This Row],[Contracting Party Legal Entity Name]])</f>
        <v>#VALUE!</v>
      </c>
    </row>
    <row r="7" spans="1:14" ht="85">
      <c r="A7" s="15" t="s">
        <v>25</v>
      </c>
      <c r="B7" s="65" t="s">
        <v>65</v>
      </c>
      <c r="C7" s="15" t="s">
        <v>66</v>
      </c>
      <c r="D7" s="60">
        <v>9.1350200155005402E+17</v>
      </c>
      <c r="E7" s="15" t="s">
        <v>59</v>
      </c>
      <c r="F7" s="15" t="s">
        <v>67</v>
      </c>
      <c r="G7" s="72" t="s">
        <v>68</v>
      </c>
      <c r="H7" s="63" t="s">
        <v>69</v>
      </c>
      <c r="I7" s="57">
        <v>44256</v>
      </c>
      <c r="J7" s="66" t="s">
        <v>70</v>
      </c>
      <c r="K7" s="75" t="s">
        <v>71</v>
      </c>
      <c r="L7" s="257">
        <f ca="1">COUNTIFS('DB - Subscriptions'!c_parties,Parties[[#This Row],[Contracting Party Legal Entity Name]],'DB - Subscriptions'!R:R,"OK")</f>
        <v>1</v>
      </c>
      <c r="M7" s="65" t="e" cm="1" vm="1">
        <f t="array" aca="1" ref="M7" ca="1">SUMIF('DB - Subscriptions'!V:V,'DB - Subscriptions'!c_parties,Parties[[#This Row],[Contracting Party Legal Entity Name]])</f>
        <v>#VALUE!</v>
      </c>
    </row>
    <row r="8" spans="1:14" ht="136">
      <c r="A8" s="15" t="s">
        <v>25</v>
      </c>
      <c r="B8" s="65" t="s">
        <v>73</v>
      </c>
      <c r="C8" s="15" t="s">
        <v>31</v>
      </c>
      <c r="D8" s="15" t="s">
        <v>74</v>
      </c>
      <c r="E8" s="15" t="s">
        <v>59</v>
      </c>
      <c r="F8" s="15" t="s">
        <v>75</v>
      </c>
      <c r="G8" s="72" t="s">
        <v>58</v>
      </c>
      <c r="H8" s="63" t="s">
        <v>69</v>
      </c>
      <c r="I8" s="57">
        <v>44228</v>
      </c>
      <c r="J8" s="66" t="s">
        <v>76</v>
      </c>
      <c r="K8" s="73" t="s">
        <v>77</v>
      </c>
      <c r="L8" s="257">
        <f ca="1">COUNTIFS('DB - Subscriptions'!c_parties,Parties[[#This Row],[Contracting Party Legal Entity Name]],'DB - Subscriptions'!R:R,"OK")</f>
        <v>1</v>
      </c>
      <c r="M8" s="65" t="e" cm="1" vm="1">
        <f t="array" aca="1" ref="M8" ca="1">SUMIF('DB - Subscriptions'!V:V,'DB - Subscriptions'!c_parties,Parties[[#This Row],[Contracting Party Legal Entity Name]])</f>
        <v>#VALUE!</v>
      </c>
    </row>
    <row r="9" spans="1:14" ht="68">
      <c r="A9" s="15" t="s">
        <v>25</v>
      </c>
      <c r="B9" s="65" t="s">
        <v>79</v>
      </c>
      <c r="C9" s="15" t="s">
        <v>31</v>
      </c>
      <c r="D9" s="72" t="s">
        <v>80</v>
      </c>
      <c r="E9" s="15" t="s">
        <v>81</v>
      </c>
      <c r="F9" s="15" t="s">
        <v>82</v>
      </c>
      <c r="G9" s="72" t="s">
        <v>83</v>
      </c>
      <c r="H9" s="63" t="s">
        <v>46</v>
      </c>
      <c r="I9" s="57">
        <v>44256</v>
      </c>
      <c r="J9" s="66" t="s">
        <v>84</v>
      </c>
      <c r="K9" s="70" t="s">
        <v>85</v>
      </c>
      <c r="L9" s="257">
        <f ca="1">COUNTIFS('DB - Subscriptions'!c_parties,Parties[[#This Row],[Contracting Party Legal Entity Name]],'DB - Subscriptions'!R:R,"OK")</f>
        <v>1</v>
      </c>
      <c r="M9" s="65" t="e" cm="1" vm="1">
        <f t="array" aca="1" ref="M9" ca="1">SUMIF('DB - Subscriptions'!V:V,'DB - Subscriptions'!c_parties,Parties[[#This Row],[Contracting Party Legal Entity Name]])</f>
        <v>#VALUE!</v>
      </c>
    </row>
    <row r="10" spans="1:14" ht="68">
      <c r="A10" s="15" t="s">
        <v>25</v>
      </c>
      <c r="B10" s="65" t="s">
        <v>87</v>
      </c>
      <c r="C10" s="15" t="s">
        <v>66</v>
      </c>
      <c r="D10" s="15" t="s">
        <v>88</v>
      </c>
      <c r="E10" s="15" t="s">
        <v>89</v>
      </c>
      <c r="F10" s="15" t="s">
        <v>90</v>
      </c>
      <c r="G10" s="72" t="s">
        <v>91</v>
      </c>
      <c r="H10" s="63" t="s">
        <v>69</v>
      </c>
      <c r="I10" s="57">
        <v>44256</v>
      </c>
      <c r="J10" s="66" t="s">
        <v>92</v>
      </c>
      <c r="K10" s="75" t="s">
        <v>93</v>
      </c>
      <c r="L10" s="257">
        <f ca="1">COUNTIFS('DB - Subscriptions'!c_parties,Parties[[#This Row],[Contracting Party Legal Entity Name]],'DB - Subscriptions'!R:R,"OK")</f>
        <v>1</v>
      </c>
      <c r="M10" s="65" t="e" cm="1" vm="1">
        <f t="array" aca="1" ref="M10" ca="1">SUMIF('DB - Subscriptions'!V:V,'DB - Subscriptions'!c_parties,Parties[[#This Row],[Contracting Party Legal Entity Name]])</f>
        <v>#VALUE!</v>
      </c>
    </row>
    <row r="11" spans="1:14" ht="85">
      <c r="A11" s="15" t="s">
        <v>25</v>
      </c>
      <c r="B11" s="65" t="s">
        <v>95</v>
      </c>
      <c r="C11" s="15" t="s">
        <v>31</v>
      </c>
      <c r="D11" s="63" t="s">
        <v>96</v>
      </c>
      <c r="E11" s="15" t="s">
        <v>59</v>
      </c>
      <c r="F11" s="15" t="s">
        <v>97</v>
      </c>
      <c r="G11" s="72" t="s">
        <v>98</v>
      </c>
      <c r="H11" s="63" t="s">
        <v>69</v>
      </c>
      <c r="I11" s="57">
        <v>44256</v>
      </c>
      <c r="J11" s="66" t="s">
        <v>99</v>
      </c>
      <c r="K11" s="70" t="s">
        <v>100</v>
      </c>
      <c r="L11" s="257">
        <f ca="1">COUNTIFS('DB - Subscriptions'!c_parties,Parties[[#This Row],[Contracting Party Legal Entity Name]],'DB - Subscriptions'!R:R,"OK")</f>
        <v>1</v>
      </c>
      <c r="M11" s="65" t="e" cm="1" vm="1">
        <f t="array" aca="1" ref="M11" ca="1">SUMIF('DB - Subscriptions'!V:V,'DB - Subscriptions'!c_parties,Parties[[#This Row],[Contracting Party Legal Entity Name]])</f>
        <v>#VALUE!</v>
      </c>
    </row>
    <row r="12" spans="1:14" ht="102">
      <c r="A12" s="15" t="s">
        <v>25</v>
      </c>
      <c r="B12" s="65" t="s">
        <v>102</v>
      </c>
      <c r="C12" s="15" t="s">
        <v>31</v>
      </c>
      <c r="D12" s="60">
        <v>8120118081525</v>
      </c>
      <c r="E12" s="15" t="s">
        <v>103</v>
      </c>
      <c r="F12" s="15" t="s">
        <v>104</v>
      </c>
      <c r="G12" s="74" t="s">
        <v>105</v>
      </c>
      <c r="H12" s="63" t="s">
        <v>69</v>
      </c>
      <c r="I12" s="57">
        <v>44256</v>
      </c>
      <c r="J12" s="66" t="s">
        <v>106</v>
      </c>
      <c r="K12" s="70" t="s">
        <v>107</v>
      </c>
      <c r="L12" s="257">
        <f ca="1">COUNTIFS('DB - Subscriptions'!c_parties,Parties[[#This Row],[Contracting Party Legal Entity Name]],'DB - Subscriptions'!R:R,"OK")</f>
        <v>1</v>
      </c>
      <c r="M12" s="65" t="e" cm="1" vm="1">
        <f t="array" aca="1" ref="M12" ca="1">SUMIF('DB - Subscriptions'!V:V,'DB - Subscriptions'!c_parties,Parties[[#This Row],[Contracting Party Legal Entity Name]])</f>
        <v>#VALUE!</v>
      </c>
    </row>
    <row r="13" spans="1:14" ht="102">
      <c r="A13" s="15" t="s">
        <v>25</v>
      </c>
      <c r="B13" s="65" t="s">
        <v>109</v>
      </c>
      <c r="C13" s="15" t="s">
        <v>31</v>
      </c>
      <c r="D13" s="15" t="s">
        <v>110</v>
      </c>
      <c r="F13" s="15" t="s">
        <v>111</v>
      </c>
      <c r="G13" s="72" t="s">
        <v>112</v>
      </c>
      <c r="H13" s="63" t="s">
        <v>114</v>
      </c>
      <c r="I13" s="57">
        <v>44256</v>
      </c>
      <c r="J13" s="66" t="s">
        <v>115</v>
      </c>
      <c r="K13" s="70" t="s">
        <v>116</v>
      </c>
      <c r="L13" s="257">
        <f ca="1">COUNTIFS('DB - Subscriptions'!c_parties,Parties[[#This Row],[Contracting Party Legal Entity Name]],'DB - Subscriptions'!R:R,"OK")</f>
        <v>1</v>
      </c>
      <c r="M13" s="65" t="e" cm="1" vm="1">
        <f t="array" aca="1" ref="M13" ca="1">SUMIF('DB - Subscriptions'!V:V,'DB - Subscriptions'!c_parties,Parties[[#This Row],[Contracting Party Legal Entity Name]])</f>
        <v>#VALUE!</v>
      </c>
    </row>
    <row r="14" spans="1:14" ht="102">
      <c r="A14" s="15" t="s">
        <v>25</v>
      </c>
      <c r="B14" s="65" t="s">
        <v>118</v>
      </c>
      <c r="C14" s="15" t="s">
        <v>66</v>
      </c>
      <c r="D14" s="15" t="s">
        <v>119</v>
      </c>
      <c r="F14" s="15" t="s">
        <v>120</v>
      </c>
      <c r="G14" s="72" t="s">
        <v>121</v>
      </c>
      <c r="H14" s="63" t="s">
        <v>114</v>
      </c>
      <c r="I14" s="57">
        <v>44228</v>
      </c>
      <c r="J14" s="66" t="s">
        <v>122</v>
      </c>
      <c r="K14" s="70" t="s">
        <v>123</v>
      </c>
      <c r="L14" s="257">
        <f ca="1">COUNTIFS('DB - Subscriptions'!c_parties,Parties[[#This Row],[Contracting Party Legal Entity Name]],'DB - Subscriptions'!R:R,"OK")</f>
        <v>2</v>
      </c>
      <c r="M14" s="65" t="e" cm="1" vm="1">
        <f t="array" aca="1" ref="M14" ca="1">SUMIF('DB - Subscriptions'!V:V,'DB - Subscriptions'!c_parties,Parties[[#This Row],[Contracting Party Legal Entity Name]])</f>
        <v>#VALUE!</v>
      </c>
    </row>
    <row r="15" spans="1:14" ht="102">
      <c r="A15" s="15" t="s">
        <v>25</v>
      </c>
      <c r="B15" s="65" t="s">
        <v>124</v>
      </c>
      <c r="C15" s="15" t="s">
        <v>66</v>
      </c>
      <c r="D15" s="77"/>
      <c r="E15" s="77"/>
      <c r="F15" s="77"/>
      <c r="G15" s="77"/>
      <c r="H15" s="63" t="s">
        <v>114</v>
      </c>
      <c r="I15" s="57">
        <v>44244</v>
      </c>
      <c r="J15" s="78"/>
      <c r="K15" s="79"/>
      <c r="L15" s="257">
        <f ca="1">COUNTIFS('DB - Subscriptions'!c_parties,Parties[[#This Row],[Contracting Party Legal Entity Name]],'DB - Subscriptions'!R:R,"OK")</f>
        <v>1</v>
      </c>
      <c r="M15" s="65" t="e" cm="1" vm="1">
        <f t="array" aca="1" ref="M15" ca="1">SUMIF('DB - Subscriptions'!V:V,'DB - Subscriptions'!c_parties,Parties[[#This Row],[Contracting Party Legal Entity Name]])</f>
        <v>#VALUE!</v>
      </c>
    </row>
    <row r="16" spans="1:14" ht="85">
      <c r="A16" s="15" t="s">
        <v>25</v>
      </c>
      <c r="B16" s="65" t="s">
        <v>125</v>
      </c>
      <c r="C16" s="15" t="s">
        <v>31</v>
      </c>
      <c r="D16" s="15" t="s">
        <v>126</v>
      </c>
      <c r="E16" s="15" t="s">
        <v>127</v>
      </c>
      <c r="F16" s="15" t="s">
        <v>128</v>
      </c>
      <c r="G16" s="74" t="s">
        <v>129</v>
      </c>
      <c r="H16" s="63" t="s">
        <v>46</v>
      </c>
      <c r="I16" s="57">
        <v>44280</v>
      </c>
      <c r="J16" s="66" t="s">
        <v>130</v>
      </c>
      <c r="K16" s="70" t="s">
        <v>131</v>
      </c>
      <c r="L16" s="257">
        <f ca="1">COUNTIFS('DB - Subscriptions'!c_parties,Parties[[#This Row],[Contracting Party Legal Entity Name]],'DB - Subscriptions'!R:R,"OK")</f>
        <v>1</v>
      </c>
      <c r="M16" s="65" t="e" cm="1" vm="1">
        <f t="array" aca="1" ref="M16" ca="1">SUMIF('DB - Subscriptions'!V:V,'DB - Subscriptions'!c_parties,Parties[[#This Row],[Contracting Party Legal Entity Name]])</f>
        <v>#VALUE!</v>
      </c>
    </row>
    <row r="17" spans="1:13" ht="102">
      <c r="A17" s="15" t="s">
        <v>25</v>
      </c>
      <c r="B17" s="65" t="s">
        <v>133</v>
      </c>
      <c r="C17" s="15" t="s">
        <v>31</v>
      </c>
      <c r="D17" s="15">
        <v>1010025779</v>
      </c>
      <c r="E17" s="15" t="s">
        <v>134</v>
      </c>
      <c r="F17" s="15" t="s">
        <v>135</v>
      </c>
      <c r="G17" s="72" t="s">
        <v>136</v>
      </c>
      <c r="H17" s="63" t="s">
        <v>69</v>
      </c>
      <c r="I17" s="57">
        <v>44287</v>
      </c>
      <c r="J17" s="66" t="s">
        <v>137</v>
      </c>
      <c r="K17" s="70" t="s">
        <v>138</v>
      </c>
      <c r="L17" s="257">
        <f ca="1">COUNTIFS('DB - Subscriptions'!c_parties,Parties[[#This Row],[Contracting Party Legal Entity Name]],'DB - Subscriptions'!R:R,"OK")</f>
        <v>1</v>
      </c>
      <c r="M17" s="65" t="e" cm="1" vm="1">
        <f t="array" aca="1" ref="M17" ca="1">SUMIF('DB - Subscriptions'!V:V,'DB - Subscriptions'!c_parties,Parties[[#This Row],[Contracting Party Legal Entity Name]])</f>
        <v>#VALUE!</v>
      </c>
    </row>
    <row r="18" spans="1:13" ht="85">
      <c r="A18" s="15" t="s">
        <v>25</v>
      </c>
      <c r="B18" s="65" t="s">
        <v>140</v>
      </c>
      <c r="C18" s="15" t="s">
        <v>66</v>
      </c>
      <c r="D18" s="15">
        <v>686829</v>
      </c>
      <c r="E18" s="15" t="s">
        <v>59</v>
      </c>
      <c r="F18" s="15" t="s">
        <v>141</v>
      </c>
      <c r="G18" s="72" t="s">
        <v>142</v>
      </c>
      <c r="H18" s="63" t="s">
        <v>69</v>
      </c>
      <c r="I18" s="57">
        <v>44287</v>
      </c>
      <c r="J18" s="66" t="s">
        <v>144</v>
      </c>
      <c r="K18" s="70" t="s">
        <v>145</v>
      </c>
      <c r="L18" s="257">
        <f ca="1">COUNTIFS('DB - Subscriptions'!c_parties,Parties[[#This Row],[Contracting Party Legal Entity Name]],'DB - Subscriptions'!R:R,"OK")</f>
        <v>1</v>
      </c>
      <c r="M18" s="65" t="e" cm="1" vm="1">
        <f t="array" aca="1" ref="M18" ca="1">SUMIF('DB - Subscriptions'!V:V,'DB - Subscriptions'!c_parties,Parties[[#This Row],[Contracting Party Legal Entity Name]])</f>
        <v>#VALUE!</v>
      </c>
    </row>
    <row r="19" spans="1:13" ht="68">
      <c r="A19" s="15" t="s">
        <v>25</v>
      </c>
      <c r="B19" s="65" t="s">
        <v>147</v>
      </c>
      <c r="C19" s="15" t="s">
        <v>66</v>
      </c>
      <c r="D19" s="72" t="s">
        <v>148</v>
      </c>
      <c r="E19" s="15" t="s">
        <v>59</v>
      </c>
      <c r="F19" s="15" t="s">
        <v>149</v>
      </c>
      <c r="G19" s="15">
        <v>21478099</v>
      </c>
      <c r="H19" s="63" t="s">
        <v>69</v>
      </c>
      <c r="I19" s="57">
        <v>44300</v>
      </c>
      <c r="J19" s="66" t="s">
        <v>150</v>
      </c>
      <c r="K19" s="70" t="s">
        <v>151</v>
      </c>
      <c r="L19" s="257">
        <f ca="1">COUNTIFS('DB - Subscriptions'!c_parties,Parties[[#This Row],[Contracting Party Legal Entity Name]],'DB - Subscriptions'!R:R,"OK")</f>
        <v>1</v>
      </c>
      <c r="M19" s="65" t="e" cm="1" vm="1">
        <f t="array" aca="1" ref="M19" ca="1">SUMIF('DB - Subscriptions'!V:V,'DB - Subscriptions'!c_parties,Parties[[#This Row],[Contracting Party Legal Entity Name]])</f>
        <v>#VALUE!</v>
      </c>
    </row>
    <row r="20" spans="1:13" ht="102">
      <c r="A20" s="15" t="s">
        <v>25</v>
      </c>
      <c r="B20" s="65" t="s">
        <v>152</v>
      </c>
      <c r="C20" s="15" t="s">
        <v>66</v>
      </c>
      <c r="D20" s="15" t="s">
        <v>153</v>
      </c>
      <c r="E20" s="15" t="s">
        <v>154</v>
      </c>
      <c r="F20" s="15" t="s">
        <v>155</v>
      </c>
      <c r="G20" s="74" t="s">
        <v>156</v>
      </c>
      <c r="H20" s="63" t="s">
        <v>69</v>
      </c>
      <c r="I20" s="57">
        <v>44306</v>
      </c>
      <c r="J20" s="66" t="s">
        <v>157</v>
      </c>
      <c r="K20" s="80" t="s">
        <v>158</v>
      </c>
      <c r="L20" s="257">
        <f ca="1">COUNTIFS('DB - Subscriptions'!c_parties,Parties[[#This Row],[Contracting Party Legal Entity Name]],'DB - Subscriptions'!R:R,"OK")</f>
        <v>1</v>
      </c>
      <c r="M20" s="65" t="e" cm="1" vm="1">
        <f t="array" aca="1" ref="M20" ca="1">SUMIF('DB - Subscriptions'!V:V,'DB - Subscriptions'!c_parties,Parties[[#This Row],[Contracting Party Legal Entity Name]])</f>
        <v>#VALUE!</v>
      </c>
    </row>
    <row r="21" spans="1:13" ht="68">
      <c r="A21" s="15" t="s">
        <v>25</v>
      </c>
      <c r="B21" s="65" t="s">
        <v>160</v>
      </c>
      <c r="C21" s="15" t="s">
        <v>66</v>
      </c>
      <c r="D21" s="15" t="s">
        <v>161</v>
      </c>
      <c r="E21" s="15" t="s">
        <v>162</v>
      </c>
      <c r="F21" s="15" t="s">
        <v>163</v>
      </c>
      <c r="G21" s="15" t="s">
        <v>164</v>
      </c>
      <c r="H21" s="63" t="s">
        <v>69</v>
      </c>
      <c r="I21" s="57">
        <v>44307</v>
      </c>
      <c r="J21" s="66" t="s">
        <v>165</v>
      </c>
      <c r="K21" s="73" t="s">
        <v>166</v>
      </c>
      <c r="L21" s="257">
        <f ca="1">COUNTIFS('DB - Subscriptions'!c_parties,Parties[[#This Row],[Contracting Party Legal Entity Name]],'DB - Subscriptions'!R:R,"OK")</f>
        <v>1</v>
      </c>
      <c r="M21" s="65" t="e" cm="1" vm="1">
        <f t="array" aca="1" ref="M21" ca="1">SUMIF('DB - Subscriptions'!V:V,'DB - Subscriptions'!c_parties,Parties[[#This Row],[Contracting Party Legal Entity Name]])</f>
        <v>#VALUE!</v>
      </c>
    </row>
    <row r="22" spans="1:13" ht="102">
      <c r="A22" s="15" t="s">
        <v>25</v>
      </c>
      <c r="B22" s="65" t="s">
        <v>167</v>
      </c>
      <c r="C22" s="15" t="s">
        <v>31</v>
      </c>
      <c r="D22" s="72" t="s">
        <v>58</v>
      </c>
      <c r="E22" s="15" t="s">
        <v>59</v>
      </c>
      <c r="F22" s="15" t="s">
        <v>168</v>
      </c>
      <c r="G22" s="72" t="s">
        <v>169</v>
      </c>
      <c r="H22" s="63" t="s">
        <v>69</v>
      </c>
      <c r="I22" s="57">
        <v>44316</v>
      </c>
      <c r="J22" s="66" t="s">
        <v>170</v>
      </c>
      <c r="K22" s="70" t="s">
        <v>171</v>
      </c>
      <c r="L22" s="257">
        <f ca="1">COUNTIFS('DB - Subscriptions'!c_parties,Parties[[#This Row],[Contracting Party Legal Entity Name]],'DB - Subscriptions'!R:R,"OK")</f>
        <v>1</v>
      </c>
      <c r="M22" s="65" t="e" cm="1" vm="1">
        <f t="array" aca="1" ref="M22" ca="1">SUMIF('DB - Subscriptions'!V:V,'DB - Subscriptions'!c_parties,Parties[[#This Row],[Contracting Party Legal Entity Name]])</f>
        <v>#VALUE!</v>
      </c>
    </row>
    <row r="23" spans="1:13" ht="68">
      <c r="A23" s="15" t="s">
        <v>25</v>
      </c>
      <c r="B23" s="65" t="s">
        <v>173</v>
      </c>
      <c r="C23" s="15" t="s">
        <v>66</v>
      </c>
      <c r="D23" s="15" t="s">
        <v>174</v>
      </c>
      <c r="E23" s="163" t="s">
        <v>59</v>
      </c>
      <c r="F23" s="15" t="s">
        <v>175</v>
      </c>
      <c r="G23" s="72" t="s">
        <v>176</v>
      </c>
      <c r="H23" s="63" t="s">
        <v>69</v>
      </c>
      <c r="I23" s="57">
        <v>44344</v>
      </c>
      <c r="J23" s="66" t="s">
        <v>177</v>
      </c>
      <c r="K23" s="70" t="s">
        <v>178</v>
      </c>
      <c r="L23" s="257">
        <f ca="1">COUNTIFS('DB - Subscriptions'!c_parties,Parties[[#This Row],[Contracting Party Legal Entity Name]],'DB - Subscriptions'!R:R,"OK")</f>
        <v>1</v>
      </c>
      <c r="M23" s="65" t="e" cm="1" vm="1">
        <f t="array" aca="1" ref="M23" ca="1">SUMIF('DB - Subscriptions'!V:V,'DB - Subscriptions'!c_parties,Parties[[#This Row],[Contracting Party Legal Entity Name]])</f>
        <v>#VALUE!</v>
      </c>
    </row>
    <row r="24" spans="1:13" ht="85">
      <c r="A24" s="15" t="s">
        <v>25</v>
      </c>
      <c r="B24" s="65" t="s">
        <v>179</v>
      </c>
      <c r="C24" s="15" t="s">
        <v>66</v>
      </c>
      <c r="D24" s="15" t="s">
        <v>180</v>
      </c>
      <c r="E24" s="163" t="s">
        <v>59</v>
      </c>
      <c r="F24" s="15" t="s">
        <v>181</v>
      </c>
      <c r="G24" s="72" t="s">
        <v>58</v>
      </c>
      <c r="H24" s="63" t="s">
        <v>69</v>
      </c>
      <c r="I24" s="57">
        <v>44343</v>
      </c>
      <c r="J24" s="66" t="s">
        <v>182</v>
      </c>
      <c r="K24" s="70" t="s">
        <v>183</v>
      </c>
      <c r="L24" s="257">
        <f ca="1">COUNTIFS('DB - Subscriptions'!c_parties,Parties[[#This Row],[Contracting Party Legal Entity Name]],'DB - Subscriptions'!R:R,"OK")</f>
        <v>1</v>
      </c>
      <c r="M24" s="65" t="e" cm="1" vm="1">
        <f t="array" aca="1" ref="M24" ca="1">SUMIF('DB - Subscriptions'!V:V,'DB - Subscriptions'!c_parties,Parties[[#This Row],[Contracting Party Legal Entity Name]])</f>
        <v>#VALUE!</v>
      </c>
    </row>
    <row r="25" spans="1:13" ht="51">
      <c r="A25" s="15" t="s">
        <v>25</v>
      </c>
      <c r="B25" s="65" t="s">
        <v>184</v>
      </c>
      <c r="C25" s="15" t="s">
        <v>66</v>
      </c>
      <c r="D25" s="15">
        <v>2326713</v>
      </c>
      <c r="E25" s="163" t="s">
        <v>59</v>
      </c>
      <c r="F25" s="15" t="s">
        <v>175</v>
      </c>
      <c r="G25" s="72" t="s">
        <v>185</v>
      </c>
      <c r="H25" s="63" t="s">
        <v>69</v>
      </c>
      <c r="I25" s="57">
        <v>44350</v>
      </c>
      <c r="J25" s="66" t="s">
        <v>186</v>
      </c>
      <c r="K25" s="85" t="s">
        <v>187</v>
      </c>
      <c r="L25" s="257">
        <f ca="1">COUNTIFS('DB - Subscriptions'!c_parties,Parties[[#This Row],[Contracting Party Legal Entity Name]],'DB - Subscriptions'!R:R,"OK")</f>
        <v>1</v>
      </c>
      <c r="M25" s="65" t="e" cm="1" vm="1">
        <f t="array" aca="1" ref="M25" ca="1">SUMIF('DB - Subscriptions'!V:V,'DB - Subscriptions'!c_parties,Parties[[#This Row],[Contracting Party Legal Entity Name]])</f>
        <v>#VALUE!</v>
      </c>
    </row>
    <row r="26" spans="1:13" ht="85">
      <c r="A26" s="15" t="s">
        <v>25</v>
      </c>
      <c r="B26" s="65" t="s">
        <v>188</v>
      </c>
      <c r="C26" s="15" t="s">
        <v>66</v>
      </c>
      <c r="D26" s="15" t="s">
        <v>189</v>
      </c>
      <c r="E26" s="163" t="s">
        <v>59</v>
      </c>
      <c r="F26" s="15" t="s">
        <v>190</v>
      </c>
      <c r="G26" s="72" t="s">
        <v>191</v>
      </c>
      <c r="H26" s="86"/>
      <c r="I26" s="57">
        <v>44357</v>
      </c>
      <c r="J26" s="66" t="s">
        <v>192</v>
      </c>
      <c r="K26" s="85" t="s">
        <v>193</v>
      </c>
      <c r="L26" s="257">
        <f ca="1">COUNTIFS('DB - Subscriptions'!c_parties,Parties[[#This Row],[Contracting Party Legal Entity Name]],'DB - Subscriptions'!R:R,"OK")</f>
        <v>1</v>
      </c>
      <c r="M26" s="65" t="e" cm="1" vm="1">
        <f t="array" aca="1" ref="M26" ca="1">SUMIF('DB - Subscriptions'!V:V,'DB - Subscriptions'!c_parties,Parties[[#This Row],[Contracting Party Legal Entity Name]])</f>
        <v>#VALUE!</v>
      </c>
    </row>
    <row r="27" spans="1:13" ht="102">
      <c r="A27" s="15" t="s">
        <v>25</v>
      </c>
      <c r="B27" s="65" t="s">
        <v>194</v>
      </c>
      <c r="C27" s="15" t="s">
        <v>31</v>
      </c>
      <c r="D27" s="72" t="s">
        <v>58</v>
      </c>
      <c r="E27" s="163" t="s">
        <v>59</v>
      </c>
      <c r="F27" s="15" t="s">
        <v>195</v>
      </c>
      <c r="G27" s="72" t="s">
        <v>196</v>
      </c>
      <c r="H27" s="59" t="s">
        <v>69</v>
      </c>
      <c r="I27" s="57">
        <v>44378</v>
      </c>
      <c r="J27" s="66" t="s">
        <v>197</v>
      </c>
      <c r="K27" s="87" t="s">
        <v>198</v>
      </c>
      <c r="L27" s="257">
        <f ca="1">COUNTIFS('DB - Subscriptions'!c_parties,Parties[[#This Row],[Contracting Party Legal Entity Name]],'DB - Subscriptions'!R:R,"OK")</f>
        <v>1</v>
      </c>
      <c r="M27" s="65" t="e" cm="1" vm="1">
        <f t="array" aca="1" ref="M27" ca="1">SUMIF('DB - Subscriptions'!V:V,'DB - Subscriptions'!c_parties,Parties[[#This Row],[Contracting Party Legal Entity Name]])</f>
        <v>#VALUE!</v>
      </c>
    </row>
    <row r="28" spans="1:13" ht="51">
      <c r="A28" s="15" t="s">
        <v>25</v>
      </c>
      <c r="B28" s="65" t="s">
        <v>199</v>
      </c>
      <c r="C28" s="15" t="s">
        <v>66</v>
      </c>
      <c r="D28" s="60">
        <v>245540000798</v>
      </c>
      <c r="E28" s="163" t="s">
        <v>59</v>
      </c>
      <c r="F28" s="15" t="s">
        <v>200</v>
      </c>
      <c r="G28" s="72" t="s">
        <v>201</v>
      </c>
      <c r="H28" s="59" t="s">
        <v>69</v>
      </c>
      <c r="I28" s="57">
        <v>44361</v>
      </c>
      <c r="J28" s="66" t="s">
        <v>202</v>
      </c>
      <c r="K28" s="87" t="s">
        <v>203</v>
      </c>
      <c r="L28" s="257">
        <f ca="1">COUNTIFS('DB - Subscriptions'!c_parties,Parties[[#This Row],[Contracting Party Legal Entity Name]],'DB - Subscriptions'!R:R,"OK")</f>
        <v>1</v>
      </c>
      <c r="M28" s="65" t="e" cm="1" vm="1">
        <f t="array" aca="1" ref="M28" ca="1">SUMIF('DB - Subscriptions'!V:V,'DB - Subscriptions'!c_parties,Parties[[#This Row],[Contracting Party Legal Entity Name]])</f>
        <v>#VALUE!</v>
      </c>
    </row>
    <row r="29" spans="1:13" ht="51">
      <c r="A29" s="15" t="s">
        <v>25</v>
      </c>
      <c r="B29" s="65" t="s">
        <v>204</v>
      </c>
      <c r="C29" s="15" t="s">
        <v>66</v>
      </c>
      <c r="D29" s="91" t="s">
        <v>205</v>
      </c>
      <c r="E29" s="163" t="s">
        <v>59</v>
      </c>
      <c r="F29" s="15" t="s">
        <v>206</v>
      </c>
      <c r="G29" s="72" t="s">
        <v>207</v>
      </c>
      <c r="H29" s="59" t="s">
        <v>69</v>
      </c>
      <c r="I29" s="57">
        <v>44362</v>
      </c>
      <c r="J29" s="66" t="s">
        <v>208</v>
      </c>
      <c r="K29" s="87" t="s">
        <v>209</v>
      </c>
      <c r="L29" s="257">
        <f ca="1">COUNTIFS('DB - Subscriptions'!c_parties,Parties[[#This Row],[Contracting Party Legal Entity Name]],'DB - Subscriptions'!R:R,"OK")</f>
        <v>1</v>
      </c>
      <c r="M29" s="65" t="e" cm="1" vm="1">
        <f t="array" aca="1" ref="M29" ca="1">SUMIF('DB - Subscriptions'!V:V,'DB - Subscriptions'!c_parties,Parties[[#This Row],[Contracting Party Legal Entity Name]])</f>
        <v>#VALUE!</v>
      </c>
    </row>
    <row r="30" spans="1:13" ht="51">
      <c r="A30" s="15" t="s">
        <v>25</v>
      </c>
      <c r="B30" s="65" t="s">
        <v>210</v>
      </c>
      <c r="C30" s="15" t="s">
        <v>66</v>
      </c>
      <c r="D30" s="91" t="s">
        <v>211</v>
      </c>
      <c r="E30" s="163" t="s">
        <v>59</v>
      </c>
      <c r="F30" s="15" t="s">
        <v>206</v>
      </c>
      <c r="G30" s="72" t="s">
        <v>207</v>
      </c>
      <c r="H30" s="59" t="s">
        <v>69</v>
      </c>
      <c r="I30" s="57">
        <v>44362</v>
      </c>
      <c r="J30" s="66" t="s">
        <v>208</v>
      </c>
      <c r="K30" s="87" t="s">
        <v>209</v>
      </c>
      <c r="L30" s="257">
        <f ca="1">COUNTIFS('DB - Subscriptions'!c_parties,Parties[[#This Row],[Contracting Party Legal Entity Name]],'DB - Subscriptions'!R:R,"OK")</f>
        <v>1</v>
      </c>
      <c r="M30" s="65" t="e" cm="1" vm="1">
        <f t="array" aca="1" ref="M30" ca="1">SUMIF('DB - Subscriptions'!V:V,'DB - Subscriptions'!c_parties,Parties[[#This Row],[Contracting Party Legal Entity Name]])</f>
        <v>#VALUE!</v>
      </c>
    </row>
    <row r="31" spans="1:13" ht="51">
      <c r="A31" s="15" t="s">
        <v>25</v>
      </c>
      <c r="B31" s="65" t="s">
        <v>212</v>
      </c>
      <c r="C31" s="15" t="s">
        <v>66</v>
      </c>
      <c r="D31" s="91" t="s">
        <v>213</v>
      </c>
      <c r="E31" s="163" t="s">
        <v>59</v>
      </c>
      <c r="F31" s="15" t="s">
        <v>214</v>
      </c>
      <c r="G31" s="72" t="s">
        <v>215</v>
      </c>
      <c r="H31" s="59" t="s">
        <v>69</v>
      </c>
      <c r="I31" s="57">
        <v>44368</v>
      </c>
      <c r="J31" s="66" t="s">
        <v>216</v>
      </c>
      <c r="K31" s="85" t="s">
        <v>217</v>
      </c>
      <c r="L31" s="257">
        <f ca="1">COUNTIFS('DB - Subscriptions'!c_parties,Parties[[#This Row],[Contracting Party Legal Entity Name]],'DB - Subscriptions'!R:R,"OK")</f>
        <v>1</v>
      </c>
      <c r="M31" s="65" t="e" cm="1" vm="1">
        <f t="array" aca="1" ref="M31" ca="1">SUMIF('DB - Subscriptions'!V:V,'DB - Subscriptions'!c_parties,Parties[[#This Row],[Contracting Party Legal Entity Name]])</f>
        <v>#VALUE!</v>
      </c>
    </row>
    <row r="32" spans="1:13" ht="68">
      <c r="A32" s="15" t="s">
        <v>25</v>
      </c>
      <c r="B32" s="65" t="s">
        <v>218</v>
      </c>
      <c r="C32" s="15" t="s">
        <v>66</v>
      </c>
      <c r="D32" s="60">
        <v>8120300810325</v>
      </c>
      <c r="E32" s="163" t="s">
        <v>59</v>
      </c>
      <c r="F32" s="15" t="s">
        <v>219</v>
      </c>
      <c r="G32" s="72">
        <v>62218740982</v>
      </c>
      <c r="H32" s="59" t="s">
        <v>69</v>
      </c>
      <c r="I32" s="57">
        <v>44368</v>
      </c>
      <c r="J32" s="66" t="s">
        <v>220</v>
      </c>
      <c r="K32" s="87" t="s">
        <v>221</v>
      </c>
      <c r="L32" s="257">
        <f ca="1">COUNTIFS('DB - Subscriptions'!c_parties,Parties[[#This Row],[Contracting Party Legal Entity Name]],'DB - Subscriptions'!R:R,"OK")</f>
        <v>1</v>
      </c>
      <c r="M32" s="65" t="e" cm="1" vm="1">
        <f t="array" aca="1" ref="M32" ca="1">SUMIF('DB - Subscriptions'!V:V,'DB - Subscriptions'!c_parties,Parties[[#This Row],[Contracting Party Legal Entity Name]])</f>
        <v>#VALUE!</v>
      </c>
    </row>
    <row r="33" spans="1:13" ht="68">
      <c r="A33" s="15" t="s">
        <v>25</v>
      </c>
      <c r="B33" s="65" t="s">
        <v>222</v>
      </c>
      <c r="C33" s="15" t="s">
        <v>66</v>
      </c>
      <c r="D33" s="60" t="s">
        <v>223</v>
      </c>
      <c r="E33" s="163" t="s">
        <v>59</v>
      </c>
      <c r="F33" s="15" t="s">
        <v>224</v>
      </c>
      <c r="G33" s="74" t="s">
        <v>225</v>
      </c>
      <c r="H33" s="59" t="s">
        <v>69</v>
      </c>
      <c r="I33" s="57">
        <v>44375</v>
      </c>
      <c r="J33" s="66" t="s">
        <v>226</v>
      </c>
      <c r="K33" s="85" t="s">
        <v>227</v>
      </c>
      <c r="L33" s="257">
        <f ca="1">COUNTIFS('DB - Subscriptions'!c_parties,Parties[[#This Row],[Contracting Party Legal Entity Name]],'DB - Subscriptions'!R:R,"OK")</f>
        <v>1</v>
      </c>
      <c r="M33" s="65" t="e" cm="1" vm="1">
        <f t="array" aca="1" ref="M33" ca="1">SUMIF('DB - Subscriptions'!V:V,'DB - Subscriptions'!c_parties,Parties[[#This Row],[Contracting Party Legal Entity Name]])</f>
        <v>#VALUE!</v>
      </c>
    </row>
    <row r="34" spans="1:13" ht="51">
      <c r="A34" s="15" t="s">
        <v>25</v>
      </c>
      <c r="B34" s="92" t="s">
        <v>1224</v>
      </c>
      <c r="C34" s="15" t="s">
        <v>66</v>
      </c>
      <c r="D34" s="93">
        <v>800373586</v>
      </c>
      <c r="E34" s="163" t="s">
        <v>59</v>
      </c>
      <c r="F34" s="15" t="s">
        <v>228</v>
      </c>
      <c r="G34" s="72" t="s">
        <v>229</v>
      </c>
      <c r="H34" s="59" t="s">
        <v>69</v>
      </c>
      <c r="I34" s="57">
        <v>44376</v>
      </c>
      <c r="J34" s="66" t="s">
        <v>230</v>
      </c>
      <c r="K34" s="87" t="s">
        <v>231</v>
      </c>
      <c r="L34" s="257">
        <f ca="1">COUNTIFS('DB - Subscriptions'!c_parties,Parties[[#This Row],[Contracting Party Legal Entity Name]],'DB - Subscriptions'!R:R,"OK")</f>
        <v>1</v>
      </c>
      <c r="M34" s="65" t="e" cm="1" vm="1">
        <f t="array" aca="1" ref="M34" ca="1">SUMIF('DB - Subscriptions'!V:V,'DB - Subscriptions'!c_parties,Parties[[#This Row],[Contracting Party Legal Entity Name]])</f>
        <v>#VALUE!</v>
      </c>
    </row>
    <row r="35" spans="1:13" ht="34">
      <c r="A35" s="15" t="s">
        <v>25</v>
      </c>
      <c r="B35" s="92" t="s">
        <v>232</v>
      </c>
      <c r="C35" s="15" t="s">
        <v>66</v>
      </c>
      <c r="D35" s="94" t="s">
        <v>233</v>
      </c>
      <c r="E35" s="163" t="s">
        <v>234</v>
      </c>
      <c r="F35" s="15" t="s">
        <v>235</v>
      </c>
      <c r="G35" s="72" t="s">
        <v>236</v>
      </c>
      <c r="H35" s="59" t="s">
        <v>69</v>
      </c>
      <c r="I35" s="57">
        <v>44370</v>
      </c>
      <c r="J35" s="66" t="s">
        <v>237</v>
      </c>
      <c r="K35" s="87" t="s">
        <v>238</v>
      </c>
      <c r="L35" s="257">
        <f ca="1">COUNTIFS('DB - Subscriptions'!c_parties,Parties[[#This Row],[Contracting Party Legal Entity Name]],'DB - Subscriptions'!R:R,"OK")</f>
        <v>1</v>
      </c>
      <c r="M35" s="65" t="e" cm="1" vm="1">
        <f t="array" aca="1" ref="M35" ca="1">SUMIF('DB - Subscriptions'!V:V,'DB - Subscriptions'!c_parties,Parties[[#This Row],[Contracting Party Legal Entity Name]])</f>
        <v>#VALUE!</v>
      </c>
    </row>
    <row r="36" spans="1:13" ht="51">
      <c r="A36" s="15" t="s">
        <v>25</v>
      </c>
      <c r="B36" s="92" t="s">
        <v>239</v>
      </c>
      <c r="C36" s="15" t="s">
        <v>66</v>
      </c>
      <c r="D36" s="94" t="s">
        <v>240</v>
      </c>
      <c r="E36" s="163" t="s">
        <v>59</v>
      </c>
      <c r="F36" s="15" t="s">
        <v>241</v>
      </c>
      <c r="G36" s="72" t="s">
        <v>242</v>
      </c>
      <c r="H36" s="59" t="s">
        <v>69</v>
      </c>
      <c r="I36" s="57">
        <v>44377</v>
      </c>
      <c r="J36" s="66" t="s">
        <v>243</v>
      </c>
      <c r="K36" s="87" t="s">
        <v>244</v>
      </c>
      <c r="L36" s="257">
        <f ca="1">COUNTIFS('DB - Subscriptions'!c_parties,Parties[[#This Row],[Contracting Party Legal Entity Name]],'DB - Subscriptions'!R:R,"OK")</f>
        <v>1</v>
      </c>
      <c r="M36" s="65" t="e" cm="1" vm="1">
        <f t="array" aca="1" ref="M36" ca="1">SUMIF('DB - Subscriptions'!V:V,'DB - Subscriptions'!c_parties,Parties[[#This Row],[Contracting Party Legal Entity Name]])</f>
        <v>#VALUE!</v>
      </c>
    </row>
    <row r="37" spans="1:13" ht="51">
      <c r="A37" s="15" t="s">
        <v>25</v>
      </c>
      <c r="B37" s="92" t="s">
        <v>245</v>
      </c>
      <c r="C37" s="15" t="s">
        <v>66</v>
      </c>
      <c r="D37" s="94" t="s">
        <v>246</v>
      </c>
      <c r="E37" s="219" t="s">
        <v>247</v>
      </c>
      <c r="F37" s="15" t="s">
        <v>248</v>
      </c>
      <c r="G37" s="72" t="s">
        <v>249</v>
      </c>
      <c r="H37" s="59" t="s">
        <v>69</v>
      </c>
      <c r="I37" s="57">
        <v>44382</v>
      </c>
      <c r="J37" s="66" t="s">
        <v>250</v>
      </c>
      <c r="K37" s="70" t="s">
        <v>251</v>
      </c>
      <c r="L37" s="257">
        <f ca="1">COUNTIFS('DB - Subscriptions'!c_parties,Parties[[#This Row],[Contracting Party Legal Entity Name]],'DB - Subscriptions'!R:R,"OK")</f>
        <v>1</v>
      </c>
      <c r="M37" s="65" t="e" cm="1" vm="1">
        <f t="array" aca="1" ref="M37" ca="1">SUMIF('DB - Subscriptions'!V:V,'DB - Subscriptions'!c_parties,Parties[[#This Row],[Contracting Party Legal Entity Name]])</f>
        <v>#VALUE!</v>
      </c>
    </row>
    <row r="38" spans="1:13" ht="68">
      <c r="A38" s="15" t="s">
        <v>49</v>
      </c>
      <c r="B38" s="92" t="s">
        <v>252</v>
      </c>
      <c r="C38" s="15" t="s">
        <v>31</v>
      </c>
      <c r="D38" s="94" t="s">
        <v>253</v>
      </c>
      <c r="E38" s="163" t="s">
        <v>254</v>
      </c>
      <c r="F38" s="63" t="s">
        <v>255</v>
      </c>
      <c r="G38" s="74" t="s">
        <v>256</v>
      </c>
      <c r="H38" s="59" t="s">
        <v>46</v>
      </c>
      <c r="I38" s="57">
        <v>44377</v>
      </c>
      <c r="J38" s="66" t="s">
        <v>257</v>
      </c>
      <c r="K38" s="80" t="s">
        <v>258</v>
      </c>
      <c r="L38" s="257">
        <f ca="1">COUNTIFS('DB - Subscriptions'!c_parties,Parties[[#This Row],[Contracting Party Legal Entity Name]],'DB - Subscriptions'!R:R,"OK")</f>
        <v>1</v>
      </c>
      <c r="M38" s="65" t="e" cm="1" vm="1">
        <f t="array" aca="1" ref="M38" ca="1">SUMIF('DB - Subscriptions'!V:V,'DB - Subscriptions'!c_parties,Parties[[#This Row],[Contracting Party Legal Entity Name]])</f>
        <v>#VALUE!</v>
      </c>
    </row>
    <row r="39" spans="1:13" ht="51">
      <c r="A39" s="15" t="s">
        <v>49</v>
      </c>
      <c r="B39" s="92" t="s">
        <v>259</v>
      </c>
      <c r="C39" s="15" t="s">
        <v>31</v>
      </c>
      <c r="D39" s="104" t="s">
        <v>260</v>
      </c>
      <c r="E39" s="163" t="s">
        <v>261</v>
      </c>
      <c r="F39" s="63" t="s">
        <v>262</v>
      </c>
      <c r="G39" s="72" t="s">
        <v>263</v>
      </c>
      <c r="H39" s="59" t="s">
        <v>46</v>
      </c>
      <c r="I39" s="57">
        <v>44328</v>
      </c>
      <c r="J39" s="66" t="s">
        <v>264</v>
      </c>
      <c r="K39" s="80" t="s">
        <v>265</v>
      </c>
      <c r="L39" s="257">
        <f ca="1">COUNTIFS('DB - Subscriptions'!c_parties,Parties[[#This Row],[Contracting Party Legal Entity Name]],'DB - Subscriptions'!R:R,"OK")</f>
        <v>1</v>
      </c>
      <c r="M39" s="65" t="e" cm="1" vm="1">
        <f t="array" aca="1" ref="M39" ca="1">SUMIF('DB - Subscriptions'!V:V,'DB - Subscriptions'!c_parties,Parties[[#This Row],[Contracting Party Legal Entity Name]])</f>
        <v>#VALUE!</v>
      </c>
    </row>
    <row r="40" spans="1:13" ht="51">
      <c r="A40" s="15" t="s">
        <v>25</v>
      </c>
      <c r="B40" s="92" t="s">
        <v>266</v>
      </c>
      <c r="C40" s="15" t="s">
        <v>66</v>
      </c>
      <c r="D40" s="104" t="s">
        <v>267</v>
      </c>
      <c r="E40" s="163" t="s">
        <v>59</v>
      </c>
      <c r="F40" s="15" t="s">
        <v>268</v>
      </c>
      <c r="G40" s="72" t="s">
        <v>269</v>
      </c>
      <c r="H40" s="59" t="s">
        <v>69</v>
      </c>
      <c r="I40" s="57">
        <v>44390</v>
      </c>
      <c r="J40" s="66" t="s">
        <v>271</v>
      </c>
      <c r="K40" s="70" t="s">
        <v>272</v>
      </c>
      <c r="L40" s="257">
        <f ca="1">COUNTIFS('DB - Subscriptions'!c_parties,Parties[[#This Row],[Contracting Party Legal Entity Name]],'DB - Subscriptions'!R:R,"OK")</f>
        <v>1</v>
      </c>
      <c r="M40" s="65" t="e" cm="1" vm="1">
        <f t="array" aca="1" ref="M40" ca="1">SUMIF('DB - Subscriptions'!V:V,'DB - Subscriptions'!c_parties,Parties[[#This Row],[Contracting Party Legal Entity Name]])</f>
        <v>#VALUE!</v>
      </c>
    </row>
    <row r="41" spans="1:13" ht="51">
      <c r="A41" s="15" t="s">
        <v>49</v>
      </c>
      <c r="B41" s="92" t="s">
        <v>273</v>
      </c>
      <c r="C41" s="15" t="s">
        <v>31</v>
      </c>
      <c r="D41" s="104" t="s">
        <v>274</v>
      </c>
      <c r="E41" s="15" t="s">
        <v>275</v>
      </c>
      <c r="F41" s="15" t="s">
        <v>276</v>
      </c>
      <c r="G41" s="72" t="s">
        <v>277</v>
      </c>
      <c r="H41" s="59" t="s">
        <v>46</v>
      </c>
      <c r="I41" s="57">
        <v>44390</v>
      </c>
      <c r="J41" s="66" t="s">
        <v>278</v>
      </c>
      <c r="K41" s="87" t="s">
        <v>279</v>
      </c>
      <c r="L41" s="257">
        <f ca="1">COUNTIFS('DB - Subscriptions'!c_parties,Parties[[#This Row],[Contracting Party Legal Entity Name]],'DB - Subscriptions'!R:R,"OK")</f>
        <v>1</v>
      </c>
      <c r="M41" s="65" t="e" cm="1" vm="1">
        <f t="array" aca="1" ref="M41" ca="1">SUMIF('DB - Subscriptions'!V:V,'DB - Subscriptions'!c_parties,Parties[[#This Row],[Contracting Party Legal Entity Name]])</f>
        <v>#VALUE!</v>
      </c>
    </row>
    <row r="42" spans="1:13" ht="51">
      <c r="A42" s="15" t="s">
        <v>25</v>
      </c>
      <c r="B42" s="92" t="s">
        <v>280</v>
      </c>
      <c r="C42" s="15" t="s">
        <v>66</v>
      </c>
      <c r="D42" s="104" t="s">
        <v>281</v>
      </c>
      <c r="E42" s="163" t="s">
        <v>59</v>
      </c>
      <c r="F42" s="15" t="s">
        <v>282</v>
      </c>
      <c r="G42" s="118" t="s">
        <v>283</v>
      </c>
      <c r="H42" s="15" t="s">
        <v>69</v>
      </c>
      <c r="I42" s="57">
        <v>44392</v>
      </c>
      <c r="J42" s="63" t="s">
        <v>284</v>
      </c>
      <c r="K42" s="119" t="s">
        <v>285</v>
      </c>
      <c r="L42" s="257">
        <f ca="1">COUNTIFS('DB - Subscriptions'!c_parties,Parties[[#This Row],[Contracting Party Legal Entity Name]],'DB - Subscriptions'!R:R,"OK")</f>
        <v>1</v>
      </c>
      <c r="M42" s="65" t="e" cm="1" vm="1">
        <f t="array" aca="1" ref="M42" ca="1">SUMIF('DB - Subscriptions'!V:V,'DB - Subscriptions'!c_parties,Parties[[#This Row],[Contracting Party Legal Entity Name]])</f>
        <v>#VALUE!</v>
      </c>
    </row>
    <row r="43" spans="1:13" ht="51">
      <c r="A43" s="15" t="s">
        <v>25</v>
      </c>
      <c r="B43" s="92" t="s">
        <v>286</v>
      </c>
      <c r="C43" s="15" t="s">
        <v>66</v>
      </c>
      <c r="D43" s="104" t="s">
        <v>287</v>
      </c>
      <c r="E43" s="163" t="s">
        <v>59</v>
      </c>
      <c r="F43" s="15" t="s">
        <v>288</v>
      </c>
      <c r="G43" s="72" t="s">
        <v>289</v>
      </c>
      <c r="H43" s="15" t="s">
        <v>69</v>
      </c>
      <c r="I43" s="57">
        <v>44398</v>
      </c>
      <c r="J43" s="66" t="s">
        <v>290</v>
      </c>
      <c r="K43" s="70" t="s">
        <v>291</v>
      </c>
      <c r="L43" s="257">
        <f ca="1">COUNTIFS('DB - Subscriptions'!c_parties,Parties[[#This Row],[Contracting Party Legal Entity Name]],'DB - Subscriptions'!R:R,"OK")</f>
        <v>1</v>
      </c>
      <c r="M43" s="65" t="e" cm="1" vm="1">
        <f t="array" aca="1" ref="M43" ca="1">SUMIF('DB - Subscriptions'!V:V,'DB - Subscriptions'!c_parties,Parties[[#This Row],[Contracting Party Legal Entity Name]])</f>
        <v>#VALUE!</v>
      </c>
    </row>
    <row r="44" spans="1:13" ht="51">
      <c r="A44" s="15" t="s">
        <v>25</v>
      </c>
      <c r="B44" s="92" t="s">
        <v>292</v>
      </c>
      <c r="C44" s="15" t="s">
        <v>66</v>
      </c>
      <c r="D44" s="104" t="s">
        <v>293</v>
      </c>
      <c r="E44" s="163" t="s">
        <v>59</v>
      </c>
      <c r="F44" s="15" t="s">
        <v>294</v>
      </c>
      <c r="G44" s="72" t="s">
        <v>295</v>
      </c>
      <c r="H44" s="15" t="s">
        <v>69</v>
      </c>
      <c r="I44" s="124">
        <v>44390</v>
      </c>
      <c r="J44" s="66" t="s">
        <v>296</v>
      </c>
      <c r="K44" s="70" t="s">
        <v>297</v>
      </c>
      <c r="L44" s="257">
        <f ca="1">COUNTIFS('DB - Subscriptions'!c_parties,Parties[[#This Row],[Contracting Party Legal Entity Name]],'DB - Subscriptions'!R:R,"OK")</f>
        <v>1</v>
      </c>
      <c r="M44" s="65" t="e" cm="1" vm="1">
        <f t="array" aca="1" ref="M44" ca="1">SUMIF('DB - Subscriptions'!V:V,'DB - Subscriptions'!c_parties,Parties[[#This Row],[Contracting Party Legal Entity Name]])</f>
        <v>#VALUE!</v>
      </c>
    </row>
    <row r="45" spans="1:13" ht="51">
      <c r="A45" s="15" t="s">
        <v>25</v>
      </c>
      <c r="B45" s="92" t="s">
        <v>298</v>
      </c>
      <c r="C45" s="15" t="s">
        <v>66</v>
      </c>
      <c r="D45" s="104" t="s">
        <v>299</v>
      </c>
      <c r="E45" s="163" t="s">
        <v>300</v>
      </c>
      <c r="F45" s="15" t="s">
        <v>301</v>
      </c>
      <c r="G45" s="72">
        <v>67378470</v>
      </c>
      <c r="H45" s="15" t="s">
        <v>69</v>
      </c>
      <c r="I45" s="124">
        <v>44403</v>
      </c>
      <c r="J45" s="66" t="s">
        <v>302</v>
      </c>
      <c r="K45" s="70" t="s">
        <v>303</v>
      </c>
      <c r="L45" s="257">
        <f ca="1">COUNTIFS('DB - Subscriptions'!c_parties,Parties[[#This Row],[Contracting Party Legal Entity Name]],'DB - Subscriptions'!R:R,"OK")</f>
        <v>1</v>
      </c>
      <c r="M45" s="65" t="e" cm="1" vm="1">
        <f t="array" aca="1" ref="M45" ca="1">SUMIF('DB - Subscriptions'!V:V,'DB - Subscriptions'!c_parties,Parties[[#This Row],[Contracting Party Legal Entity Name]])</f>
        <v>#VALUE!</v>
      </c>
    </row>
    <row r="46" spans="1:13" ht="51">
      <c r="A46" s="15" t="s">
        <v>25</v>
      </c>
      <c r="B46" s="92" t="s">
        <v>304</v>
      </c>
      <c r="C46" s="15" t="s">
        <v>66</v>
      </c>
      <c r="D46" s="104" t="s">
        <v>305</v>
      </c>
      <c r="E46" s="163" t="s">
        <v>59</v>
      </c>
      <c r="F46" s="15" t="s">
        <v>306</v>
      </c>
      <c r="G46" s="72" t="s">
        <v>307</v>
      </c>
      <c r="H46" s="15" t="s">
        <v>69</v>
      </c>
      <c r="I46" s="124">
        <v>44404</v>
      </c>
      <c r="J46" s="66" t="s">
        <v>308</v>
      </c>
      <c r="K46" s="70" t="s">
        <v>309</v>
      </c>
      <c r="L46" s="257">
        <f ca="1">COUNTIFS('DB - Subscriptions'!c_parties,Parties[[#This Row],[Contracting Party Legal Entity Name]],'DB - Subscriptions'!R:R,"OK")</f>
        <v>1</v>
      </c>
      <c r="M46" s="65" t="e" cm="1" vm="1">
        <f t="array" aca="1" ref="M46" ca="1">SUMIF('DB - Subscriptions'!V:V,'DB - Subscriptions'!c_parties,Parties[[#This Row],[Contracting Party Legal Entity Name]])</f>
        <v>#VALUE!</v>
      </c>
    </row>
    <row r="47" spans="1:13" ht="51">
      <c r="A47" s="15" t="s">
        <v>25</v>
      </c>
      <c r="B47" s="92" t="s">
        <v>310</v>
      </c>
      <c r="C47" s="15" t="s">
        <v>66</v>
      </c>
      <c r="D47" s="104" t="s">
        <v>311</v>
      </c>
      <c r="E47" s="163" t="s">
        <v>312</v>
      </c>
      <c r="F47" s="15" t="s">
        <v>313</v>
      </c>
      <c r="G47" s="72" t="s">
        <v>58</v>
      </c>
      <c r="H47" s="15" t="s">
        <v>69</v>
      </c>
      <c r="I47" s="124">
        <v>44407</v>
      </c>
      <c r="J47" s="66" t="s">
        <v>314</v>
      </c>
      <c r="K47" s="70" t="s">
        <v>315</v>
      </c>
      <c r="L47" s="257">
        <f ca="1">COUNTIFS('DB - Subscriptions'!c_parties,Parties[[#This Row],[Contracting Party Legal Entity Name]],'DB - Subscriptions'!R:R,"OK")</f>
        <v>1</v>
      </c>
      <c r="M47" s="65" t="e" cm="1" vm="1">
        <f t="array" aca="1" ref="M47" ca="1">SUMIF('DB - Subscriptions'!V:V,'DB - Subscriptions'!c_parties,Parties[[#This Row],[Contracting Party Legal Entity Name]])</f>
        <v>#VALUE!</v>
      </c>
    </row>
    <row r="48" spans="1:13" ht="51">
      <c r="A48" s="15" t="s">
        <v>25</v>
      </c>
      <c r="B48" s="92" t="s">
        <v>316</v>
      </c>
      <c r="C48" s="15" t="s">
        <v>66</v>
      </c>
      <c r="D48" s="104" t="s">
        <v>317</v>
      </c>
      <c r="E48" s="15" t="s">
        <v>59</v>
      </c>
      <c r="F48" s="15" t="s">
        <v>313</v>
      </c>
      <c r="G48" s="72" t="s">
        <v>58</v>
      </c>
      <c r="H48" s="15" t="s">
        <v>69</v>
      </c>
      <c r="I48" s="124">
        <v>44407</v>
      </c>
      <c r="J48" s="66" t="s">
        <v>314</v>
      </c>
      <c r="K48" s="70" t="s">
        <v>315</v>
      </c>
      <c r="L48" s="257">
        <f>COUNTIFS('DB - Subscriptions'!c_parties,Parties[[#This Row],[Contracting Party Legal Entity Name]],'DB - Subscriptions'!R:R,"OK")</f>
        <v>0</v>
      </c>
      <c r="M48" s="65" t="e" cm="1" vm="1">
        <f t="array" aca="1" ref="M48" ca="1">SUMIF('DB - Subscriptions'!V:V,'DB - Subscriptions'!c_parties,Parties[[#This Row],[Contracting Party Legal Entity Name]])</f>
        <v>#VALUE!</v>
      </c>
    </row>
    <row r="49" spans="1:13" ht="51">
      <c r="A49" s="15" t="s">
        <v>25</v>
      </c>
      <c r="B49" s="92" t="s">
        <v>318</v>
      </c>
      <c r="C49" s="15" t="s">
        <v>66</v>
      </c>
      <c r="D49" s="104" t="s">
        <v>319</v>
      </c>
      <c r="E49" s="163" t="s">
        <v>59</v>
      </c>
      <c r="F49" s="15" t="s">
        <v>320</v>
      </c>
      <c r="G49" s="72" t="s">
        <v>321</v>
      </c>
      <c r="H49" s="15" t="s">
        <v>69</v>
      </c>
      <c r="I49" s="124">
        <v>44410</v>
      </c>
      <c r="J49" s="66" t="s">
        <v>322</v>
      </c>
      <c r="K49" s="80" t="s">
        <v>323</v>
      </c>
      <c r="L49" s="257">
        <f ca="1">COUNTIFS('DB - Subscriptions'!c_parties,Parties[[#This Row],[Contracting Party Legal Entity Name]],'DB - Subscriptions'!R:R,"OK")</f>
        <v>1</v>
      </c>
      <c r="M49" s="65" t="e" cm="1" vm="1">
        <f t="array" aca="1" ref="M49" ca="1">SUMIF('DB - Subscriptions'!V:V,'DB - Subscriptions'!c_parties,Parties[[#This Row],[Contracting Party Legal Entity Name]])</f>
        <v>#VALUE!</v>
      </c>
    </row>
    <row r="50" spans="1:13" ht="51">
      <c r="A50" s="15" t="s">
        <v>25</v>
      </c>
      <c r="B50" s="92" t="s">
        <v>324</v>
      </c>
      <c r="C50" s="15" t="s">
        <v>66</v>
      </c>
      <c r="D50" s="104" t="s">
        <v>325</v>
      </c>
      <c r="E50" s="163" t="s">
        <v>59</v>
      </c>
      <c r="F50" s="15" t="s">
        <v>326</v>
      </c>
      <c r="G50" s="72" t="s">
        <v>327</v>
      </c>
      <c r="H50" s="15" t="s">
        <v>69</v>
      </c>
      <c r="I50" s="124">
        <v>44412</v>
      </c>
      <c r="J50" s="66" t="s">
        <v>328</v>
      </c>
      <c r="K50" s="70" t="s">
        <v>329</v>
      </c>
      <c r="L50" s="257">
        <f ca="1">COUNTIFS('DB - Subscriptions'!c_parties,Parties[[#This Row],[Contracting Party Legal Entity Name]],'DB - Subscriptions'!R:R,"OK")</f>
        <v>1</v>
      </c>
      <c r="M50" s="65" t="e" cm="1" vm="1">
        <f t="array" aca="1" ref="M50" ca="1">SUMIF('DB - Subscriptions'!V:V,'DB - Subscriptions'!c_parties,Parties[[#This Row],[Contracting Party Legal Entity Name]])</f>
        <v>#VALUE!</v>
      </c>
    </row>
    <row r="51" spans="1:13" ht="51">
      <c r="A51" s="15" t="s">
        <v>25</v>
      </c>
      <c r="B51" s="92" t="s">
        <v>330</v>
      </c>
      <c r="C51" s="15" t="s">
        <v>66</v>
      </c>
      <c r="D51" s="104">
        <v>8120011061265</v>
      </c>
      <c r="E51" s="163" t="s">
        <v>59</v>
      </c>
      <c r="F51" s="15" t="s">
        <v>331</v>
      </c>
      <c r="G51" s="74" t="s">
        <v>332</v>
      </c>
      <c r="H51" s="15" t="s">
        <v>69</v>
      </c>
      <c r="I51" s="124">
        <v>44405</v>
      </c>
      <c r="J51" s="66" t="s">
        <v>333</v>
      </c>
      <c r="K51" s="80" t="s">
        <v>334</v>
      </c>
      <c r="L51" s="257">
        <f ca="1">COUNTIFS('DB - Subscriptions'!c_parties,Parties[[#This Row],[Contracting Party Legal Entity Name]],'DB - Subscriptions'!R:R,"OK")</f>
        <v>1</v>
      </c>
      <c r="M51" s="65" t="e" cm="1" vm="1">
        <f t="array" aca="1" ref="M51" ca="1">SUMIF('DB - Subscriptions'!V:V,'DB - Subscriptions'!c_parties,Parties[[#This Row],[Contracting Party Legal Entity Name]])</f>
        <v>#VALUE!</v>
      </c>
    </row>
    <row r="52" spans="1:13" ht="34">
      <c r="A52" s="15" t="s">
        <v>25</v>
      </c>
      <c r="B52" s="92" t="s">
        <v>335</v>
      </c>
      <c r="C52" s="15" t="s">
        <v>66</v>
      </c>
      <c r="D52" s="104" t="s">
        <v>336</v>
      </c>
      <c r="E52" s="163" t="s">
        <v>59</v>
      </c>
      <c r="F52" s="15" t="s">
        <v>337</v>
      </c>
      <c r="G52" s="72" t="s">
        <v>338</v>
      </c>
      <c r="H52" s="15" t="s">
        <v>69</v>
      </c>
      <c r="I52" s="124">
        <v>44413</v>
      </c>
      <c r="J52" s="66" t="s">
        <v>339</v>
      </c>
      <c r="K52" s="70" t="s">
        <v>340</v>
      </c>
      <c r="L52" s="257">
        <f ca="1">COUNTIFS('DB - Subscriptions'!c_parties,Parties[[#This Row],[Contracting Party Legal Entity Name]],'DB - Subscriptions'!R:R,"OK")</f>
        <v>1</v>
      </c>
      <c r="M52" s="65" t="e" cm="1" vm="1">
        <f t="array" aca="1" ref="M52" ca="1">SUMIF('DB - Subscriptions'!V:V,'DB - Subscriptions'!c_parties,Parties[[#This Row],[Contracting Party Legal Entity Name]])</f>
        <v>#VALUE!</v>
      </c>
    </row>
    <row r="53" spans="1:13" ht="51">
      <c r="A53" s="15" t="s">
        <v>25</v>
      </c>
      <c r="B53" s="92" t="s">
        <v>341</v>
      </c>
      <c r="C53" s="15" t="s">
        <v>66</v>
      </c>
      <c r="D53" s="104" t="s">
        <v>342</v>
      </c>
      <c r="E53" s="163" t="s">
        <v>343</v>
      </c>
      <c r="F53" s="15" t="s">
        <v>344</v>
      </c>
      <c r="G53" s="72" t="s">
        <v>345</v>
      </c>
      <c r="H53" s="15" t="s">
        <v>69</v>
      </c>
      <c r="I53" s="124">
        <v>44414</v>
      </c>
      <c r="J53" s="66" t="s">
        <v>346</v>
      </c>
      <c r="K53" s="70" t="s">
        <v>347</v>
      </c>
      <c r="L53" s="257">
        <f ca="1">COUNTIFS('DB - Subscriptions'!c_parties,Parties[[#This Row],[Contracting Party Legal Entity Name]],'DB - Subscriptions'!R:R,"OK")</f>
        <v>1</v>
      </c>
      <c r="M53" s="65" t="e" cm="1" vm="1">
        <f t="array" aca="1" ref="M53" ca="1">SUMIF('DB - Subscriptions'!V:V,'DB - Subscriptions'!c_parties,Parties[[#This Row],[Contracting Party Legal Entity Name]])</f>
        <v>#VALUE!</v>
      </c>
    </row>
    <row r="54" spans="1:13" ht="51">
      <c r="A54" s="15" t="s">
        <v>25</v>
      </c>
      <c r="B54" s="92" t="s">
        <v>348</v>
      </c>
      <c r="C54" s="15" t="s">
        <v>31</v>
      </c>
      <c r="D54" s="104">
        <v>10837</v>
      </c>
      <c r="F54" s="15" t="s">
        <v>349</v>
      </c>
      <c r="G54" s="72" t="s">
        <v>350</v>
      </c>
      <c r="H54" s="15" t="s">
        <v>69</v>
      </c>
      <c r="I54" s="124">
        <v>44420</v>
      </c>
      <c r="J54" s="66" t="s">
        <v>351</v>
      </c>
      <c r="K54" s="70" t="s">
        <v>352</v>
      </c>
      <c r="L54" s="257">
        <f ca="1">COUNTIFS('DB - Subscriptions'!c_parties,Parties[[#This Row],[Contracting Party Legal Entity Name]],'DB - Subscriptions'!R:R,"OK")</f>
        <v>1</v>
      </c>
      <c r="M54" s="65" t="e" cm="1" vm="1">
        <f t="array" aca="1" ref="M54" ca="1">SUMIF('DB - Subscriptions'!V:V,'DB - Subscriptions'!c_parties,Parties[[#This Row],[Contracting Party Legal Entity Name]])</f>
        <v>#VALUE!</v>
      </c>
    </row>
    <row r="55" spans="1:13" ht="51">
      <c r="A55" s="15" t="s">
        <v>25</v>
      </c>
      <c r="B55" s="92" t="s">
        <v>353</v>
      </c>
      <c r="C55" s="15" t="s">
        <v>66</v>
      </c>
      <c r="D55" s="104">
        <v>249979</v>
      </c>
      <c r="E55" s="163" t="s">
        <v>59</v>
      </c>
      <c r="F55" s="15" t="s">
        <v>354</v>
      </c>
      <c r="G55" s="72" t="s">
        <v>355</v>
      </c>
      <c r="H55" s="15" t="s">
        <v>69</v>
      </c>
      <c r="I55" s="124">
        <v>44421</v>
      </c>
      <c r="J55" s="66" t="s">
        <v>356</v>
      </c>
      <c r="K55" s="70" t="s">
        <v>357</v>
      </c>
      <c r="L55" s="257">
        <f ca="1">COUNTIFS('DB - Subscriptions'!c_parties,Parties[[#This Row],[Contracting Party Legal Entity Name]],'DB - Subscriptions'!R:R,"OK")</f>
        <v>1</v>
      </c>
      <c r="M55" s="65" t="e" cm="1" vm="1">
        <f t="array" aca="1" ref="M55" ca="1">SUMIF('DB - Subscriptions'!V:V,'DB - Subscriptions'!c_parties,Parties[[#This Row],[Contracting Party Legal Entity Name]])</f>
        <v>#VALUE!</v>
      </c>
    </row>
    <row r="56" spans="1:13" ht="51">
      <c r="A56" s="15" t="s">
        <v>25</v>
      </c>
      <c r="B56" s="92" t="s">
        <v>358</v>
      </c>
      <c r="C56" s="15" t="s">
        <v>66</v>
      </c>
      <c r="D56" s="104" t="s">
        <v>359</v>
      </c>
      <c r="F56" s="15" t="s">
        <v>313</v>
      </c>
      <c r="G56" s="72" t="s">
        <v>58</v>
      </c>
      <c r="H56" s="15" t="s">
        <v>69</v>
      </c>
      <c r="I56" s="124">
        <v>44421</v>
      </c>
      <c r="J56" s="66" t="s">
        <v>314</v>
      </c>
      <c r="K56" s="70" t="s">
        <v>315</v>
      </c>
      <c r="L56" s="257">
        <f ca="1">COUNTIFS('DB - Subscriptions'!c_parties,Parties[[#This Row],[Contracting Party Legal Entity Name]],'DB - Subscriptions'!R:R,"OK")</f>
        <v>1</v>
      </c>
      <c r="M56" s="65" t="e" cm="1" vm="1">
        <f t="array" aca="1" ref="M56" ca="1">SUMIF('DB - Subscriptions'!V:V,'DB - Subscriptions'!c_parties,Parties[[#This Row],[Contracting Party Legal Entity Name]])</f>
        <v>#VALUE!</v>
      </c>
    </row>
    <row r="57" spans="1:13" ht="85">
      <c r="A57" s="15" t="s">
        <v>25</v>
      </c>
      <c r="B57" s="92" t="s">
        <v>360</v>
      </c>
      <c r="C57" s="15" t="s">
        <v>31</v>
      </c>
      <c r="D57" s="104" t="s">
        <v>361</v>
      </c>
      <c r="F57" s="15" t="s">
        <v>362</v>
      </c>
      <c r="G57" s="72" t="s">
        <v>363</v>
      </c>
      <c r="H57" s="15" t="s">
        <v>69</v>
      </c>
      <c r="I57" s="124">
        <v>44419</v>
      </c>
      <c r="J57" s="66" t="s">
        <v>364</v>
      </c>
      <c r="K57" s="70" t="s">
        <v>365</v>
      </c>
      <c r="L57" s="257">
        <f ca="1">COUNTIFS('DB - Subscriptions'!c_parties,Parties[[#This Row],[Contracting Party Legal Entity Name]],'DB - Subscriptions'!R:R,"OK")</f>
        <v>1</v>
      </c>
      <c r="M57" s="65" t="e" cm="1" vm="1">
        <f t="array" aca="1" ref="M57" ca="1">SUMIF('DB - Subscriptions'!V:V,'DB - Subscriptions'!c_parties,Parties[[#This Row],[Contracting Party Legal Entity Name]])</f>
        <v>#VALUE!</v>
      </c>
    </row>
    <row r="58" spans="1:13" ht="68">
      <c r="A58" s="15" t="s">
        <v>25</v>
      </c>
      <c r="B58" s="92" t="s">
        <v>366</v>
      </c>
      <c r="C58" s="15" t="s">
        <v>66</v>
      </c>
      <c r="D58" s="104" t="s">
        <v>367</v>
      </c>
      <c r="E58" s="163" t="s">
        <v>59</v>
      </c>
      <c r="F58" s="15" t="s">
        <v>368</v>
      </c>
      <c r="G58" s="72" t="s">
        <v>369</v>
      </c>
      <c r="H58" s="15" t="s">
        <v>69</v>
      </c>
      <c r="I58" s="124">
        <v>44427</v>
      </c>
      <c r="J58" s="66" t="s">
        <v>370</v>
      </c>
      <c r="K58" s="70" t="s">
        <v>371</v>
      </c>
      <c r="L58" s="257">
        <f ca="1">COUNTIFS('DB - Subscriptions'!c_parties,Parties[[#This Row],[Contracting Party Legal Entity Name]],'DB - Subscriptions'!R:R,"OK")</f>
        <v>1</v>
      </c>
      <c r="M58" s="65" t="e" cm="1" vm="1">
        <f t="array" aca="1" ref="M58" ca="1">SUMIF('DB - Subscriptions'!V:V,'DB - Subscriptions'!c_parties,Parties[[#This Row],[Contracting Party Legal Entity Name]])</f>
        <v>#VALUE!</v>
      </c>
    </row>
    <row r="59" spans="1:13" ht="51">
      <c r="A59" s="15" t="s">
        <v>25</v>
      </c>
      <c r="B59" s="92" t="s">
        <v>372</v>
      </c>
      <c r="C59" s="15" t="s">
        <v>66</v>
      </c>
      <c r="D59" s="104">
        <v>1704590</v>
      </c>
      <c r="E59" s="163" t="s">
        <v>59</v>
      </c>
      <c r="F59" s="15" t="s">
        <v>373</v>
      </c>
      <c r="G59" s="72" t="s">
        <v>374</v>
      </c>
      <c r="H59" s="15" t="s">
        <v>69</v>
      </c>
      <c r="I59" s="124">
        <v>44426</v>
      </c>
      <c r="J59" s="66" t="s">
        <v>375</v>
      </c>
      <c r="K59" s="70" t="s">
        <v>376</v>
      </c>
      <c r="L59" s="257">
        <f ca="1">COUNTIFS('DB - Subscriptions'!c_parties,Parties[[#This Row],[Contracting Party Legal Entity Name]],'DB - Subscriptions'!R:R,"OK")</f>
        <v>1</v>
      </c>
      <c r="M59" s="65" t="e" cm="1" vm="1">
        <f t="array" aca="1" ref="M59" ca="1">SUMIF('DB - Subscriptions'!V:V,'DB - Subscriptions'!c_parties,Parties[[#This Row],[Contracting Party Legal Entity Name]])</f>
        <v>#VALUE!</v>
      </c>
    </row>
    <row r="60" spans="1:13" ht="68">
      <c r="A60" s="15" t="s">
        <v>25</v>
      </c>
      <c r="B60" s="92" t="s">
        <v>118</v>
      </c>
      <c r="C60" s="15" t="s">
        <v>66</v>
      </c>
      <c r="D60" s="104" t="s">
        <v>377</v>
      </c>
      <c r="E60" s="163" t="s">
        <v>59</v>
      </c>
      <c r="F60" s="15" t="s">
        <v>120</v>
      </c>
      <c r="G60" s="72" t="s">
        <v>121</v>
      </c>
      <c r="H60" s="15" t="s">
        <v>69</v>
      </c>
      <c r="I60" s="124">
        <v>44426</v>
      </c>
      <c r="J60" s="66" t="s">
        <v>378</v>
      </c>
      <c r="K60" s="70" t="s">
        <v>123</v>
      </c>
      <c r="L60" s="257">
        <f ca="1">COUNTIFS('DB - Subscriptions'!c_parties,Parties[[#This Row],[Contracting Party Legal Entity Name]],'DB - Subscriptions'!R:R,"OK")</f>
        <v>2</v>
      </c>
      <c r="M60" s="65" t="e" cm="1" vm="1">
        <f t="array" aca="1" ref="M60" ca="1">SUMIF('DB - Subscriptions'!V:V,'DB - Subscriptions'!c_parties,Parties[[#This Row],[Contracting Party Legal Entity Name]])</f>
        <v>#VALUE!</v>
      </c>
    </row>
    <row r="61" spans="1:13" ht="34">
      <c r="A61" s="15" t="s">
        <v>25</v>
      </c>
      <c r="B61" s="92" t="s">
        <v>379</v>
      </c>
      <c r="C61" s="15" t="s">
        <v>66</v>
      </c>
      <c r="D61" s="173">
        <v>130076</v>
      </c>
      <c r="E61" s="163" t="s">
        <v>380</v>
      </c>
      <c r="F61" s="15" t="s">
        <v>381</v>
      </c>
      <c r="G61" s="74" t="s">
        <v>382</v>
      </c>
      <c r="H61" s="15" t="s">
        <v>69</v>
      </c>
      <c r="I61" s="124">
        <v>44426</v>
      </c>
      <c r="J61" s="66" t="s">
        <v>383</v>
      </c>
      <c r="K61" s="80" t="s">
        <v>384</v>
      </c>
      <c r="L61" s="257">
        <f ca="1">COUNTIFS('DB - Subscriptions'!c_parties,Parties[[#This Row],[Contracting Party Legal Entity Name]],'DB - Subscriptions'!R:R,"OK")</f>
        <v>1</v>
      </c>
      <c r="M61" s="65" t="e" cm="1" vm="1">
        <f t="array" aca="1" ref="M61" ca="1">SUMIF('DB - Subscriptions'!V:V,'DB - Subscriptions'!c_parties,Parties[[#This Row],[Contracting Party Legal Entity Name]])</f>
        <v>#VALUE!</v>
      </c>
    </row>
    <row r="62" spans="1:13" ht="85">
      <c r="A62" s="15" t="s">
        <v>25</v>
      </c>
      <c r="B62" s="92" t="s">
        <v>385</v>
      </c>
      <c r="C62" s="15" t="s">
        <v>66</v>
      </c>
      <c r="D62" s="104" t="s">
        <v>386</v>
      </c>
      <c r="E62" s="15" t="s">
        <v>59</v>
      </c>
      <c r="F62" s="15" t="s">
        <v>368</v>
      </c>
      <c r="G62" s="72" t="s">
        <v>369</v>
      </c>
      <c r="H62" s="15" t="s">
        <v>69</v>
      </c>
      <c r="I62" s="124">
        <v>44431</v>
      </c>
      <c r="J62" s="66" t="s">
        <v>387</v>
      </c>
      <c r="K62" s="70" t="s">
        <v>371</v>
      </c>
      <c r="L62" s="257">
        <f ca="1">COUNTIFS('DB - Subscriptions'!c_parties,Parties[[#This Row],[Contracting Party Legal Entity Name]],'DB - Subscriptions'!R:R,"OK")</f>
        <v>1</v>
      </c>
      <c r="M62" s="65" t="e" cm="1" vm="1">
        <f t="array" aca="1" ref="M62" ca="1">SUMIF('DB - Subscriptions'!V:V,'DB - Subscriptions'!c_parties,Parties[[#This Row],[Contracting Party Legal Entity Name]])</f>
        <v>#VALUE!</v>
      </c>
    </row>
    <row r="63" spans="1:13" ht="68">
      <c r="A63" s="15" t="s">
        <v>25</v>
      </c>
      <c r="B63" s="92" t="s">
        <v>388</v>
      </c>
      <c r="C63" s="15" t="s">
        <v>66</v>
      </c>
      <c r="D63" s="104" t="s">
        <v>389</v>
      </c>
      <c r="E63" s="163" t="s">
        <v>390</v>
      </c>
      <c r="F63" s="15" t="s">
        <v>368</v>
      </c>
      <c r="G63" s="72" t="s">
        <v>369</v>
      </c>
      <c r="H63" s="15" t="s">
        <v>69</v>
      </c>
      <c r="I63" s="124">
        <v>44431</v>
      </c>
      <c r="J63" s="66" t="s">
        <v>391</v>
      </c>
      <c r="K63" s="70" t="s">
        <v>371</v>
      </c>
      <c r="L63" s="257">
        <f ca="1">COUNTIFS('DB - Subscriptions'!c_parties,Parties[[#This Row],[Contracting Party Legal Entity Name]],'DB - Subscriptions'!R:R,"OK")</f>
        <v>1</v>
      </c>
      <c r="M63" s="65" t="e" cm="1" vm="1">
        <f t="array" aca="1" ref="M63" ca="1">SUMIF('DB - Subscriptions'!V:V,'DB - Subscriptions'!c_parties,Parties[[#This Row],[Contracting Party Legal Entity Name]])</f>
        <v>#VALUE!</v>
      </c>
    </row>
    <row r="64" spans="1:13" ht="68">
      <c r="A64" s="15" t="s">
        <v>49</v>
      </c>
      <c r="B64" s="92" t="s">
        <v>2165</v>
      </c>
      <c r="C64" s="15" t="s">
        <v>31</v>
      </c>
      <c r="D64" s="104">
        <v>200101005077</v>
      </c>
      <c r="E64" s="163"/>
      <c r="F64" s="15" t="s">
        <v>392</v>
      </c>
      <c r="G64" s="72" t="s">
        <v>393</v>
      </c>
      <c r="H64" s="15" t="s">
        <v>46</v>
      </c>
      <c r="I64" s="124">
        <v>44426</v>
      </c>
      <c r="J64" s="66" t="s">
        <v>394</v>
      </c>
      <c r="K64" s="70" t="s">
        <v>395</v>
      </c>
      <c r="L64" s="257">
        <f ca="1">COUNTIFS('DB - Subscriptions'!c_parties,Parties[[#This Row],[Contracting Party Legal Entity Name]],'DB - Subscriptions'!R:R,"OK")</f>
        <v>1</v>
      </c>
      <c r="M64" s="65" t="e" cm="1" vm="1">
        <f t="array" aca="1" ref="M64" ca="1">SUMIF('DB - Subscriptions'!V:V,'DB - Subscriptions'!c_parties,Parties[[#This Row],[Contracting Party Legal Entity Name]])</f>
        <v>#VALUE!</v>
      </c>
    </row>
    <row r="65" spans="1:13" ht="68">
      <c r="A65" s="15" t="s">
        <v>25</v>
      </c>
      <c r="B65" s="92" t="s">
        <v>396</v>
      </c>
      <c r="C65" s="15" t="s">
        <v>66</v>
      </c>
      <c r="D65" s="104" t="s">
        <v>397</v>
      </c>
      <c r="E65" s="15" t="s">
        <v>59</v>
      </c>
      <c r="F65" s="15" t="s">
        <v>368</v>
      </c>
      <c r="G65" s="72" t="s">
        <v>369</v>
      </c>
      <c r="H65" s="15" t="s">
        <v>69</v>
      </c>
      <c r="I65" s="124">
        <v>44434</v>
      </c>
      <c r="J65" s="66" t="s">
        <v>398</v>
      </c>
      <c r="K65" s="70" t="s">
        <v>371</v>
      </c>
      <c r="L65" s="257">
        <f ca="1">COUNTIFS('DB - Subscriptions'!c_parties,Parties[[#This Row],[Contracting Party Legal Entity Name]],'DB - Subscriptions'!R:R,"OK")</f>
        <v>1</v>
      </c>
      <c r="M65" s="65" t="e" cm="1" vm="1">
        <f t="array" aca="1" ref="M65" ca="1">SUMIF('DB - Subscriptions'!V:V,'DB - Subscriptions'!c_parties,Parties[[#This Row],[Contracting Party Legal Entity Name]])</f>
        <v>#VALUE!</v>
      </c>
    </row>
    <row r="66" spans="1:13" ht="34">
      <c r="A66" s="15" t="s">
        <v>25</v>
      </c>
      <c r="B66" s="92" t="s">
        <v>399</v>
      </c>
      <c r="C66" s="15" t="s">
        <v>66</v>
      </c>
      <c r="D66" s="104" t="s">
        <v>400</v>
      </c>
      <c r="E66" s="15" t="s">
        <v>59</v>
      </c>
      <c r="F66" s="15" t="s">
        <v>401</v>
      </c>
      <c r="G66" s="72" t="s">
        <v>402</v>
      </c>
      <c r="H66" s="15" t="s">
        <v>69</v>
      </c>
      <c r="I66" s="124">
        <v>44438</v>
      </c>
      <c r="J66" s="66" t="s">
        <v>403</v>
      </c>
      <c r="K66" s="70" t="s">
        <v>404</v>
      </c>
      <c r="L66" s="257">
        <f ca="1">COUNTIFS('DB - Subscriptions'!c_parties,Parties[[#This Row],[Contracting Party Legal Entity Name]],'DB - Subscriptions'!R:R,"OK")</f>
        <v>1</v>
      </c>
      <c r="M66" s="65" t="e" cm="1" vm="1">
        <f t="array" aca="1" ref="M66" ca="1">SUMIF('DB - Subscriptions'!V:V,'DB - Subscriptions'!c_parties,Parties[[#This Row],[Contracting Party Legal Entity Name]])</f>
        <v>#VALUE!</v>
      </c>
    </row>
    <row r="67" spans="1:13" ht="34">
      <c r="A67" s="15" t="s">
        <v>25</v>
      </c>
      <c r="B67" s="92" t="s">
        <v>405</v>
      </c>
      <c r="C67" s="15" t="s">
        <v>66</v>
      </c>
      <c r="D67" s="104" t="s">
        <v>406</v>
      </c>
      <c r="E67" s="15" t="s">
        <v>59</v>
      </c>
      <c r="F67" s="15" t="s">
        <v>407</v>
      </c>
      <c r="G67" s="72" t="s">
        <v>408</v>
      </c>
      <c r="H67" s="15" t="s">
        <v>69</v>
      </c>
      <c r="I67" s="124">
        <v>44439</v>
      </c>
      <c r="J67" s="66" t="s">
        <v>409</v>
      </c>
      <c r="K67" s="70" t="s">
        <v>410</v>
      </c>
      <c r="L67" s="257">
        <f ca="1">COUNTIFS('DB - Subscriptions'!c_parties,Parties[[#This Row],[Contracting Party Legal Entity Name]],'DB - Subscriptions'!R:R,"OK")</f>
        <v>1</v>
      </c>
      <c r="M67" s="65" t="e" cm="1" vm="1">
        <f t="array" aca="1" ref="M67" ca="1">SUMIF('DB - Subscriptions'!V:V,'DB - Subscriptions'!c_parties,Parties[[#This Row],[Contracting Party Legal Entity Name]])</f>
        <v>#VALUE!</v>
      </c>
    </row>
    <row r="68" spans="1:13" ht="34">
      <c r="A68" s="15" t="s">
        <v>25</v>
      </c>
      <c r="B68" s="92" t="s">
        <v>411</v>
      </c>
      <c r="C68" s="15" t="s">
        <v>66</v>
      </c>
      <c r="D68" s="104" t="s">
        <v>412</v>
      </c>
      <c r="E68" s="173" t="s">
        <v>413</v>
      </c>
      <c r="F68" s="15" t="s">
        <v>407</v>
      </c>
      <c r="G68" s="72" t="s">
        <v>408</v>
      </c>
      <c r="H68" s="15" t="s">
        <v>69</v>
      </c>
      <c r="I68" s="124">
        <v>44439</v>
      </c>
      <c r="J68" s="66" t="s">
        <v>414</v>
      </c>
      <c r="K68" s="70" t="s">
        <v>410</v>
      </c>
      <c r="L68" s="257">
        <f ca="1">COUNTIFS('DB - Subscriptions'!c_parties,Parties[[#This Row],[Contracting Party Legal Entity Name]],'DB - Subscriptions'!R:R,"OK")</f>
        <v>1</v>
      </c>
      <c r="M68" s="65" t="e" cm="1" vm="1">
        <f t="array" aca="1" ref="M68" ca="1">SUMIF('DB - Subscriptions'!V:V,'DB - Subscriptions'!c_parties,Parties[[#This Row],[Contracting Party Legal Entity Name]])</f>
        <v>#VALUE!</v>
      </c>
    </row>
    <row r="69" spans="1:13" ht="34">
      <c r="A69" s="15" t="s">
        <v>25</v>
      </c>
      <c r="B69" s="92" t="s">
        <v>415</v>
      </c>
      <c r="C69" s="15" t="s">
        <v>66</v>
      </c>
      <c r="D69" s="104" t="s">
        <v>416</v>
      </c>
      <c r="E69" s="15" t="s">
        <v>59</v>
      </c>
      <c r="F69" s="15" t="s">
        <v>407</v>
      </c>
      <c r="G69" s="72" t="s">
        <v>408</v>
      </c>
      <c r="H69" s="15" t="s">
        <v>69</v>
      </c>
      <c r="I69" s="124">
        <v>44439</v>
      </c>
      <c r="J69" s="66" t="s">
        <v>414</v>
      </c>
      <c r="K69" s="70" t="s">
        <v>410</v>
      </c>
      <c r="L69" s="257">
        <f ca="1">COUNTIFS('DB - Subscriptions'!c_parties,Parties[[#This Row],[Contracting Party Legal Entity Name]],'DB - Subscriptions'!R:R,"OK")</f>
        <v>1</v>
      </c>
      <c r="M69" s="65" t="e" cm="1" vm="1">
        <f t="array" aca="1" ref="M69" ca="1">SUMIF('DB - Subscriptions'!V:V,'DB - Subscriptions'!c_parties,Parties[[#This Row],[Contracting Party Legal Entity Name]])</f>
        <v>#VALUE!</v>
      </c>
    </row>
    <row r="70" spans="1:13" ht="34">
      <c r="A70" s="15" t="s">
        <v>25</v>
      </c>
      <c r="B70" s="92" t="s">
        <v>417</v>
      </c>
      <c r="C70" s="15" t="s">
        <v>66</v>
      </c>
      <c r="D70" s="104" t="s">
        <v>418</v>
      </c>
      <c r="E70" s="15" t="s">
        <v>59</v>
      </c>
      <c r="F70" s="15" t="s">
        <v>407</v>
      </c>
      <c r="G70" s="72" t="s">
        <v>408</v>
      </c>
      <c r="H70" s="15" t="s">
        <v>69</v>
      </c>
      <c r="I70" s="124">
        <v>44439</v>
      </c>
      <c r="J70" s="66" t="s">
        <v>414</v>
      </c>
      <c r="K70" s="70" t="s">
        <v>410</v>
      </c>
      <c r="L70" s="257">
        <f ca="1">COUNTIFS('DB - Subscriptions'!c_parties,Parties[[#This Row],[Contracting Party Legal Entity Name]],'DB - Subscriptions'!R:R,"OK")</f>
        <v>1</v>
      </c>
      <c r="M70" s="65" t="e" cm="1" vm="1">
        <f t="array" aca="1" ref="M70" ca="1">SUMIF('DB - Subscriptions'!V:V,'DB - Subscriptions'!c_parties,Parties[[#This Row],[Contracting Party Legal Entity Name]])</f>
        <v>#VALUE!</v>
      </c>
    </row>
    <row r="71" spans="1:13" ht="34">
      <c r="A71" s="15" t="s">
        <v>25</v>
      </c>
      <c r="B71" s="92" t="s">
        <v>419</v>
      </c>
      <c r="C71" s="15" t="s">
        <v>66</v>
      </c>
      <c r="D71" s="104" t="s">
        <v>420</v>
      </c>
      <c r="E71" s="15" t="s">
        <v>59</v>
      </c>
      <c r="F71" s="15" t="s">
        <v>421</v>
      </c>
      <c r="G71" s="72" t="s">
        <v>422</v>
      </c>
      <c r="H71" s="15" t="s">
        <v>69</v>
      </c>
      <c r="I71" s="124">
        <v>44441</v>
      </c>
      <c r="J71" s="66" t="s">
        <v>423</v>
      </c>
      <c r="K71" s="70" t="s">
        <v>424</v>
      </c>
      <c r="L71" s="257">
        <f ca="1">COUNTIFS('DB - Subscriptions'!c_parties,Parties[[#This Row],[Contracting Party Legal Entity Name]],'DB - Subscriptions'!R:R,"OK")</f>
        <v>1</v>
      </c>
      <c r="M71" s="65" t="e" cm="1" vm="1">
        <f t="array" aca="1" ref="M71" ca="1">SUMIF('DB - Subscriptions'!V:V,'DB - Subscriptions'!c_parties,Parties[[#This Row],[Contracting Party Legal Entity Name]])</f>
        <v>#VALUE!</v>
      </c>
    </row>
    <row r="72" spans="1:13" ht="34">
      <c r="A72" s="15" t="s">
        <v>25</v>
      </c>
      <c r="B72" s="92" t="s">
        <v>425</v>
      </c>
      <c r="C72" s="15" t="s">
        <v>66</v>
      </c>
      <c r="D72" s="104" t="s">
        <v>426</v>
      </c>
      <c r="E72" s="173" t="s">
        <v>427</v>
      </c>
      <c r="F72" s="15" t="s">
        <v>421</v>
      </c>
      <c r="G72" s="72" t="s">
        <v>422</v>
      </c>
      <c r="H72" s="15" t="s">
        <v>69</v>
      </c>
      <c r="I72" s="124">
        <v>44441</v>
      </c>
      <c r="J72" s="66" t="s">
        <v>423</v>
      </c>
      <c r="K72" s="70" t="s">
        <v>424</v>
      </c>
      <c r="L72" s="257">
        <f ca="1">COUNTIFS('DB - Subscriptions'!c_parties,Parties[[#This Row],[Contracting Party Legal Entity Name]],'DB - Subscriptions'!R:R,"OK")</f>
        <v>1</v>
      </c>
      <c r="M72" s="65" t="e" cm="1" vm="1">
        <f t="array" aca="1" ref="M72" ca="1">SUMIF('DB - Subscriptions'!V:V,'DB - Subscriptions'!c_parties,Parties[[#This Row],[Contracting Party Legal Entity Name]])</f>
        <v>#VALUE!</v>
      </c>
    </row>
    <row r="73" spans="1:13" ht="51">
      <c r="A73" s="15" t="s">
        <v>25</v>
      </c>
      <c r="B73" s="92" t="s">
        <v>428</v>
      </c>
      <c r="C73" s="15" t="s">
        <v>66</v>
      </c>
      <c r="D73" s="104" t="s">
        <v>429</v>
      </c>
      <c r="E73" s="173" t="s">
        <v>59</v>
      </c>
      <c r="F73" s="15" t="s">
        <v>430</v>
      </c>
      <c r="G73" s="72" t="s">
        <v>431</v>
      </c>
      <c r="H73" s="15" t="s">
        <v>69</v>
      </c>
      <c r="I73" s="124">
        <v>44445</v>
      </c>
      <c r="J73" s="66" t="s">
        <v>432</v>
      </c>
      <c r="K73" s="70" t="s">
        <v>433</v>
      </c>
      <c r="L73" s="257">
        <f ca="1">COUNTIFS('DB - Subscriptions'!c_parties,Parties[[#This Row],[Contracting Party Legal Entity Name]],'DB - Subscriptions'!R:R,"OK")</f>
        <v>1</v>
      </c>
      <c r="M73" s="65" t="e" cm="1" vm="1">
        <f t="array" aca="1" ref="M73" ca="1">SUMIF('DB - Subscriptions'!V:V,'DB - Subscriptions'!c_parties,Parties[[#This Row],[Contracting Party Legal Entity Name]])</f>
        <v>#VALUE!</v>
      </c>
    </row>
    <row r="74" spans="1:13">
      <c r="B74" s="92"/>
      <c r="D74" s="104"/>
      <c r="E74" s="173"/>
      <c r="G74" s="72"/>
      <c r="I74" s="212"/>
      <c r="J74" s="66"/>
      <c r="K74" s="70"/>
      <c r="L74" s="70"/>
    </row>
    <row r="75" spans="1:13">
      <c r="B75" s="92"/>
      <c r="D75" s="104"/>
      <c r="E75" s="173"/>
      <c r="G75" s="72"/>
      <c r="I75" s="212"/>
      <c r="J75" s="66"/>
      <c r="K75" s="70"/>
      <c r="L75" s="70"/>
    </row>
    <row r="76" spans="1:13">
      <c r="B76" s="92"/>
      <c r="D76" s="104"/>
      <c r="E76" s="173"/>
      <c r="G76" s="72"/>
      <c r="I76" s="212"/>
      <c r="J76" s="66"/>
      <c r="K76" s="70"/>
      <c r="L76" s="70"/>
    </row>
    <row r="77" spans="1:13">
      <c r="B77" s="92"/>
      <c r="D77" s="104"/>
      <c r="E77" s="173"/>
      <c r="G77" s="72"/>
      <c r="I77" s="212"/>
      <c r="J77" s="66"/>
      <c r="K77" s="70"/>
      <c r="L77" s="70"/>
    </row>
    <row r="78" spans="1:13" ht="34">
      <c r="A78" s="72"/>
      <c r="B78" s="69" t="s">
        <v>434</v>
      </c>
      <c r="H78" s="59"/>
      <c r="J78" s="71"/>
    </row>
    <row r="79" spans="1:13">
      <c r="B79" s="123"/>
      <c r="H79" s="59"/>
      <c r="J79" s="71"/>
    </row>
    <row r="80" spans="1:13">
      <c r="H80" s="59"/>
      <c r="J80" s="71"/>
    </row>
    <row r="81" spans="8:10">
      <c r="H81" s="59"/>
      <c r="J81" s="71"/>
    </row>
    <row r="82" spans="8:10">
      <c r="H82" s="59"/>
      <c r="J82" s="71"/>
    </row>
    <row r="83" spans="8:10">
      <c r="H83" s="59"/>
      <c r="J83" s="71"/>
    </row>
    <row r="84" spans="8:10">
      <c r="H84" s="59"/>
      <c r="J84" s="71"/>
    </row>
    <row r="85" spans="8:10">
      <c r="H85" s="59"/>
      <c r="J85" s="71"/>
    </row>
    <row r="87" spans="8:10">
      <c r="H87" s="59"/>
    </row>
    <row r="88" spans="8:10">
      <c r="H88" s="59"/>
    </row>
    <row r="89" spans="8:10">
      <c r="H89" s="59"/>
    </row>
    <row r="90" spans="8:10">
      <c r="H90" s="59"/>
    </row>
    <row r="91" spans="8:10">
      <c r="H91" s="59"/>
    </row>
    <row r="92" spans="8:10">
      <c r="H92" s="59"/>
    </row>
    <row r="93" spans="8:10">
      <c r="H93" s="59"/>
    </row>
    <row r="94" spans="8:10">
      <c r="H94" s="59"/>
    </row>
  </sheetData>
  <dataValidations count="6">
    <dataValidation type="list" allowBlank="1" showInputMessage="1" showErrorMessage="1" sqref="C1:C4 B5:B22 C87:C1048576 C23:C85" xr:uid="{FBC91EBC-9C6C-EF4C-93A1-9B78B6E1B4A4}">
      <formula1>Types</formula1>
    </dataValidation>
    <dataValidation type="list" allowBlank="1" showInputMessage="1" showErrorMessage="1" sqref="H87:H1048576 H78:H85" xr:uid="{E635E47B-E4B1-A84B-AD53-ABEFD747DE1A}">
      <formula1>month_starts</formula1>
    </dataValidation>
    <dataValidation type="list" allowBlank="1" showInputMessage="1" showErrorMessage="1" sqref="I27:I77" xr:uid="{8C4885A1-2C71-814A-A9BF-BEA6D93F5430}">
      <formula1>month_ends</formula1>
    </dataValidation>
    <dataValidation type="list" allowBlank="1" showInputMessage="1" showErrorMessage="1" sqref="J87:J1048576 J78:J85" xr:uid="{B52377DB-58D5-4043-9B3C-7617C0D8E101}">
      <formula1>hosting_type</formula1>
    </dataValidation>
    <dataValidation type="list" allowBlank="1" showInputMessage="1" showErrorMessage="1" sqref="H1:H2" xr:uid="{6F2329E6-00D1-F44C-AAE8-591C27D17055}">
      <formula1>amodel</formula1>
    </dataValidation>
    <dataValidation type="list" allowBlank="1" showInputMessage="1" showErrorMessage="1" sqref="H27:H77" xr:uid="{B01C380B-C167-7146-A586-6792FAA84CFB}">
      <formula1>special</formula1>
    </dataValidation>
  </dataValidations>
  <hyperlinks>
    <hyperlink ref="K3" r:id="rId1" xr:uid="{327F2CD9-EE41-48D0-9E92-7FF02E364446}"/>
    <hyperlink ref="K9" r:id="rId2" xr:uid="{5E06156B-E96B-4F9F-825E-4CFCD1E58237}"/>
    <hyperlink ref="K6" r:id="rId3" display="emilybhng@bochk.com" xr:uid="{BAEF7FAA-CF6B-4846-8805-6848BB9527C9}"/>
    <hyperlink ref="K16" r:id="rId4" xr:uid="{A9A9DFCB-C3C2-42EA-9589-95139A63BFC1}"/>
    <hyperlink ref="K18" r:id="rId5" xr:uid="{97F9C6BC-E861-483F-90A2-4D2B16BACC29}"/>
    <hyperlink ref="K13" r:id="rId6" xr:uid="{4C08EAAD-D945-4179-B0B3-2C5BBB818636}"/>
    <hyperlink ref="K12" r:id="rId7" xr:uid="{A275D97B-2A6B-4982-B9E8-97A436789818}"/>
    <hyperlink ref="K10" r:id="rId8" display="mailto:Michel.Alves@riotinto.com" xr:uid="{8DDE64F6-80CD-4F4F-BE1B-B1ED4B759CBC}"/>
    <hyperlink ref="K11" r:id="rId9" xr:uid="{F6D0DD7C-D7BC-4A16-99B2-96CBB6BCAC7D}"/>
    <hyperlink ref="K4" r:id="rId10" xr:uid="{CAA751AB-59F8-4777-ACA6-97E487B869C8}"/>
    <hyperlink ref="K5" r:id="rId11" xr:uid="{2785F873-BBF0-43A9-BC43-CFB2E03A33D9}"/>
    <hyperlink ref="K14" r:id="rId12" xr:uid="{F4D9E450-C5AC-40E1-B6E9-75AD67051244}"/>
    <hyperlink ref="K20" r:id="rId13" display="verachin.silva@vale.com" xr:uid="{3EF9AD79-ABAA-49DA-B398-AA5F1181CBA2}"/>
    <hyperlink ref="K22" r:id="rId14" xr:uid="{A7F5A6BA-32FE-4A72-9AE9-362FA3DACC11}"/>
    <hyperlink ref="K23" r:id="rId15" xr:uid="{EAADCA96-02DF-4ACD-93DC-6469677BFD9B}"/>
    <hyperlink ref="K19" r:id="rId16" xr:uid="{271B397A-763D-4DEC-9391-ED5D274A2544}"/>
    <hyperlink ref="K17" r:id="rId17" xr:uid="{19E102C9-BB59-4F89-8434-CC66C438F3AA}"/>
    <hyperlink ref="K7" r:id="rId18" display="mailto:xuyiwei@itg.com.cn" xr:uid="{E1AD1E8C-8DD0-46E0-8BFF-03700EFC7DD0}"/>
    <hyperlink ref="K24" r:id="rId19" xr:uid="{6D87E6C6-2650-44B8-A699-CF8E23868574}"/>
    <hyperlink ref="K25" r:id="rId20" display="liaozhiying@njsteel.com.cn" xr:uid="{1BBBA526-E5A3-4D05-9C7A-127483EE228D}"/>
    <hyperlink ref="K27" r:id="rId21" xr:uid="{210543ED-78FF-2748-8B50-D681CBE74260}"/>
    <hyperlink ref="K28" r:id="rId22" xr:uid="{08088708-A434-4549-B8CF-9ED1F30E1912}"/>
    <hyperlink ref="K29" r:id="rId23" xr:uid="{5E4F10B0-4BA8-B742-B68E-BA7D23ECF176}"/>
    <hyperlink ref="K30" r:id="rId24" xr:uid="{CB6F94D7-E8E8-4147-AB83-883498E44AB4}"/>
    <hyperlink ref="K31" r:id="rId25" display="POR-FinanceAR@klkoleo.com" xr:uid="{D58949D4-511E-EC4C-A923-B03CE96CD754}"/>
    <hyperlink ref="K32" r:id="rId26" xr:uid="{23909164-3C3F-6542-9866-F7368B94F515}"/>
    <hyperlink ref="K34" r:id="rId27" xr:uid="{EE651930-2090-584C-8FB0-2F9DB2126A75}"/>
    <hyperlink ref="K35" r:id="rId28" xr:uid="{E5719741-0E6E-2D4A-88A0-128C9959DE48}"/>
    <hyperlink ref="K36" r:id="rId29" xr:uid="{2D4D2472-0EA0-4542-BE50-03649DDFEF92}"/>
    <hyperlink ref="K37" r:id="rId30" xr:uid="{C8F0C50A-858A-AE40-963D-81EF0078ADBE}"/>
    <hyperlink ref="K40" r:id="rId31" xr:uid="{1CA0A272-9A8D-5649-8A32-B7DA0C31F9A1}"/>
    <hyperlink ref="K42" r:id="rId32" xr:uid="{68515544-E3D4-CA4B-9B6E-F87E1F62D8C7}"/>
    <hyperlink ref="K43" r:id="rId33" xr:uid="{FA8FE605-AEB5-EE4A-A3CD-B576632A2519}"/>
    <hyperlink ref="K41" r:id="rId34" xr:uid="{E09EC286-F387-394E-A975-5A60BE3B5C44}"/>
    <hyperlink ref="K44" r:id="rId35" xr:uid="{8534D8B1-23FD-E34C-976B-221935E32675}"/>
    <hyperlink ref="K45" r:id="rId36" xr:uid="{D9FCEE59-493C-8B47-870D-C23DFC92AB40}"/>
    <hyperlink ref="K46" r:id="rId37" xr:uid="{CD6AEAD6-494E-9846-AE2D-50FD0117D323}"/>
    <hyperlink ref="K48" r:id="rId38" xr:uid="{23E5A062-B660-8949-A64A-2EF8D3E72EE6}"/>
    <hyperlink ref="K47" r:id="rId39" xr:uid="{342479D2-A446-3643-B659-56E075111950}"/>
    <hyperlink ref="K50" r:id="rId40" xr:uid="{E478DA39-2D7D-9C42-9FDF-8499D7D2512F}"/>
    <hyperlink ref="K52" r:id="rId41" xr:uid="{71CB70A6-5417-024D-953B-9E8935008174}"/>
    <hyperlink ref="K53" r:id="rId42" xr:uid="{88BDB1FE-A12A-DD46-BED0-F8CE45A93261}"/>
    <hyperlink ref="K54" r:id="rId43" xr:uid="{2F35D9C1-C6E6-9246-8067-47827C8E64E6}"/>
    <hyperlink ref="K55" r:id="rId44" xr:uid="{724EB375-D689-624C-83F8-15CB3BEF0694}"/>
    <hyperlink ref="K56" r:id="rId45" xr:uid="{B3FDA455-D150-1F4A-AED6-E09FA559BEA7}"/>
    <hyperlink ref="K57" r:id="rId46" xr:uid="{9A3E03B2-167D-544E-AC3C-2C836319E081}"/>
    <hyperlink ref="K58" r:id="rId47" xr:uid="{F5C3ADFD-6F22-104C-B7DE-9F673AAA690A}"/>
    <hyperlink ref="K59" r:id="rId48" xr:uid="{D906BEEF-CCB3-1145-8CD6-3AD5AAD4CD57}"/>
    <hyperlink ref="K60" r:id="rId49" xr:uid="{1423FA71-5B94-9F4B-9F4E-86400E9DA470}"/>
    <hyperlink ref="K62" r:id="rId50" xr:uid="{4D9F71E1-1A26-224D-B133-E702F49CC4AD}"/>
    <hyperlink ref="K63" r:id="rId51" xr:uid="{70860C08-4D55-1843-BF23-4025D3DD1A57}"/>
    <hyperlink ref="K64" r:id="rId52" xr:uid="{CEE92C33-EAE4-FF49-98F7-7D04DFCFF00A}"/>
    <hyperlink ref="K65" r:id="rId53" xr:uid="{8B912262-FFFE-8D40-BBEB-845127AF62C8}"/>
    <hyperlink ref="K66" r:id="rId54" xr:uid="{50299973-7FBD-7C4A-8295-34597565D1FD}"/>
    <hyperlink ref="K67" r:id="rId55" xr:uid="{7CFF6A19-CDEB-4BE4-92E2-08F1FFED9006}"/>
    <hyperlink ref="K68" r:id="rId56" xr:uid="{FD63126E-9DAB-407A-A4B5-29F6A135B1C1}"/>
    <hyperlink ref="K69" r:id="rId57" xr:uid="{384980D3-DF64-4D94-A8E8-866AC5CA37BB}"/>
    <hyperlink ref="K70" r:id="rId58" xr:uid="{99F8EFBF-C057-4FD8-BC2E-7B1081BBAE90}"/>
    <hyperlink ref="K71" r:id="rId59" xr:uid="{96FF0676-5192-4E66-89F9-D1F8C825E607}"/>
    <hyperlink ref="K72" r:id="rId60" xr:uid="{36224E78-47A2-4822-B750-3B5B642C0346}"/>
    <hyperlink ref="K73" r:id="rId61" xr:uid="{7B3307D6-1C66-49AF-9888-4B52446D192F}"/>
  </hyperlinks>
  <pageMargins left="0.7" right="0.7" top="0.75" bottom="0.75" header="0.3" footer="0.3"/>
  <pageSetup paperSize="9" orientation="portrait" horizontalDpi="0" verticalDpi="0"/>
  <tableParts count="1">
    <tablePart r:id="rId6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2925-E71F-CD4E-AA90-EEE0B45576C4}">
  <sheetPr codeName="Sheet18">
    <tabColor theme="9" tint="0.59999389629810485"/>
  </sheetPr>
  <dimension ref="A1:V94"/>
  <sheetViews>
    <sheetView tabSelected="1" zoomScale="110" zoomScaleNormal="110" workbookViewId="0">
      <pane xSplit="2" ySplit="1" topLeftCell="N29" activePane="bottomRight" state="frozen"/>
      <selection pane="topRight" activeCell="C1" sqref="C1"/>
      <selection pane="bottomLeft" activeCell="A2" sqref="A2"/>
      <selection pane="bottomRight" activeCell="V29" sqref="V29"/>
    </sheetView>
  </sheetViews>
  <sheetFormatPr baseColWidth="10" defaultColWidth="10.5" defaultRowHeight="16"/>
  <cols>
    <col min="1" max="1" width="12" style="15" customWidth="1"/>
    <col min="2" max="2" width="67" style="65" customWidth="1"/>
    <col min="3" max="5" width="17" style="247" customWidth="1"/>
    <col min="6" max="6" width="22.5" style="15" customWidth="1"/>
    <col min="7" max="7" width="19" style="65" customWidth="1"/>
    <col min="8" max="8" width="19.33203125" style="65" customWidth="1"/>
    <col min="9" max="9" width="15.33203125" style="261" customWidth="1"/>
    <col min="10" max="11" width="17.5" style="117" customWidth="1"/>
    <col min="12" max="12" width="13.1640625" style="117" customWidth="1"/>
    <col min="13" max="13" width="16.5" style="65" customWidth="1"/>
    <col min="14" max="14" width="21" style="65" customWidth="1"/>
    <col min="15" max="17" width="16.5" style="65" customWidth="1"/>
    <col min="18" max="18" width="13" style="65" customWidth="1"/>
    <col min="19" max="19" width="13.5" style="65" customWidth="1"/>
    <col min="20" max="20" width="14.33203125" style="65" customWidth="1"/>
    <col min="21" max="16384" width="10.5" style="65"/>
  </cols>
  <sheetData>
    <row r="1" spans="1:22" s="63" customFormat="1" ht="34.5" customHeight="1">
      <c r="A1" s="249" t="s">
        <v>0</v>
      </c>
      <c r="B1" s="237" t="s">
        <v>3</v>
      </c>
      <c r="C1" s="256" t="s">
        <v>2168</v>
      </c>
      <c r="D1" s="237" t="s">
        <v>2170</v>
      </c>
      <c r="E1" s="237" t="s">
        <v>2169</v>
      </c>
      <c r="F1" s="237" t="s">
        <v>12</v>
      </c>
      <c r="G1" s="237" t="s">
        <v>13</v>
      </c>
      <c r="H1" s="265" t="s">
        <v>436</v>
      </c>
      <c r="I1" s="61" t="s">
        <v>15</v>
      </c>
      <c r="J1" s="258" t="s">
        <v>17</v>
      </c>
      <c r="K1" s="61" t="s">
        <v>2166</v>
      </c>
      <c r="L1" s="61" t="s">
        <v>16</v>
      </c>
      <c r="M1" s="115" t="s">
        <v>2162</v>
      </c>
      <c r="N1" s="237" t="s">
        <v>18</v>
      </c>
      <c r="O1" s="237" t="s">
        <v>19</v>
      </c>
      <c r="P1" s="237" t="s">
        <v>20</v>
      </c>
      <c r="Q1" s="239" t="s">
        <v>2163</v>
      </c>
      <c r="R1" s="239" t="s">
        <v>2167</v>
      </c>
      <c r="S1" s="62" t="s">
        <v>21</v>
      </c>
      <c r="T1" s="62" t="s">
        <v>22</v>
      </c>
      <c r="U1" s="62" t="s">
        <v>23</v>
      </c>
      <c r="V1" s="62" t="s">
        <v>24</v>
      </c>
    </row>
    <row r="2" spans="1:22">
      <c r="A2" s="96">
        <v>0</v>
      </c>
      <c r="B2" s="97" t="s">
        <v>26</v>
      </c>
      <c r="C2" s="244">
        <f>_xlfn.XLOOKUP(Parties6[[#This Row],[Contracting Party Legal Entity Name]],c_parties,'DB - Contracting Parties'!I:I)</f>
        <v>44197</v>
      </c>
      <c r="D2" s="96">
        <v>-1</v>
      </c>
      <c r="E2" s="244">
        <v>44197</v>
      </c>
      <c r="F2" s="98">
        <v>44197</v>
      </c>
      <c r="G2" s="98">
        <v>44561</v>
      </c>
      <c r="H2" s="96"/>
      <c r="I2" s="100">
        <v>0</v>
      </c>
      <c r="J2" s="101"/>
      <c r="K2" s="100">
        <v>50</v>
      </c>
      <c r="L2" s="100" t="s">
        <v>28</v>
      </c>
      <c r="M2" s="262"/>
      <c r="N2" s="96" t="s">
        <v>29</v>
      </c>
      <c r="O2" s="101"/>
      <c r="P2" s="96"/>
      <c r="Q2" s="240">
        <f t="shared" ref="Q2:Q33" ca="1" si="0">_xlfn.DAYS(G2,NOW())</f>
        <v>113</v>
      </c>
      <c r="R2" s="240" t="str">
        <f ca="1">IF(Parties6[[#This Row],[Days to Expiry2]]&gt;0, "OK", "EXPIRED")</f>
        <v>OK</v>
      </c>
      <c r="S2" s="96">
        <f>COUNTIFS('DB - Identities'!A:A,A2,'DB - Identities'!V:V,"Active")</f>
        <v>9</v>
      </c>
      <c r="T2" s="15"/>
      <c r="U2" s="15">
        <f>SUMIF('DB - Identities'!A:A,A2,'DB - Identities'!AA:AA)</f>
        <v>0</v>
      </c>
      <c r="V2" s="175">
        <f>SUMIF('DB - Identities'!A:A,A2,'DB - Identities'!AB:AB)</f>
        <v>477</v>
      </c>
    </row>
    <row r="3" spans="1:22">
      <c r="A3" s="15">
        <v>1</v>
      </c>
      <c r="B3" s="65" t="s">
        <v>30</v>
      </c>
      <c r="C3" s="57">
        <f>_xlfn.XLOOKUP(Parties6[[#This Row],[Contracting Party Legal Entity Name]],c_parties,'DB - Contracting Parties'!I:I)</f>
        <v>44197</v>
      </c>
      <c r="D3" s="60">
        <v>3161961712</v>
      </c>
      <c r="E3" s="57">
        <v>44197</v>
      </c>
      <c r="F3" s="57">
        <v>44197</v>
      </c>
      <c r="G3" s="57">
        <v>44561</v>
      </c>
      <c r="H3" s="15" t="s">
        <v>35</v>
      </c>
      <c r="I3" s="60">
        <v>20</v>
      </c>
      <c r="J3" s="259">
        <v>400</v>
      </c>
      <c r="K3" s="60">
        <v>0</v>
      </c>
      <c r="L3" s="60" t="s">
        <v>39</v>
      </c>
      <c r="M3" s="116">
        <v>0</v>
      </c>
      <c r="N3" s="15" t="s">
        <v>29</v>
      </c>
      <c r="O3" s="67">
        <f>(Parties6[[#This Row],[Node Price (USD)]]+Parties6[[#This Row],[Identity Price (USD)]])*Parties6[[#This Row],[Identity Purchased ]]</f>
        <v>8000</v>
      </c>
      <c r="P3" s="255" t="s">
        <v>40</v>
      </c>
      <c r="Q3" s="241">
        <f t="shared" ca="1" si="0"/>
        <v>113</v>
      </c>
      <c r="R3" s="241" t="str">
        <f ca="1">IF(Parties6[[#This Row],[Days to Expiry2]]&gt;0, "OK", "EXPIRED")</f>
        <v>OK</v>
      </c>
      <c r="S3" s="15">
        <f>COUNTIFS('DB - Identities'!A:A,A3,'DB - Identities'!V:V,"Active")</f>
        <v>9</v>
      </c>
      <c r="T3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3" s="15">
        <f>SUMIF('DB - Identities'!A:A,A3,'DB - Identities'!AA:AA)</f>
        <v>6</v>
      </c>
      <c r="V3" s="164">
        <f>SUMIF('DB - Identities'!A:A,A3,'DB - Identities'!AB:AB)</f>
        <v>13</v>
      </c>
    </row>
    <row r="4" spans="1:22">
      <c r="A4" s="15">
        <v>2</v>
      </c>
      <c r="B4" s="65" t="s">
        <v>41</v>
      </c>
      <c r="C4" s="57">
        <f>_xlfn.XLOOKUP(Parties6[[#This Row],[Contracting Party Legal Entity Name]],c_parties,'DB - Contracting Parties'!I:I)</f>
        <v>44197</v>
      </c>
      <c r="D4" s="15">
        <v>3375179296</v>
      </c>
      <c r="E4" s="57">
        <v>44197</v>
      </c>
      <c r="F4" s="57">
        <v>44197</v>
      </c>
      <c r="G4" s="57">
        <v>44561</v>
      </c>
      <c r="H4" s="15" t="s">
        <v>35</v>
      </c>
      <c r="I4" s="60">
        <v>1</v>
      </c>
      <c r="J4" s="259"/>
      <c r="K4" s="60">
        <v>0</v>
      </c>
      <c r="L4" s="60" t="s">
        <v>39</v>
      </c>
      <c r="M4" s="116">
        <v>0</v>
      </c>
      <c r="N4" s="15" t="s">
        <v>29</v>
      </c>
      <c r="O4" s="67">
        <f>(Parties6[[#This Row],[Node Price (USD)]]+Parties6[[#This Row],[Identity Price (USD)]])*Parties6[[#This Row],[Identity Purchased ]]</f>
        <v>0</v>
      </c>
      <c r="P4" s="255"/>
      <c r="Q4" s="241">
        <f t="shared" ca="1" si="0"/>
        <v>113</v>
      </c>
      <c r="R4" s="241" t="str">
        <f ca="1">IF(Parties6[[#This Row],[Days to Expiry2]]&gt;0, "OK", "EXPIRED")</f>
        <v>OK</v>
      </c>
      <c r="S4" s="15">
        <f>COUNTIFS('DB - Identities'!A:A,A4,'DB - Identities'!V:V,"Active")</f>
        <v>1</v>
      </c>
      <c r="T4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" s="15">
        <f>SUMIF('DB - Identities'!A:A,A4,'DB - Identities'!AA:AA)</f>
        <v>0</v>
      </c>
      <c r="V4" s="164">
        <f>SUMIF('DB - Identities'!A:A,A4,'DB - Identities'!AB:AB)</f>
        <v>0</v>
      </c>
    </row>
    <row r="5" spans="1:22">
      <c r="A5" s="15">
        <v>3</v>
      </c>
      <c r="B5" s="65" t="s">
        <v>50</v>
      </c>
      <c r="C5" s="57">
        <f>_xlfn.XLOOKUP(Parties6[[#This Row],[Contracting Party Legal Entity Name]],c_parties,'DB - Contracting Parties'!I:I)</f>
        <v>44197</v>
      </c>
      <c r="D5" s="15">
        <v>3978840957</v>
      </c>
      <c r="E5" s="57">
        <v>44197</v>
      </c>
      <c r="F5" s="57">
        <v>44197</v>
      </c>
      <c r="G5" s="57">
        <v>44561</v>
      </c>
      <c r="H5" s="15" t="s">
        <v>35</v>
      </c>
      <c r="I5" s="60">
        <v>1</v>
      </c>
      <c r="J5" s="259"/>
      <c r="K5" s="60">
        <v>0</v>
      </c>
      <c r="L5" s="60" t="s">
        <v>39</v>
      </c>
      <c r="M5" s="116">
        <v>0</v>
      </c>
      <c r="N5" s="15" t="s">
        <v>29</v>
      </c>
      <c r="O5" s="67">
        <f>(Parties6[[#This Row],[Node Price (USD)]]+Parties6[[#This Row],[Identity Price (USD)]])*Parties6[[#This Row],[Identity Purchased ]]</f>
        <v>0</v>
      </c>
      <c r="P5" s="255"/>
      <c r="Q5" s="241">
        <f t="shared" ca="1" si="0"/>
        <v>113</v>
      </c>
      <c r="R5" s="241" t="str">
        <f ca="1">IF(Parties6[[#This Row],[Days to Expiry2]]&gt;0, "OK", "EXPIRED")</f>
        <v>OK</v>
      </c>
      <c r="S5" s="15">
        <f>COUNTIFS('DB - Identities'!A:A,A5,'DB - Identities'!V:V,"Active")</f>
        <v>1</v>
      </c>
      <c r="T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" s="15">
        <f>SUMIF('DB - Identities'!A:A,A5,'DB - Identities'!AA:AA)</f>
        <v>0</v>
      </c>
      <c r="V5" s="164">
        <f>SUMIF('DB - Identities'!A:A,A5,'DB - Identities'!AB:AB)</f>
        <v>0</v>
      </c>
    </row>
    <row r="6" spans="1:22">
      <c r="A6" s="15">
        <v>4</v>
      </c>
      <c r="B6" s="65" t="s">
        <v>57</v>
      </c>
      <c r="C6" s="57">
        <f>_xlfn.XLOOKUP(Parties6[[#This Row],[Contracting Party Legal Entity Name]],c_parties,'DB - Contracting Parties'!I:I)</f>
        <v>44256</v>
      </c>
      <c r="D6" s="15">
        <v>3416025469</v>
      </c>
      <c r="E6" s="57">
        <v>44256</v>
      </c>
      <c r="F6" s="57">
        <v>44256</v>
      </c>
      <c r="G6" s="57">
        <v>44620</v>
      </c>
      <c r="H6" s="15" t="s">
        <v>35</v>
      </c>
      <c r="I6" s="60">
        <v>1</v>
      </c>
      <c r="J6" s="259"/>
      <c r="K6" s="60">
        <v>1</v>
      </c>
      <c r="L6" s="60" t="s">
        <v>28</v>
      </c>
      <c r="M6" s="116"/>
      <c r="N6" s="15" t="s">
        <v>29</v>
      </c>
      <c r="O6" s="67">
        <f>(Parties6[[#This Row],[Node Price (USD)]]+Parties6[[#This Row],[Identity Price (USD)]])*Parties6[[#This Row],[Identity Purchased ]]</f>
        <v>0</v>
      </c>
      <c r="P6" s="255" t="s">
        <v>64</v>
      </c>
      <c r="Q6" s="241">
        <f t="shared" ca="1" si="0"/>
        <v>172</v>
      </c>
      <c r="R6" s="241" t="str">
        <f ca="1">IF(Parties6[[#This Row],[Days to Expiry2]]&gt;0, "OK", "EXPIRED")</f>
        <v>OK</v>
      </c>
      <c r="S6" s="15">
        <f>COUNTIFS('DB - Identities'!A:A,A6,'DB - Identities'!V:V,"Active")</f>
        <v>1</v>
      </c>
      <c r="T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6" s="15">
        <f>SUMIF('DB - Identities'!A:A,A6,'DB - Identities'!AA:AA)</f>
        <v>0</v>
      </c>
      <c r="V6" s="164">
        <f>SUMIF('DB - Identities'!A:A,A6,'DB - Identities'!AB:AB)</f>
        <v>0</v>
      </c>
    </row>
    <row r="7" spans="1:22">
      <c r="A7" s="15">
        <v>5</v>
      </c>
      <c r="B7" s="65" t="s">
        <v>65</v>
      </c>
      <c r="C7" s="57">
        <f>_xlfn.XLOOKUP(Parties6[[#This Row],[Contracting Party Legal Entity Name]],c_parties,'DB - Contracting Parties'!I:I)</f>
        <v>44256</v>
      </c>
      <c r="D7" s="15">
        <v>3474190995</v>
      </c>
      <c r="E7" s="57">
        <v>44256</v>
      </c>
      <c r="F7" s="57">
        <v>44256</v>
      </c>
      <c r="G7" s="57">
        <v>44620</v>
      </c>
      <c r="H7" s="15" t="s">
        <v>35</v>
      </c>
      <c r="I7" s="60">
        <v>2</v>
      </c>
      <c r="J7" s="259"/>
      <c r="K7" s="60">
        <v>2</v>
      </c>
      <c r="L7" s="60" t="s">
        <v>28</v>
      </c>
      <c r="M7" s="116"/>
      <c r="N7" s="15" t="s">
        <v>29</v>
      </c>
      <c r="O7" s="67">
        <f>(Parties6[[#This Row],[Node Price (USD)]]+Parties6[[#This Row],[Identity Price (USD)]])*Parties6[[#This Row],[Identity Purchased ]]</f>
        <v>0</v>
      </c>
      <c r="P7" s="255" t="s">
        <v>72</v>
      </c>
      <c r="Q7" s="241">
        <f t="shared" ca="1" si="0"/>
        <v>172</v>
      </c>
      <c r="R7" s="241" t="str">
        <f ca="1">IF(Parties6[[#This Row],[Days to Expiry2]]&gt;0, "OK", "EXPIRED")</f>
        <v>OK</v>
      </c>
      <c r="S7" s="15">
        <f>COUNTIFS('DB - Identities'!A:A,A7,'DB - Identities'!V:V,"Active")</f>
        <v>2</v>
      </c>
      <c r="T7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7" s="15">
        <f>SUMIF('DB - Identities'!A:A,A7,'DB - Identities'!AA:AA)</f>
        <v>0</v>
      </c>
      <c r="V7" s="164">
        <f>SUMIF('DB - Identities'!A:A,A7,'DB - Identities'!AB:AB)</f>
        <v>0</v>
      </c>
    </row>
    <row r="8" spans="1:22">
      <c r="A8" s="15">
        <v>6</v>
      </c>
      <c r="B8" s="65" t="s">
        <v>73</v>
      </c>
      <c r="C8" s="57">
        <f>_xlfn.XLOOKUP(Parties6[[#This Row],[Contracting Party Legal Entity Name]],c_parties,'DB - Contracting Parties'!I:I)</f>
        <v>44228</v>
      </c>
      <c r="D8" s="15">
        <v>3208177657</v>
      </c>
      <c r="E8" s="57">
        <v>44228</v>
      </c>
      <c r="F8" s="57">
        <v>44228</v>
      </c>
      <c r="G8" s="57">
        <v>44592</v>
      </c>
      <c r="H8" s="15" t="s">
        <v>35</v>
      </c>
      <c r="I8" s="60">
        <v>1</v>
      </c>
      <c r="J8" s="259"/>
      <c r="K8" s="60">
        <v>0</v>
      </c>
      <c r="L8" s="60" t="s">
        <v>39</v>
      </c>
      <c r="M8" s="116">
        <v>0</v>
      </c>
      <c r="N8" s="15" t="s">
        <v>29</v>
      </c>
      <c r="O8" s="67">
        <f>(Parties6[[#This Row],[Node Price (USD)]]+Parties6[[#This Row],[Identity Price (USD)]])*Parties6[[#This Row],[Identity Purchased ]]</f>
        <v>0</v>
      </c>
      <c r="P8" s="255" t="s">
        <v>78</v>
      </c>
      <c r="Q8" s="241">
        <f t="shared" ca="1" si="0"/>
        <v>144</v>
      </c>
      <c r="R8" s="241" t="str">
        <f ca="1">IF(Parties6[[#This Row],[Days to Expiry2]]&gt;0, "OK", "EXPIRED")</f>
        <v>OK</v>
      </c>
      <c r="S8" s="15">
        <f>COUNTIFS('DB - Identities'!A:A,A8,'DB - Identities'!V:V,"Active")</f>
        <v>1</v>
      </c>
      <c r="T8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8" s="15">
        <f>SUMIF('DB - Identities'!A:A,A8,'DB - Identities'!AA:AA)</f>
        <v>0</v>
      </c>
      <c r="V8" s="164">
        <f>SUMIF('DB - Identities'!A:A,A8,'DB - Identities'!AB:AB)</f>
        <v>0</v>
      </c>
    </row>
    <row r="9" spans="1:22">
      <c r="A9" s="15">
        <v>7</v>
      </c>
      <c r="B9" s="65" t="s">
        <v>79</v>
      </c>
      <c r="C9" s="57">
        <f>_xlfn.XLOOKUP(Parties6[[#This Row],[Contracting Party Legal Entity Name]],c_parties,'DB - Contracting Parties'!I:I)</f>
        <v>44256</v>
      </c>
      <c r="D9" s="15">
        <v>2935279758</v>
      </c>
      <c r="E9" s="57">
        <v>44256</v>
      </c>
      <c r="F9" s="57">
        <v>44256</v>
      </c>
      <c r="G9" s="57">
        <v>44620</v>
      </c>
      <c r="H9" s="15" t="s">
        <v>35</v>
      </c>
      <c r="I9" s="60">
        <v>2</v>
      </c>
      <c r="J9" s="259"/>
      <c r="K9" s="60">
        <v>2</v>
      </c>
      <c r="L9" s="60" t="s">
        <v>28</v>
      </c>
      <c r="M9" s="116"/>
      <c r="N9" s="15" t="s">
        <v>29</v>
      </c>
      <c r="O9" s="67">
        <f>(Parties6[[#This Row],[Node Price (USD)]]+Parties6[[#This Row],[Identity Price (USD)]])*Parties6[[#This Row],[Identity Purchased ]]</f>
        <v>0</v>
      </c>
      <c r="P9" s="255" t="s">
        <v>86</v>
      </c>
      <c r="Q9" s="241">
        <f t="shared" ca="1" si="0"/>
        <v>172</v>
      </c>
      <c r="R9" s="241" t="str">
        <f ca="1">IF(Parties6[[#This Row],[Days to Expiry2]]&gt;0, "OK", "EXPIRED")</f>
        <v>OK</v>
      </c>
      <c r="S9" s="15">
        <f>COUNTIFS('DB - Identities'!A:A,A9,'DB - Identities'!V:V,"Active")</f>
        <v>2</v>
      </c>
      <c r="T9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9" s="15">
        <f>SUMIF('DB - Identities'!A:A,A9,'DB - Identities'!AA:AA)</f>
        <v>0</v>
      </c>
      <c r="V9" s="164">
        <f>SUMIF('DB - Identities'!A:A,A9,'DB - Identities'!AB:AB)</f>
        <v>0</v>
      </c>
    </row>
    <row r="10" spans="1:22">
      <c r="A10" s="15">
        <v>8</v>
      </c>
      <c r="B10" s="65" t="s">
        <v>87</v>
      </c>
      <c r="C10" s="57">
        <f>_xlfn.XLOOKUP(Parties6[[#This Row],[Contracting Party Legal Entity Name]],c_parties,'DB - Contracting Parties'!I:I)</f>
        <v>44256</v>
      </c>
      <c r="D10" s="15">
        <v>3473581729</v>
      </c>
      <c r="E10" s="57">
        <v>44256</v>
      </c>
      <c r="F10" s="57">
        <v>44256</v>
      </c>
      <c r="G10" s="57">
        <v>44620</v>
      </c>
      <c r="H10" s="15" t="s">
        <v>35</v>
      </c>
      <c r="I10" s="60">
        <v>15</v>
      </c>
      <c r="J10" s="259"/>
      <c r="K10" s="60">
        <v>15</v>
      </c>
      <c r="L10" s="60" t="s">
        <v>28</v>
      </c>
      <c r="M10" s="116"/>
      <c r="N10" s="15" t="s">
        <v>29</v>
      </c>
      <c r="O10" s="67">
        <f>(Parties6[[#This Row],[Node Price (USD)]]+Parties6[[#This Row],[Identity Price (USD)]])*Parties6[[#This Row],[Identity Purchased ]]</f>
        <v>0</v>
      </c>
      <c r="P10" s="255" t="s">
        <v>94</v>
      </c>
      <c r="Q10" s="241">
        <f t="shared" ca="1" si="0"/>
        <v>172</v>
      </c>
      <c r="R10" s="241" t="str">
        <f ca="1">IF(Parties6[[#This Row],[Days to Expiry2]]&gt;0, "OK", "EXPIRED")</f>
        <v>OK</v>
      </c>
      <c r="S10" s="15">
        <f>COUNTIFS('DB - Identities'!A:A,A10,'DB - Identities'!V:V,"Active")</f>
        <v>3</v>
      </c>
      <c r="T10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10" s="15">
        <f>SUMIF('DB - Identities'!A:A,A10,'DB - Identities'!AA:AA)</f>
        <v>3</v>
      </c>
      <c r="V10" s="164">
        <f>SUMIF('DB - Identities'!A:A,A10,'DB - Identities'!AB:AB)</f>
        <v>5</v>
      </c>
    </row>
    <row r="11" spans="1:22">
      <c r="A11" s="15">
        <v>9</v>
      </c>
      <c r="B11" s="65" t="s">
        <v>95</v>
      </c>
      <c r="C11" s="57">
        <f>_xlfn.XLOOKUP(Parties6[[#This Row],[Contracting Party Legal Entity Name]],c_parties,'DB - Contracting Parties'!I:I)</f>
        <v>44256</v>
      </c>
      <c r="D11" s="15">
        <v>3415532928</v>
      </c>
      <c r="E11" s="57">
        <v>44256</v>
      </c>
      <c r="F11" s="57">
        <v>44256</v>
      </c>
      <c r="G11" s="57">
        <v>44620</v>
      </c>
      <c r="H11" s="15" t="s">
        <v>35</v>
      </c>
      <c r="I11" s="60">
        <v>1</v>
      </c>
      <c r="J11" s="259"/>
      <c r="K11" s="60">
        <v>0</v>
      </c>
      <c r="L11" s="60" t="s">
        <v>39</v>
      </c>
      <c r="M11" s="116">
        <v>0</v>
      </c>
      <c r="N11" s="15" t="s">
        <v>29</v>
      </c>
      <c r="O11" s="67">
        <f>(Parties6[[#This Row],[Node Price (USD)]]+Parties6[[#This Row],[Identity Price (USD)]])*Parties6[[#This Row],[Identity Purchased ]]</f>
        <v>0</v>
      </c>
      <c r="P11" s="255" t="s">
        <v>101</v>
      </c>
      <c r="Q11" s="241">
        <f t="shared" ca="1" si="0"/>
        <v>172</v>
      </c>
      <c r="R11" s="241" t="str">
        <f ca="1">IF(Parties6[[#This Row],[Days to Expiry2]]&gt;0, "OK", "EXPIRED")</f>
        <v>OK</v>
      </c>
      <c r="S11" s="15">
        <f>COUNTIFS('DB - Identities'!A:A,A11,'DB - Identities'!V:V,"Active")</f>
        <v>1</v>
      </c>
      <c r="T11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1" s="15">
        <f>SUMIF('DB - Identities'!A:A,A11,'DB - Identities'!AA:AA)</f>
        <v>0</v>
      </c>
      <c r="V11" s="164">
        <f>SUMIF('DB - Identities'!A:A,A11,'DB - Identities'!AB:AB)</f>
        <v>0</v>
      </c>
    </row>
    <row r="12" spans="1:22">
      <c r="A12" s="15">
        <v>10</v>
      </c>
      <c r="B12" s="65" t="s">
        <v>102</v>
      </c>
      <c r="C12" s="57">
        <f>_xlfn.XLOOKUP(Parties6[[#This Row],[Contracting Party Legal Entity Name]],c_parties,'DB - Contracting Parties'!I:I)</f>
        <v>44256</v>
      </c>
      <c r="D12" s="15">
        <v>4516726945</v>
      </c>
      <c r="E12" s="57">
        <v>44256</v>
      </c>
      <c r="F12" s="57">
        <v>44256</v>
      </c>
      <c r="G12" s="57">
        <v>44620</v>
      </c>
      <c r="H12" s="15" t="s">
        <v>35</v>
      </c>
      <c r="I12" s="60">
        <v>1</v>
      </c>
      <c r="J12" s="259"/>
      <c r="K12" s="60">
        <v>0</v>
      </c>
      <c r="L12" s="60" t="s">
        <v>39</v>
      </c>
      <c r="M12" s="116">
        <v>0</v>
      </c>
      <c r="N12" s="15" t="s">
        <v>29</v>
      </c>
      <c r="O12" s="67">
        <f>(Parties6[[#This Row],[Node Price (USD)]]+Parties6[[#This Row],[Identity Price (USD)]])*Parties6[[#This Row],[Identity Purchased ]]</f>
        <v>0</v>
      </c>
      <c r="P12" s="255" t="s">
        <v>108</v>
      </c>
      <c r="Q12" s="241">
        <f t="shared" ca="1" si="0"/>
        <v>172</v>
      </c>
      <c r="R12" s="241" t="str">
        <f ca="1">IF(Parties6[[#This Row],[Days to Expiry2]]&gt;0, "OK", "EXPIRED")</f>
        <v>OK</v>
      </c>
      <c r="S12" s="15">
        <f>COUNTIFS('DB - Identities'!A:A,A12,'DB - Identities'!V:V,"Active")</f>
        <v>1</v>
      </c>
      <c r="T12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2" s="15">
        <f>SUMIF('DB - Identities'!A:A,A12,'DB - Identities'!AA:AA)</f>
        <v>0</v>
      </c>
      <c r="V12" s="164">
        <f>SUMIF('DB - Identities'!A:A,A12,'DB - Identities'!AB:AB)</f>
        <v>0</v>
      </c>
    </row>
    <row r="13" spans="1:22">
      <c r="A13" s="15">
        <v>11</v>
      </c>
      <c r="B13" s="65" t="s">
        <v>109</v>
      </c>
      <c r="C13" s="57">
        <f>_xlfn.XLOOKUP(Parties6[[#This Row],[Contracting Party Legal Entity Name]],c_parties,'DB - Contracting Parties'!I:I)</f>
        <v>44256</v>
      </c>
      <c r="D13" s="15">
        <v>4065951839</v>
      </c>
      <c r="E13" s="57">
        <v>44256</v>
      </c>
      <c r="F13" s="58">
        <v>44302</v>
      </c>
      <c r="G13" s="57">
        <v>44620</v>
      </c>
      <c r="H13" s="76" t="s">
        <v>113</v>
      </c>
      <c r="I13" s="60">
        <v>1</v>
      </c>
      <c r="J13" s="259"/>
      <c r="K13" s="60">
        <v>1</v>
      </c>
      <c r="L13" s="60" t="s">
        <v>28</v>
      </c>
      <c r="M13" s="116"/>
      <c r="N13" s="15" t="s">
        <v>29</v>
      </c>
      <c r="O13" s="67">
        <f>(Parties6[[#This Row],[Node Price (USD)]]+Parties6[[#This Row],[Identity Price (USD)]])*Parties6[[#This Row],[Identity Purchased ]]</f>
        <v>0</v>
      </c>
      <c r="P13" s="255" t="s">
        <v>117</v>
      </c>
      <c r="Q13" s="241">
        <f t="shared" ca="1" si="0"/>
        <v>172</v>
      </c>
      <c r="R13" s="241" t="str">
        <f ca="1">IF(Parties6[[#This Row],[Days to Expiry2]]&gt;0, "OK", "EXPIRED")</f>
        <v>OK</v>
      </c>
      <c r="S13" s="15">
        <f>COUNTIFS('DB - Identities'!A:A,A13,'DB - Identities'!V:V,"Active")</f>
        <v>1</v>
      </c>
      <c r="T13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3" s="15">
        <f>SUMIF('DB - Identities'!A:A,A13,'DB - Identities'!AA:AA)</f>
        <v>0</v>
      </c>
      <c r="V13" s="164">
        <f>SUMIF('DB - Identities'!A:A,A13,'DB - Identities'!AB:AB)</f>
        <v>3</v>
      </c>
    </row>
    <row r="14" spans="1:22">
      <c r="A14" s="15">
        <v>12</v>
      </c>
      <c r="B14" s="65" t="s">
        <v>118</v>
      </c>
      <c r="C14" s="57">
        <f>_xlfn.XLOOKUP(Parties6[[#This Row],[Contracting Party Legal Entity Name]],c_parties,'DB - Contracting Parties'!I:I)</f>
        <v>44228</v>
      </c>
      <c r="D14" s="15">
        <v>4034779046</v>
      </c>
      <c r="E14" s="57">
        <v>44228</v>
      </c>
      <c r="F14" s="58">
        <v>44302</v>
      </c>
      <c r="G14" s="57">
        <v>44592</v>
      </c>
      <c r="H14" s="76" t="s">
        <v>113</v>
      </c>
      <c r="I14" s="60">
        <v>1</v>
      </c>
      <c r="J14" s="259"/>
      <c r="K14" s="60">
        <v>1</v>
      </c>
      <c r="L14" s="60" t="s">
        <v>28</v>
      </c>
      <c r="M14" s="116"/>
      <c r="N14" s="15" t="s">
        <v>29</v>
      </c>
      <c r="O14" s="67">
        <f>(Parties6[[#This Row],[Node Price (USD)]]+Parties6[[#This Row],[Identity Price (USD)]])*Parties6[[#This Row],[Identity Purchased ]]</f>
        <v>0</v>
      </c>
      <c r="P14" s="255" t="s">
        <v>117</v>
      </c>
      <c r="Q14" s="241">
        <f t="shared" ca="1" si="0"/>
        <v>144</v>
      </c>
      <c r="R14" s="241" t="str">
        <f ca="1">IF(Parties6[[#This Row],[Days to Expiry2]]&gt;0, "OK", "EXPIRED")</f>
        <v>OK</v>
      </c>
      <c r="S14" s="15">
        <f>COUNTIFS('DB - Identities'!A:A,A14,'DB - Identities'!V:V,"Active")</f>
        <v>1</v>
      </c>
      <c r="T14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4" s="15">
        <f>SUMIF('DB - Identities'!A:A,A14,'DB - Identities'!AA:AA)</f>
        <v>0</v>
      </c>
      <c r="V14" s="164">
        <f>SUMIF('DB - Identities'!A:A,A14,'DB - Identities'!AB:AB)</f>
        <v>0</v>
      </c>
    </row>
    <row r="15" spans="1:22">
      <c r="A15" s="15">
        <v>13</v>
      </c>
      <c r="B15" s="65" t="s">
        <v>124</v>
      </c>
      <c r="C15" s="57">
        <f>_xlfn.XLOOKUP(Parties6[[#This Row],[Contracting Party Legal Entity Name]],c_parties,'DB - Contracting Parties'!I:I)</f>
        <v>44244</v>
      </c>
      <c r="D15" s="15">
        <v>4034722455</v>
      </c>
      <c r="E15" s="57">
        <v>44244</v>
      </c>
      <c r="F15" s="57">
        <v>44319</v>
      </c>
      <c r="G15" s="57">
        <v>44577</v>
      </c>
      <c r="H15" s="76" t="s">
        <v>113</v>
      </c>
      <c r="I15" s="60">
        <v>1</v>
      </c>
      <c r="J15" s="259"/>
      <c r="K15" s="60">
        <v>1</v>
      </c>
      <c r="L15" s="60" t="s">
        <v>28</v>
      </c>
      <c r="M15" s="116"/>
      <c r="N15" s="15" t="s">
        <v>29</v>
      </c>
      <c r="O15" s="67">
        <f>(Parties6[[#This Row],[Node Price (USD)]]+Parties6[[#This Row],[Identity Price (USD)]])*Parties6[[#This Row],[Identity Purchased ]]</f>
        <v>0</v>
      </c>
      <c r="P15" s="255" t="s">
        <v>117</v>
      </c>
      <c r="Q15" s="241">
        <f t="shared" ca="1" si="0"/>
        <v>129</v>
      </c>
      <c r="R15" s="241" t="str">
        <f ca="1">IF(Parties6[[#This Row],[Days to Expiry2]]&gt;0, "OK", "EXPIRED")</f>
        <v>OK</v>
      </c>
      <c r="S15" s="15">
        <f>COUNTIFS('DB - Identities'!A:A,A15,'DB - Identities'!V:V,"Active")</f>
        <v>1</v>
      </c>
      <c r="T1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5" s="15">
        <f>SUMIF('DB - Identities'!A:A,A15,'DB - Identities'!AA:AA)</f>
        <v>0</v>
      </c>
      <c r="V15" s="164">
        <f>SUMIF('DB - Identities'!A:A,A15,'DB - Identities'!AB:AB)</f>
        <v>2</v>
      </c>
    </row>
    <row r="16" spans="1:22">
      <c r="A16" s="15">
        <v>14</v>
      </c>
      <c r="B16" s="65" t="s">
        <v>125</v>
      </c>
      <c r="C16" s="57">
        <f>_xlfn.XLOOKUP(Parties6[[#This Row],[Contracting Party Legal Entity Name]],c_parties,'DB - Contracting Parties'!I:I)</f>
        <v>44280</v>
      </c>
      <c r="D16" s="15">
        <v>3412217176</v>
      </c>
      <c r="E16" s="57">
        <v>44280</v>
      </c>
      <c r="F16" s="57">
        <v>44287</v>
      </c>
      <c r="G16" s="57">
        <v>44651</v>
      </c>
      <c r="H16" s="15" t="s">
        <v>35</v>
      </c>
      <c r="I16" s="60">
        <v>1</v>
      </c>
      <c r="J16" s="259"/>
      <c r="K16" s="60">
        <v>1</v>
      </c>
      <c r="L16" s="60" t="s">
        <v>28</v>
      </c>
      <c r="M16" s="116"/>
      <c r="N16" s="15" t="s">
        <v>29</v>
      </c>
      <c r="O16" s="67">
        <f>(Parties6[[#This Row],[Node Price (USD)]]+Parties6[[#This Row],[Identity Price (USD)]])*Parties6[[#This Row],[Identity Purchased ]]</f>
        <v>0</v>
      </c>
      <c r="P16" s="255" t="s">
        <v>132</v>
      </c>
      <c r="Q16" s="241">
        <f t="shared" ca="1" si="0"/>
        <v>203</v>
      </c>
      <c r="R16" s="241" t="str">
        <f ca="1">IF(Parties6[[#This Row],[Days to Expiry2]]&gt;0, "OK", "EXPIRED")</f>
        <v>OK</v>
      </c>
      <c r="S16" s="15">
        <f>COUNTIFS('DB - Identities'!A:A,A16,'DB - Identities'!V:V,"Active")</f>
        <v>1</v>
      </c>
      <c r="T1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6" s="15">
        <f>SUMIF('DB - Identities'!A:A,A16,'DB - Identities'!AA:AA)</f>
        <v>0</v>
      </c>
      <c r="V16" s="164">
        <f>SUMIF('DB - Identities'!A:A,A16,'DB - Identities'!AB:AB)</f>
        <v>5</v>
      </c>
    </row>
    <row r="17" spans="1:22">
      <c r="A17" s="15">
        <v>15</v>
      </c>
      <c r="B17" s="65" t="s">
        <v>133</v>
      </c>
      <c r="C17" s="57">
        <f>_xlfn.XLOOKUP(Parties6[[#This Row],[Contracting Party Legal Entity Name]],c_parties,'DB - Contracting Parties'!I:I)</f>
        <v>44287</v>
      </c>
      <c r="D17" s="15">
        <v>3416969753</v>
      </c>
      <c r="E17" s="57">
        <v>44287</v>
      </c>
      <c r="F17" s="57">
        <v>44287</v>
      </c>
      <c r="G17" s="57">
        <v>44651</v>
      </c>
      <c r="H17" s="15" t="s">
        <v>35</v>
      </c>
      <c r="I17" s="60">
        <v>1</v>
      </c>
      <c r="J17" s="259"/>
      <c r="K17" s="60">
        <v>0</v>
      </c>
      <c r="L17" s="60" t="s">
        <v>39</v>
      </c>
      <c r="M17" s="116">
        <v>0</v>
      </c>
      <c r="N17" s="15" t="s">
        <v>29</v>
      </c>
      <c r="O17" s="67">
        <f>(Parties6[[#This Row],[Node Price (USD)]]+Parties6[[#This Row],[Identity Price (USD)]])*Parties6[[#This Row],[Identity Purchased ]]</f>
        <v>0</v>
      </c>
      <c r="P17" s="255" t="s">
        <v>139</v>
      </c>
      <c r="Q17" s="241">
        <f t="shared" ca="1" si="0"/>
        <v>203</v>
      </c>
      <c r="R17" s="241" t="str">
        <f ca="1">IF(Parties6[[#This Row],[Days to Expiry2]]&gt;0, "OK", "EXPIRED")</f>
        <v>OK</v>
      </c>
      <c r="S17" s="15">
        <f>COUNTIFS('DB - Identities'!A:A,A17,'DB - Identities'!V:V,"Active")</f>
        <v>0</v>
      </c>
      <c r="T17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17" s="15">
        <f>SUMIF('DB - Identities'!A:A,A17,'DB - Identities'!AA:AA)</f>
        <v>0</v>
      </c>
      <c r="V17" s="164">
        <f>SUMIF('DB - Identities'!A:A,A17,'DB - Identities'!AB:AB)</f>
        <v>0</v>
      </c>
    </row>
    <row r="18" spans="1:22">
      <c r="A18" s="15">
        <v>17</v>
      </c>
      <c r="B18" s="65" t="s">
        <v>140</v>
      </c>
      <c r="C18" s="57">
        <f>_xlfn.XLOOKUP(Parties6[[#This Row],[Contracting Party Legal Entity Name]],c_parties,'DB - Contracting Parties'!I:I)</f>
        <v>44287</v>
      </c>
      <c r="D18" s="15">
        <v>4651960938</v>
      </c>
      <c r="E18" s="57">
        <v>44287</v>
      </c>
      <c r="F18" s="57">
        <v>44287</v>
      </c>
      <c r="G18" s="57">
        <v>44651</v>
      </c>
      <c r="H18" s="15" t="s">
        <v>143</v>
      </c>
      <c r="I18" s="60">
        <v>1</v>
      </c>
      <c r="J18" s="259"/>
      <c r="K18" s="60">
        <v>1</v>
      </c>
      <c r="L18" s="60" t="s">
        <v>28</v>
      </c>
      <c r="M18" s="116"/>
      <c r="N18" s="15" t="s">
        <v>29</v>
      </c>
      <c r="O18" s="67">
        <f>(Parties6[[#This Row],[Node Price (USD)]]+Parties6[[#This Row],[Identity Price (USD)]])*Parties6[[#This Row],[Identity Purchased ]]</f>
        <v>0</v>
      </c>
      <c r="P18" s="255" t="s">
        <v>146</v>
      </c>
      <c r="Q18" s="241">
        <f t="shared" ca="1" si="0"/>
        <v>203</v>
      </c>
      <c r="R18" s="241" t="str">
        <f ca="1">IF(Parties6[[#This Row],[Days to Expiry2]]&gt;0, "OK", "EXPIRED")</f>
        <v>OK</v>
      </c>
      <c r="S18" s="15">
        <f>COUNTIFS('DB - Identities'!A:A,A18,'DB - Identities'!V:V,"Active")</f>
        <v>1</v>
      </c>
      <c r="T18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8" s="15">
        <f>SUMIF('DB - Identities'!A:A,A18,'DB - Identities'!AA:AA)</f>
        <v>0</v>
      </c>
      <c r="V18" s="164">
        <f>SUMIF('DB - Identities'!A:A,A18,'DB - Identities'!AB:AB)</f>
        <v>0</v>
      </c>
    </row>
    <row r="19" spans="1:22">
      <c r="A19" s="15">
        <v>18</v>
      </c>
      <c r="B19" s="65" t="s">
        <v>147</v>
      </c>
      <c r="C19" s="57">
        <f>_xlfn.XLOOKUP(Parties6[[#This Row],[Contracting Party Legal Entity Name]],c_parties,'DB - Contracting Parties'!I:I)</f>
        <v>44300</v>
      </c>
      <c r="D19" s="15">
        <v>3939813871</v>
      </c>
      <c r="E19" s="57">
        <v>44300</v>
      </c>
      <c r="F19" s="57">
        <v>44317</v>
      </c>
      <c r="G19" s="57">
        <v>44681</v>
      </c>
      <c r="H19" s="15" t="s">
        <v>143</v>
      </c>
      <c r="I19" s="60">
        <v>1</v>
      </c>
      <c r="J19" s="259"/>
      <c r="K19" s="60">
        <v>1</v>
      </c>
      <c r="L19" s="60" t="s">
        <v>28</v>
      </c>
      <c r="M19" s="116"/>
      <c r="N19" s="15" t="s">
        <v>29</v>
      </c>
      <c r="O19" s="67">
        <f>(Parties6[[#This Row],[Node Price (USD)]]+Parties6[[#This Row],[Identity Price (USD)]])*Parties6[[#This Row],[Identity Purchased ]]</f>
        <v>0</v>
      </c>
      <c r="P19" s="255" t="s">
        <v>146</v>
      </c>
      <c r="Q19" s="241">
        <f t="shared" ca="1" si="0"/>
        <v>233</v>
      </c>
      <c r="R19" s="241" t="str">
        <f ca="1">IF(Parties6[[#This Row],[Days to Expiry2]]&gt;0, "OK", "EXPIRED")</f>
        <v>OK</v>
      </c>
      <c r="S19" s="15">
        <f>COUNTIFS('DB - Identities'!A:A,A19,'DB - Identities'!V:V,"Active")</f>
        <v>1</v>
      </c>
      <c r="T19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19" s="15">
        <f>SUMIF('DB - Identities'!A:A,A19,'DB - Identities'!AA:AA)</f>
        <v>0</v>
      </c>
      <c r="V19" s="164">
        <f>SUMIF('DB - Identities'!A:A,A19,'DB - Identities'!AB:AB)</f>
        <v>0</v>
      </c>
    </row>
    <row r="20" spans="1:22">
      <c r="A20" s="15">
        <v>19</v>
      </c>
      <c r="B20" s="65" t="s">
        <v>152</v>
      </c>
      <c r="C20" s="57">
        <f>_xlfn.XLOOKUP(Parties6[[#This Row],[Contracting Party Legal Entity Name]],c_parties,'DB - Contracting Parties'!I:I)</f>
        <v>44306</v>
      </c>
      <c r="D20" s="15">
        <v>3476955115</v>
      </c>
      <c r="E20" s="57">
        <v>44306</v>
      </c>
      <c r="F20" s="57">
        <v>44317</v>
      </c>
      <c r="G20" s="57">
        <v>44681</v>
      </c>
      <c r="H20" s="15" t="s">
        <v>35</v>
      </c>
      <c r="I20" s="60">
        <v>1</v>
      </c>
      <c r="J20" s="259"/>
      <c r="K20" s="60">
        <v>1</v>
      </c>
      <c r="L20" s="60" t="s">
        <v>28</v>
      </c>
      <c r="M20" s="116"/>
      <c r="N20" s="15" t="s">
        <v>29</v>
      </c>
      <c r="O20" s="67">
        <f>(Parties6[[#This Row],[Node Price (USD)]]+Parties6[[#This Row],[Identity Price (USD)]])*Parties6[[#This Row],[Identity Purchased ]]</f>
        <v>0</v>
      </c>
      <c r="P20" s="255" t="s">
        <v>159</v>
      </c>
      <c r="Q20" s="241">
        <f t="shared" ca="1" si="0"/>
        <v>233</v>
      </c>
      <c r="R20" s="241" t="str">
        <f ca="1">IF(Parties6[[#This Row],[Days to Expiry2]]&gt;0, "OK", "EXPIRED")</f>
        <v>OK</v>
      </c>
      <c r="S20" s="15">
        <f>COUNTIFS('DB - Identities'!A:A,A20,'DB - Identities'!V:V,"Active")</f>
        <v>1</v>
      </c>
      <c r="T20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0" s="15">
        <f>SUMIF('DB - Identities'!A:A,A20,'DB - Identities'!AA:AA)</f>
        <v>0</v>
      </c>
      <c r="V20" s="164">
        <f>SUMIF('DB - Identities'!A:A,A20,'DB - Identities'!AB:AB)</f>
        <v>3</v>
      </c>
    </row>
    <row r="21" spans="1:22">
      <c r="A21" s="15">
        <v>20</v>
      </c>
      <c r="B21" s="65" t="s">
        <v>160</v>
      </c>
      <c r="C21" s="57">
        <f>_xlfn.XLOOKUP(Parties6[[#This Row],[Contracting Party Legal Entity Name]],c_parties,'DB - Contracting Parties'!I:I)</f>
        <v>44307</v>
      </c>
      <c r="D21" s="15">
        <v>5037479804</v>
      </c>
      <c r="E21" s="57">
        <v>44307</v>
      </c>
      <c r="F21" s="57">
        <v>44317</v>
      </c>
      <c r="G21" s="57">
        <v>44681</v>
      </c>
      <c r="H21" s="15" t="s">
        <v>143</v>
      </c>
      <c r="I21" s="60">
        <v>1</v>
      </c>
      <c r="J21" s="259"/>
      <c r="K21" s="60">
        <v>1</v>
      </c>
      <c r="L21" s="60" t="s">
        <v>28</v>
      </c>
      <c r="M21" s="116"/>
      <c r="N21" s="15" t="s">
        <v>29</v>
      </c>
      <c r="O21" s="67">
        <f>(Parties6[[#This Row],[Node Price (USD)]]+Parties6[[#This Row],[Identity Price (USD)]])*Parties6[[#This Row],[Identity Purchased ]]</f>
        <v>0</v>
      </c>
      <c r="P21" s="255" t="s">
        <v>146</v>
      </c>
      <c r="Q21" s="241">
        <f t="shared" ca="1" si="0"/>
        <v>233</v>
      </c>
      <c r="R21" s="241" t="str">
        <f ca="1">IF(Parties6[[#This Row],[Days to Expiry2]]&gt;0, "OK", "EXPIRED")</f>
        <v>OK</v>
      </c>
      <c r="S21" s="15">
        <f>COUNTIFS('DB - Identities'!A:A,A21,'DB - Identities'!V:V,"Active")</f>
        <v>1</v>
      </c>
      <c r="T21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1" s="15">
        <f>SUMIF('DB - Identities'!A:A,A21,'DB - Identities'!AA:AA)</f>
        <v>0</v>
      </c>
      <c r="V21" s="164">
        <f>SUMIF('DB - Identities'!A:A,A21,'DB - Identities'!AB:AB)</f>
        <v>0</v>
      </c>
    </row>
    <row r="22" spans="1:22">
      <c r="A22" s="15">
        <v>21</v>
      </c>
      <c r="B22" s="65" t="s">
        <v>167</v>
      </c>
      <c r="C22" s="57">
        <f>_xlfn.XLOOKUP(Parties6[[#This Row],[Contracting Party Legal Entity Name]],c_parties,'DB - Contracting Parties'!I:I)</f>
        <v>44316</v>
      </c>
      <c r="D22" s="15">
        <v>3416915852</v>
      </c>
      <c r="E22" s="57">
        <v>44316</v>
      </c>
      <c r="F22" s="57">
        <v>44348</v>
      </c>
      <c r="G22" s="57">
        <v>44712</v>
      </c>
      <c r="H22" s="15" t="s">
        <v>35</v>
      </c>
      <c r="I22" s="60">
        <v>4</v>
      </c>
      <c r="J22" s="259"/>
      <c r="K22" s="60">
        <v>4</v>
      </c>
      <c r="L22" s="60" t="s">
        <v>28</v>
      </c>
      <c r="M22" s="116"/>
      <c r="N22" s="15" t="s">
        <v>29</v>
      </c>
      <c r="O22" s="67">
        <f>(Parties6[[#This Row],[Node Price (USD)]]+Parties6[[#This Row],[Identity Price (USD)]])*Parties6[[#This Row],[Identity Purchased ]]</f>
        <v>0</v>
      </c>
      <c r="P22" s="255" t="s">
        <v>172</v>
      </c>
      <c r="Q22" s="241">
        <f t="shared" ca="1" si="0"/>
        <v>264</v>
      </c>
      <c r="R22" s="241" t="str">
        <f ca="1">IF(Parties6[[#This Row],[Days to Expiry2]]&gt;0, "OK", "EXPIRED")</f>
        <v>OK</v>
      </c>
      <c r="S22" s="15">
        <f>COUNTIFS('DB - Identities'!A:A,A22,'DB - Identities'!V:V,"Active")</f>
        <v>1</v>
      </c>
      <c r="T22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22" s="15">
        <f>SUMIF('DB - Identities'!A:A,A22,'DB - Identities'!AA:AA)</f>
        <v>0</v>
      </c>
      <c r="V22" s="164">
        <f>SUMIF('DB - Identities'!A:A,A22,'DB - Identities'!AB:AB)</f>
        <v>0</v>
      </c>
    </row>
    <row r="23" spans="1:22">
      <c r="A23" s="15">
        <v>22</v>
      </c>
      <c r="B23" s="65" t="s">
        <v>173</v>
      </c>
      <c r="C23" s="57">
        <f>_xlfn.XLOOKUP(Parties6[[#This Row],[Contracting Party Legal Entity Name]],c_parties,'DB - Contracting Parties'!I:I)</f>
        <v>44344</v>
      </c>
      <c r="D23" s="15">
        <v>4963728130</v>
      </c>
      <c r="E23" s="57">
        <v>44344</v>
      </c>
      <c r="F23" s="57">
        <v>44348</v>
      </c>
      <c r="G23" s="57">
        <v>44712</v>
      </c>
      <c r="H23" s="15" t="s">
        <v>143</v>
      </c>
      <c r="I23" s="60">
        <v>1</v>
      </c>
      <c r="J23" s="259"/>
      <c r="K23" s="60">
        <v>1</v>
      </c>
      <c r="L23" s="60" t="s">
        <v>28</v>
      </c>
      <c r="M23" s="116"/>
      <c r="N23" s="15" t="s">
        <v>29</v>
      </c>
      <c r="O23" s="67">
        <f>(Parties6[[#This Row],[Node Price (USD)]]+Parties6[[#This Row],[Identity Price (USD)]])*Parties6[[#This Row],[Identity Purchased ]]</f>
        <v>0</v>
      </c>
      <c r="P23" s="255" t="s">
        <v>146</v>
      </c>
      <c r="Q23" s="241">
        <f t="shared" ca="1" si="0"/>
        <v>264</v>
      </c>
      <c r="R23" s="241" t="str">
        <f ca="1">IF(Parties6[[#This Row],[Days to Expiry2]]&gt;0, "OK", "EXPIRED")</f>
        <v>OK</v>
      </c>
      <c r="S23" s="15">
        <f>COUNTIFS('DB - Identities'!A:A,A23,'DB - Identities'!V:V,"Active")</f>
        <v>1</v>
      </c>
      <c r="T23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3" s="15">
        <f>SUMIF('DB - Identities'!A:A,A23,'DB - Identities'!AA:AA)</f>
        <v>0</v>
      </c>
      <c r="V23" s="164">
        <f>SUMIF('DB - Identities'!A:A,A23,'DB - Identities'!AB:AB)</f>
        <v>0</v>
      </c>
    </row>
    <row r="24" spans="1:22">
      <c r="A24" s="15">
        <v>23</v>
      </c>
      <c r="B24" s="65" t="s">
        <v>179</v>
      </c>
      <c r="C24" s="57">
        <f>_xlfn.XLOOKUP(Parties6[[#This Row],[Contracting Party Legal Entity Name]],c_parties,'DB - Contracting Parties'!I:I)</f>
        <v>44343</v>
      </c>
      <c r="D24" s="15">
        <v>5137886604</v>
      </c>
      <c r="E24" s="57">
        <v>44343</v>
      </c>
      <c r="F24" s="57">
        <v>44348</v>
      </c>
      <c r="G24" s="57">
        <v>44712</v>
      </c>
      <c r="H24" s="15" t="s">
        <v>143</v>
      </c>
      <c r="I24" s="60">
        <v>1</v>
      </c>
      <c r="J24" s="259"/>
      <c r="K24" s="60">
        <v>1</v>
      </c>
      <c r="L24" s="60" t="s">
        <v>28</v>
      </c>
      <c r="M24" s="116"/>
      <c r="N24" s="15" t="s">
        <v>29</v>
      </c>
      <c r="O24" s="67">
        <f>(Parties6[[#This Row],[Node Price (USD)]]+Parties6[[#This Row],[Identity Price (USD)]])*Parties6[[#This Row],[Identity Purchased ]]</f>
        <v>0</v>
      </c>
      <c r="P24" s="255" t="s">
        <v>146</v>
      </c>
      <c r="Q24" s="241">
        <f t="shared" ca="1" si="0"/>
        <v>264</v>
      </c>
      <c r="R24" s="241" t="str">
        <f ca="1">IF(Parties6[[#This Row],[Days to Expiry2]]&gt;0, "OK", "EXPIRED")</f>
        <v>OK</v>
      </c>
      <c r="S24" s="15">
        <f>COUNTIFS('DB - Identities'!A:A,A24,'DB - Identities'!V:V,"Active")</f>
        <v>1</v>
      </c>
      <c r="T24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4" s="15">
        <f>SUMIF('DB - Identities'!A:A,A24,'DB - Identities'!AA:AA)</f>
        <v>0</v>
      </c>
      <c r="V24" s="164">
        <f>SUMIF('DB - Identities'!A:A,A24,'DB - Identities'!AB:AB)</f>
        <v>0</v>
      </c>
    </row>
    <row r="25" spans="1:22">
      <c r="A25" s="15">
        <v>24</v>
      </c>
      <c r="B25" s="65" t="s">
        <v>184</v>
      </c>
      <c r="C25" s="57">
        <f>_xlfn.XLOOKUP(Parties6[[#This Row],[Contracting Party Legal Entity Name]],c_parties,'DB - Contracting Parties'!I:I)</f>
        <v>44350</v>
      </c>
      <c r="D25" s="15">
        <v>5386731431</v>
      </c>
      <c r="E25" s="57">
        <v>44350</v>
      </c>
      <c r="F25" s="57">
        <v>44378</v>
      </c>
      <c r="G25" s="57">
        <v>44742</v>
      </c>
      <c r="H25" s="15" t="s">
        <v>143</v>
      </c>
      <c r="I25" s="60">
        <v>1</v>
      </c>
      <c r="J25" s="259"/>
      <c r="K25" s="60">
        <v>1</v>
      </c>
      <c r="L25" s="60" t="s">
        <v>28</v>
      </c>
      <c r="M25" s="116"/>
      <c r="N25" s="15" t="s">
        <v>29</v>
      </c>
      <c r="O25" s="67">
        <f>(Parties6[[#This Row],[Node Price (USD)]]+Parties6[[#This Row],[Identity Price (USD)]])*Parties6[[#This Row],[Identity Purchased ]]</f>
        <v>0</v>
      </c>
      <c r="P25" s="255" t="s">
        <v>146</v>
      </c>
      <c r="Q25" s="241">
        <f t="shared" ca="1" si="0"/>
        <v>294</v>
      </c>
      <c r="R25" s="241" t="str">
        <f ca="1">IF(Parties6[[#This Row],[Days to Expiry2]]&gt;0, "OK", "EXPIRED")</f>
        <v>OK</v>
      </c>
      <c r="S25" s="15">
        <f>COUNTIFS('DB - Identities'!A:A,A25,'DB - Identities'!V:V,"Active")</f>
        <v>1</v>
      </c>
      <c r="T2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5" s="15">
        <f>SUMIF('DB - Identities'!A:A,A25,'DB - Identities'!AA:AA)</f>
        <v>0</v>
      </c>
      <c r="V25" s="164">
        <f>SUMIF('DB - Identities'!A:A,A25,'DB - Identities'!AB:AB)</f>
        <v>0</v>
      </c>
    </row>
    <row r="26" spans="1:22">
      <c r="A26" s="15">
        <v>25</v>
      </c>
      <c r="B26" s="65" t="s">
        <v>188</v>
      </c>
      <c r="C26" s="57">
        <f>_xlfn.XLOOKUP(Parties6[[#This Row],[Contracting Party Legal Entity Name]],c_parties,'DB - Contracting Parties'!I:I)</f>
        <v>44357</v>
      </c>
      <c r="D26" s="15">
        <v>5331457819</v>
      </c>
      <c r="E26" s="57">
        <v>44357</v>
      </c>
      <c r="F26" s="57">
        <v>44378</v>
      </c>
      <c r="G26" s="57">
        <v>44742</v>
      </c>
      <c r="H26" s="15" t="s">
        <v>143</v>
      </c>
      <c r="I26" s="60">
        <v>1</v>
      </c>
      <c r="J26" s="259"/>
      <c r="K26" s="60">
        <v>1</v>
      </c>
      <c r="L26" s="60" t="s">
        <v>28</v>
      </c>
      <c r="M26" s="116"/>
      <c r="N26" s="15" t="s">
        <v>29</v>
      </c>
      <c r="O26" s="67">
        <f>(Parties6[[#This Row],[Node Price (USD)]]+Parties6[[#This Row],[Identity Price (USD)]])*Parties6[[#This Row],[Identity Purchased ]]</f>
        <v>0</v>
      </c>
      <c r="P26" s="255" t="s">
        <v>146</v>
      </c>
      <c r="Q26" s="241">
        <f t="shared" ca="1" si="0"/>
        <v>294</v>
      </c>
      <c r="R26" s="241" t="str">
        <f ca="1">IF(Parties6[[#This Row],[Days to Expiry2]]&gt;0, "OK", "EXPIRED")</f>
        <v>OK</v>
      </c>
      <c r="S26" s="15">
        <f>COUNTIFS('DB - Identities'!A:A,A26,'DB - Identities'!V:V,"Active")</f>
        <v>1</v>
      </c>
      <c r="T2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6" s="15">
        <f>SUMIF('DB - Identities'!A:A,A26,'DB - Identities'!AA:AA)</f>
        <v>0</v>
      </c>
      <c r="V26" s="164">
        <f>SUMIF('DB - Identities'!A:A,A26,'DB - Identities'!AB:AB)</f>
        <v>0</v>
      </c>
    </row>
    <row r="27" spans="1:22">
      <c r="A27" s="15">
        <v>26</v>
      </c>
      <c r="B27" s="65" t="s">
        <v>194</v>
      </c>
      <c r="C27" s="57">
        <f>_xlfn.XLOOKUP(Parties6[[#This Row],[Contracting Party Legal Entity Name]],c_parties,'DB - Contracting Parties'!I:I)</f>
        <v>44378</v>
      </c>
      <c r="D27" s="15">
        <v>3415553336</v>
      </c>
      <c r="E27" s="57">
        <v>44378</v>
      </c>
      <c r="F27" s="57">
        <v>44378</v>
      </c>
      <c r="G27" s="57">
        <v>44742</v>
      </c>
      <c r="H27" s="15" t="s">
        <v>35</v>
      </c>
      <c r="I27" s="60">
        <v>3</v>
      </c>
      <c r="J27" s="259">
        <v>15000</v>
      </c>
      <c r="K27" s="60">
        <v>3</v>
      </c>
      <c r="L27" s="60" t="s">
        <v>28</v>
      </c>
      <c r="M27" s="116">
        <v>12000</v>
      </c>
      <c r="N27" s="15" t="s">
        <v>29</v>
      </c>
      <c r="O27" s="67">
        <f>(Parties6[[#This Row],[Node Price (USD)]]+Parties6[[#This Row],[Identity Price (USD)]])*Parties6[[#This Row],[Identity Purchased ]]</f>
        <v>81000</v>
      </c>
      <c r="P27" s="255"/>
      <c r="Q27" s="241">
        <f t="shared" ca="1" si="0"/>
        <v>294</v>
      </c>
      <c r="R27" s="241" t="str">
        <f ca="1">IF(Parties6[[#This Row],[Days to Expiry2]]&gt;0, "OK", "EXPIRED")</f>
        <v>OK</v>
      </c>
      <c r="S27" s="15">
        <f>COUNTIFS('DB - Identities'!A:A,A27,'DB - Identities'!V:V,"Active")</f>
        <v>0</v>
      </c>
      <c r="T27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27" s="15">
        <f>SUMIF('DB - Identities'!A:A,A27,'DB - Identities'!AA:AA)</f>
        <v>0</v>
      </c>
      <c r="V27" s="164">
        <f>SUMIF('DB - Identities'!A:A,A27,'DB - Identities'!AB:AB)</f>
        <v>0</v>
      </c>
    </row>
    <row r="28" spans="1:22">
      <c r="A28" s="15">
        <v>27</v>
      </c>
      <c r="B28" s="65" t="s">
        <v>199</v>
      </c>
      <c r="C28" s="57">
        <f>_xlfn.XLOOKUP(Parties6[[#This Row],[Contracting Party Legal Entity Name]],c_parties,'DB - Contracting Parties'!I:I)</f>
        <v>44361</v>
      </c>
      <c r="D28" s="15">
        <v>4652131678</v>
      </c>
      <c r="E28" s="57">
        <v>44361</v>
      </c>
      <c r="F28" s="57">
        <v>44378</v>
      </c>
      <c r="G28" s="57">
        <v>44742</v>
      </c>
      <c r="H28" s="15" t="s">
        <v>143</v>
      </c>
      <c r="I28" s="60">
        <v>1</v>
      </c>
      <c r="J28" s="259"/>
      <c r="K28" s="60">
        <v>1</v>
      </c>
      <c r="L28" s="60" t="s">
        <v>28</v>
      </c>
      <c r="M28" s="116"/>
      <c r="N28" s="15" t="s">
        <v>29</v>
      </c>
      <c r="O28" s="67">
        <f>(Parties6[[#This Row],[Node Price (USD)]]+Parties6[[#This Row],[Identity Price (USD)]])*Parties6[[#This Row],[Identity Purchased ]]</f>
        <v>0</v>
      </c>
      <c r="P28" s="255"/>
      <c r="Q28" s="241">
        <f t="shared" ca="1" si="0"/>
        <v>294</v>
      </c>
      <c r="R28" s="241" t="str">
        <f ca="1">IF(Parties6[[#This Row],[Days to Expiry2]]&gt;0, "OK", "EXPIRED")</f>
        <v>OK</v>
      </c>
      <c r="S28" s="15">
        <f>COUNTIFS('DB - Identities'!A:A,A28,'DB - Identities'!V:V,"Active")</f>
        <v>1</v>
      </c>
      <c r="T28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8" s="15">
        <f>SUMIF('DB - Identities'!A:A,A28,'DB - Identities'!AA:AA)</f>
        <v>0</v>
      </c>
      <c r="V28" s="164">
        <f>SUMIF('DB - Identities'!A:A,A28,'DB - Identities'!AB:AB)</f>
        <v>0</v>
      </c>
    </row>
    <row r="29" spans="1:22">
      <c r="A29" s="15">
        <v>28</v>
      </c>
      <c r="B29" s="65" t="s">
        <v>204</v>
      </c>
      <c r="C29" s="57">
        <f>_xlfn.XLOOKUP(Parties6[[#This Row],[Contracting Party Legal Entity Name]],c_parties,'DB - Contracting Parties'!I:I)</f>
        <v>44362</v>
      </c>
      <c r="D29" s="15">
        <v>5256766034</v>
      </c>
      <c r="E29" s="57">
        <v>44362</v>
      </c>
      <c r="F29" s="57">
        <v>44378</v>
      </c>
      <c r="G29" s="57">
        <v>44742</v>
      </c>
      <c r="H29" s="15" t="s">
        <v>143</v>
      </c>
      <c r="I29" s="60">
        <v>1</v>
      </c>
      <c r="J29" s="259"/>
      <c r="K29" s="60">
        <v>1</v>
      </c>
      <c r="L29" s="60" t="s">
        <v>28</v>
      </c>
      <c r="M29" s="116"/>
      <c r="N29" s="15" t="s">
        <v>29</v>
      </c>
      <c r="O29" s="67">
        <f>(Parties6[[#This Row],[Node Price (USD)]]+Parties6[[#This Row],[Identity Price (USD)]])*Parties6[[#This Row],[Identity Purchased ]]</f>
        <v>0</v>
      </c>
      <c r="P29" s="255"/>
      <c r="Q29" s="241">
        <f t="shared" ca="1" si="0"/>
        <v>294</v>
      </c>
      <c r="R29" s="241" t="str">
        <f ca="1">IF(Parties6[[#This Row],[Days to Expiry2]]&gt;0, "OK", "EXPIRED")</f>
        <v>OK</v>
      </c>
      <c r="S29" s="15">
        <f>COUNTIFS('DB - Identities'!A:A,A29,'DB - Identities'!V:V,"Active")</f>
        <v>1</v>
      </c>
      <c r="T29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29" s="15">
        <f>SUMIF('DB - Identities'!A:A,A29,'DB - Identities'!AA:AA)</f>
        <v>0</v>
      </c>
      <c r="V29" s="164">
        <f>SUMIF('DB - Identities'!A:A,A29,'DB - Identities'!AB:AB)</f>
        <v>0</v>
      </c>
    </row>
    <row r="30" spans="1:22">
      <c r="A30" s="15">
        <v>29</v>
      </c>
      <c r="B30" s="65" t="s">
        <v>210</v>
      </c>
      <c r="C30" s="57">
        <f>_xlfn.XLOOKUP(Parties6[[#This Row],[Contracting Party Legal Entity Name]],c_parties,'DB - Contracting Parties'!I:I)</f>
        <v>44362</v>
      </c>
      <c r="D30" s="15">
        <v>5254269759</v>
      </c>
      <c r="E30" s="57">
        <v>44362</v>
      </c>
      <c r="F30" s="57">
        <v>44378</v>
      </c>
      <c r="G30" s="57">
        <v>44742</v>
      </c>
      <c r="H30" s="15" t="s">
        <v>143</v>
      </c>
      <c r="I30" s="60">
        <v>1</v>
      </c>
      <c r="J30" s="259"/>
      <c r="K30" s="60">
        <v>1</v>
      </c>
      <c r="L30" s="60" t="s">
        <v>28</v>
      </c>
      <c r="M30" s="116"/>
      <c r="N30" s="15" t="s">
        <v>29</v>
      </c>
      <c r="O30" s="67">
        <f>(Parties6[[#This Row],[Node Price (USD)]]+Parties6[[#This Row],[Identity Price (USD)]])*Parties6[[#This Row],[Identity Purchased ]]</f>
        <v>0</v>
      </c>
      <c r="P30" s="255"/>
      <c r="Q30" s="241">
        <f t="shared" ca="1" si="0"/>
        <v>294</v>
      </c>
      <c r="R30" s="241" t="str">
        <f ca="1">IF(Parties6[[#This Row],[Days to Expiry2]]&gt;0, "OK", "EXPIRED")</f>
        <v>OK</v>
      </c>
      <c r="S30" s="15">
        <f>COUNTIFS('DB - Identities'!A:A,A30,'DB - Identities'!V:V,"Active")</f>
        <v>1</v>
      </c>
      <c r="T30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0" s="15">
        <f>SUMIF('DB - Identities'!A:A,A30,'DB - Identities'!AA:AA)</f>
        <v>0</v>
      </c>
      <c r="V30" s="164">
        <f>SUMIF('DB - Identities'!A:A,A30,'DB - Identities'!AB:AB)</f>
        <v>0</v>
      </c>
    </row>
    <row r="31" spans="1:22">
      <c r="A31" s="15">
        <v>30</v>
      </c>
      <c r="B31" s="65" t="s">
        <v>212</v>
      </c>
      <c r="C31" s="57">
        <f>_xlfn.XLOOKUP(Parties6[[#This Row],[Contracting Party Legal Entity Name]],c_parties,'DB - Contracting Parties'!I:I)</f>
        <v>44368</v>
      </c>
      <c r="D31" s="15">
        <v>5472156480</v>
      </c>
      <c r="E31" s="57">
        <v>44368</v>
      </c>
      <c r="F31" s="57">
        <v>44378</v>
      </c>
      <c r="G31" s="57">
        <v>44742</v>
      </c>
      <c r="H31" s="15" t="s">
        <v>143</v>
      </c>
      <c r="I31" s="60">
        <v>1</v>
      </c>
      <c r="J31" s="259">
        <v>0</v>
      </c>
      <c r="K31" s="60">
        <v>1</v>
      </c>
      <c r="L31" s="60" t="s">
        <v>28</v>
      </c>
      <c r="M31" s="116" t="s">
        <v>59</v>
      </c>
      <c r="N31" s="15" t="s">
        <v>29</v>
      </c>
      <c r="O31" s="67" t="e">
        <f>(Parties6[[#This Row],[Node Price (USD)]]+Parties6[[#This Row],[Identity Price (USD)]])*Parties6[[#This Row],[Identity Purchased ]]</f>
        <v>#VALUE!</v>
      </c>
      <c r="P31" s="255"/>
      <c r="Q31" s="241">
        <f t="shared" ca="1" si="0"/>
        <v>294</v>
      </c>
      <c r="R31" s="241" t="str">
        <f ca="1">IF(Parties6[[#This Row],[Days to Expiry2]]&gt;0, "OK", "EXPIRED")</f>
        <v>OK</v>
      </c>
      <c r="S31" s="15">
        <f>COUNTIFS('DB - Identities'!A:A,A31,'DB - Identities'!V:V,"Active")</f>
        <v>1</v>
      </c>
      <c r="T31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1" s="15">
        <f>SUMIF('DB - Identities'!A:A,A31,'DB - Identities'!AA:AA)</f>
        <v>0</v>
      </c>
      <c r="V31" s="164">
        <f>SUMIF('DB - Identities'!A:A,A31,'DB - Identities'!AB:AB)</f>
        <v>0</v>
      </c>
    </row>
    <row r="32" spans="1:22">
      <c r="A32" s="15">
        <v>31</v>
      </c>
      <c r="B32" s="65" t="s">
        <v>218</v>
      </c>
      <c r="C32" s="57">
        <f>_xlfn.XLOOKUP(Parties6[[#This Row],[Contracting Party Legal Entity Name]],c_parties,'DB - Contracting Parties'!I:I)</f>
        <v>44368</v>
      </c>
      <c r="D32" s="15">
        <v>5225589593</v>
      </c>
      <c r="E32" s="57">
        <v>44368</v>
      </c>
      <c r="F32" s="57">
        <v>44378</v>
      </c>
      <c r="G32" s="57">
        <v>44742</v>
      </c>
      <c r="H32" s="15" t="s">
        <v>143</v>
      </c>
      <c r="I32" s="60">
        <v>1</v>
      </c>
      <c r="J32" s="259">
        <v>0</v>
      </c>
      <c r="K32" s="60">
        <v>1</v>
      </c>
      <c r="L32" s="60" t="s">
        <v>28</v>
      </c>
      <c r="M32" s="116" t="s">
        <v>59</v>
      </c>
      <c r="N32" s="15" t="s">
        <v>29</v>
      </c>
      <c r="O32" s="67" t="e">
        <f>(Parties6[[#This Row],[Node Price (USD)]]+Parties6[[#This Row],[Identity Price (USD)]])*Parties6[[#This Row],[Identity Purchased ]]</f>
        <v>#VALUE!</v>
      </c>
      <c r="P32" s="255"/>
      <c r="Q32" s="241">
        <f t="shared" ca="1" si="0"/>
        <v>294</v>
      </c>
      <c r="R32" s="241" t="str">
        <f ca="1">IF(Parties6[[#This Row],[Days to Expiry2]]&gt;0, "OK", "EXPIRED")</f>
        <v>OK</v>
      </c>
      <c r="S32" s="15">
        <f>COUNTIFS('DB - Identities'!A:A,A32,'DB - Identities'!V:V,"Active")</f>
        <v>1</v>
      </c>
      <c r="T32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2" s="15">
        <f>SUMIF('DB - Identities'!A:A,A32,'DB - Identities'!AA:AA)</f>
        <v>0</v>
      </c>
      <c r="V32" s="164">
        <f>SUMIF('DB - Identities'!A:A,A32,'DB - Identities'!AB:AB)</f>
        <v>0</v>
      </c>
    </row>
    <row r="33" spans="1:22">
      <c r="A33" s="15">
        <v>32</v>
      </c>
      <c r="B33" s="65" t="s">
        <v>222</v>
      </c>
      <c r="C33" s="57">
        <f>_xlfn.XLOOKUP(Parties6[[#This Row],[Contracting Party Legal Entity Name]],c_parties,'DB - Contracting Parties'!I:I)</f>
        <v>44375</v>
      </c>
      <c r="D33" s="15">
        <v>5254975527</v>
      </c>
      <c r="E33" s="57">
        <v>44375</v>
      </c>
      <c r="F33" s="57">
        <v>44378</v>
      </c>
      <c r="G33" s="57">
        <v>44742</v>
      </c>
      <c r="H33" s="15" t="s">
        <v>35</v>
      </c>
      <c r="I33" s="60">
        <v>1</v>
      </c>
      <c r="J33" s="259">
        <v>2400</v>
      </c>
      <c r="K33" s="60">
        <v>1</v>
      </c>
      <c r="L33" s="60" t="s">
        <v>28</v>
      </c>
      <c r="M33" s="116">
        <v>1800</v>
      </c>
      <c r="N33" s="15" t="s">
        <v>29</v>
      </c>
      <c r="O33" s="67">
        <f>(Parties6[[#This Row],[Node Price (USD)]]+Parties6[[#This Row],[Identity Price (USD)]])*Parties6[[#This Row],[Identity Purchased ]]</f>
        <v>4200</v>
      </c>
      <c r="P33" s="255"/>
      <c r="Q33" s="241">
        <f t="shared" ca="1" si="0"/>
        <v>294</v>
      </c>
      <c r="R33" s="241" t="str">
        <f ca="1">IF(Parties6[[#This Row],[Days to Expiry2]]&gt;0, "OK", "EXPIRED")</f>
        <v>OK</v>
      </c>
      <c r="S33" s="15">
        <f>COUNTIFS('DB - Identities'!A:A,A33,'DB - Identities'!V:V,"Active")</f>
        <v>1</v>
      </c>
      <c r="T33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3" s="15">
        <f>SUMIF('DB - Identities'!A:A,A33,'DB - Identities'!AA:AA)</f>
        <v>0</v>
      </c>
      <c r="V33" s="164">
        <f>SUMIF('DB - Identities'!A:A,A33,'DB - Identities'!AB:AB)</f>
        <v>0</v>
      </c>
    </row>
    <row r="34" spans="1:22" ht="17">
      <c r="A34" s="15">
        <v>33</v>
      </c>
      <c r="B34" s="92" t="s">
        <v>1224</v>
      </c>
      <c r="C34" s="57">
        <f>_xlfn.XLOOKUP(Parties6[[#This Row],[Contracting Party Legal Entity Name]],c_parties,'DB - Contracting Parties'!I:I)</f>
        <v>44376</v>
      </c>
      <c r="D34" s="15">
        <v>5096600712</v>
      </c>
      <c r="E34" s="57">
        <v>44376</v>
      </c>
      <c r="F34" s="57">
        <v>44378</v>
      </c>
      <c r="G34" s="57">
        <v>44742</v>
      </c>
      <c r="H34" s="15" t="s">
        <v>143</v>
      </c>
      <c r="I34" s="60">
        <v>1</v>
      </c>
      <c r="J34" s="259">
        <v>0</v>
      </c>
      <c r="K34" s="60">
        <v>1</v>
      </c>
      <c r="L34" s="60" t="s">
        <v>28</v>
      </c>
      <c r="M34" s="116" t="s">
        <v>59</v>
      </c>
      <c r="N34" s="15" t="s">
        <v>29</v>
      </c>
      <c r="O34" s="67" t="e">
        <f>(Parties6[[#This Row],[Node Price (USD)]]+Parties6[[#This Row],[Identity Price (USD)]])*Parties6[[#This Row],[Identity Purchased ]]</f>
        <v>#VALUE!</v>
      </c>
      <c r="P34" s="255"/>
      <c r="Q34" s="241">
        <f t="shared" ref="Q34:Q65" ca="1" si="1">_xlfn.DAYS(G34,NOW())</f>
        <v>294</v>
      </c>
      <c r="R34" s="241" t="str">
        <f ca="1">IF(Parties6[[#This Row],[Days to Expiry2]]&gt;0, "OK", "EXPIRED")</f>
        <v>OK</v>
      </c>
      <c r="S34" s="15">
        <f>COUNTIFS('DB - Identities'!A:A,A34,'DB - Identities'!V:V,"Active")</f>
        <v>1</v>
      </c>
      <c r="T34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4" s="15">
        <f>SUMIF('DB - Identities'!A:A,A34,'DB - Identities'!AA:AA)</f>
        <v>0</v>
      </c>
      <c r="V34" s="164">
        <f>SUMIF('DB - Identities'!A:A,A34,'DB - Identities'!AB:AB)</f>
        <v>0</v>
      </c>
    </row>
    <row r="35" spans="1:22" ht="17">
      <c r="A35" s="15">
        <v>34</v>
      </c>
      <c r="B35" s="92" t="s">
        <v>232</v>
      </c>
      <c r="C35" s="57">
        <f>_xlfn.XLOOKUP(Parties6[[#This Row],[Contracting Party Legal Entity Name]],c_parties,'DB - Contracting Parties'!I:I)</f>
        <v>44370</v>
      </c>
      <c r="D35" s="15">
        <v>5257271726</v>
      </c>
      <c r="E35" s="57">
        <v>44370</v>
      </c>
      <c r="F35" s="57">
        <v>44378</v>
      </c>
      <c r="G35" s="57">
        <v>44742</v>
      </c>
      <c r="H35" s="15" t="s">
        <v>143</v>
      </c>
      <c r="I35" s="60">
        <v>1</v>
      </c>
      <c r="J35" s="259">
        <v>0</v>
      </c>
      <c r="K35" s="60">
        <v>1</v>
      </c>
      <c r="L35" s="60" t="s">
        <v>28</v>
      </c>
      <c r="M35" s="116" t="s">
        <v>59</v>
      </c>
      <c r="N35" s="15" t="s">
        <v>29</v>
      </c>
      <c r="O35" s="67" t="e">
        <f>(Parties6[[#This Row],[Node Price (USD)]]+Parties6[[#This Row],[Identity Price (USD)]])*Parties6[[#This Row],[Identity Purchased ]]</f>
        <v>#VALUE!</v>
      </c>
      <c r="P35" s="255"/>
      <c r="Q35" s="241">
        <f t="shared" ca="1" si="1"/>
        <v>294</v>
      </c>
      <c r="R35" s="241" t="str">
        <f ca="1">IF(Parties6[[#This Row],[Days to Expiry2]]&gt;0, "OK", "EXPIRED")</f>
        <v>OK</v>
      </c>
      <c r="S35" s="15">
        <f>COUNTIFS('DB - Identities'!A:A,A35,'DB - Identities'!V:V,"Active")</f>
        <v>1</v>
      </c>
      <c r="T3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5" s="15">
        <f>SUMIF('DB - Identities'!A:A,A35,'DB - Identities'!AA:AA)</f>
        <v>0</v>
      </c>
      <c r="V35" s="164">
        <f>SUMIF('DB - Identities'!A:A,A35,'DB - Identities'!AB:AB)</f>
        <v>0</v>
      </c>
    </row>
    <row r="36" spans="1:22" ht="17">
      <c r="A36" s="15">
        <v>35</v>
      </c>
      <c r="B36" s="92" t="s">
        <v>239</v>
      </c>
      <c r="C36" s="57">
        <f>_xlfn.XLOOKUP(Parties6[[#This Row],[Contracting Party Legal Entity Name]],c_parties,'DB - Contracting Parties'!I:I)</f>
        <v>44377</v>
      </c>
      <c r="D36" s="15">
        <v>5096561011</v>
      </c>
      <c r="E36" s="57">
        <v>44377</v>
      </c>
      <c r="F36" s="57">
        <v>44378</v>
      </c>
      <c r="G36" s="57">
        <v>44742</v>
      </c>
      <c r="H36" s="15" t="s">
        <v>143</v>
      </c>
      <c r="I36" s="60">
        <v>1</v>
      </c>
      <c r="J36" s="259">
        <v>0</v>
      </c>
      <c r="K36" s="60">
        <v>1</v>
      </c>
      <c r="L36" s="60" t="s">
        <v>28</v>
      </c>
      <c r="M36" s="116" t="s">
        <v>59</v>
      </c>
      <c r="N36" s="15" t="s">
        <v>29</v>
      </c>
      <c r="O36" s="67" t="e">
        <f>(Parties6[[#This Row],[Node Price (USD)]]+Parties6[[#This Row],[Identity Price (USD)]])*Parties6[[#This Row],[Identity Purchased ]]</f>
        <v>#VALUE!</v>
      </c>
      <c r="P36" s="255"/>
      <c r="Q36" s="241">
        <f t="shared" ca="1" si="1"/>
        <v>294</v>
      </c>
      <c r="R36" s="241" t="str">
        <f ca="1">IF(Parties6[[#This Row],[Days to Expiry2]]&gt;0, "OK", "EXPIRED")</f>
        <v>OK</v>
      </c>
      <c r="S36" s="15">
        <f>COUNTIFS('DB - Identities'!A:A,A36,'DB - Identities'!V:V,"Active")</f>
        <v>1</v>
      </c>
      <c r="T3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6" s="15">
        <f>SUMIF('DB - Identities'!A:A,A36,'DB - Identities'!AA:AA)</f>
        <v>0</v>
      </c>
      <c r="V36" s="164">
        <f>SUMIF('DB - Identities'!A:A,A36,'DB - Identities'!AB:AB)</f>
        <v>0</v>
      </c>
    </row>
    <row r="37" spans="1:22" ht="17">
      <c r="A37" s="15">
        <v>36</v>
      </c>
      <c r="B37" s="92" t="s">
        <v>245</v>
      </c>
      <c r="C37" s="57">
        <f>_xlfn.XLOOKUP(Parties6[[#This Row],[Contracting Party Legal Entity Name]],c_parties,'DB - Contracting Parties'!I:I)</f>
        <v>44382</v>
      </c>
      <c r="D37" s="15">
        <v>5283112026</v>
      </c>
      <c r="E37" s="57">
        <v>44382</v>
      </c>
      <c r="F37" s="57">
        <v>44409</v>
      </c>
      <c r="G37" s="57">
        <v>44773</v>
      </c>
      <c r="H37" s="15" t="s">
        <v>143</v>
      </c>
      <c r="I37" s="60">
        <v>1</v>
      </c>
      <c r="J37" s="259">
        <v>0</v>
      </c>
      <c r="K37" s="60">
        <v>1</v>
      </c>
      <c r="L37" s="60" t="s">
        <v>28</v>
      </c>
      <c r="M37" s="116" t="s">
        <v>59</v>
      </c>
      <c r="N37" s="15" t="s">
        <v>29</v>
      </c>
      <c r="O37" s="67" t="e">
        <f>(Parties6[[#This Row],[Node Price (USD)]]+Parties6[[#This Row],[Identity Price (USD)]])*Parties6[[#This Row],[Identity Purchased ]]</f>
        <v>#VALUE!</v>
      </c>
      <c r="P37" s="255"/>
      <c r="Q37" s="241">
        <f t="shared" ca="1" si="1"/>
        <v>325</v>
      </c>
      <c r="R37" s="241" t="str">
        <f ca="1">IF(Parties6[[#This Row],[Days to Expiry2]]&gt;0, "OK", "EXPIRED")</f>
        <v>OK</v>
      </c>
      <c r="S37" s="15">
        <f>COUNTIFS('DB - Identities'!A:A,A37,'DB - Identities'!V:V,"Active")</f>
        <v>1</v>
      </c>
      <c r="T37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7" s="15">
        <f>SUMIF('DB - Identities'!A:A,A37,'DB - Identities'!AA:AA)</f>
        <v>0</v>
      </c>
      <c r="V37" s="164">
        <f>SUMIF('DB - Identities'!A:A,A37,'DB - Identities'!AB:AB)</f>
        <v>0</v>
      </c>
    </row>
    <row r="38" spans="1:22" ht="17">
      <c r="A38" s="15">
        <v>37</v>
      </c>
      <c r="B38" s="92" t="s">
        <v>252</v>
      </c>
      <c r="C38" s="57">
        <f>_xlfn.XLOOKUP(Parties6[[#This Row],[Contracting Party Legal Entity Name]],c_parties,'DB - Contracting Parties'!I:I)</f>
        <v>44377</v>
      </c>
      <c r="D38" s="15">
        <v>5618609519</v>
      </c>
      <c r="E38" s="57">
        <v>44377</v>
      </c>
      <c r="F38" s="57">
        <v>44378</v>
      </c>
      <c r="G38" s="57">
        <v>44742</v>
      </c>
      <c r="H38" s="15" t="s">
        <v>35</v>
      </c>
      <c r="I38" s="60">
        <v>1</v>
      </c>
      <c r="J38" s="259">
        <v>11700</v>
      </c>
      <c r="K38" s="60">
        <v>1</v>
      </c>
      <c r="L38" s="60" t="s">
        <v>28</v>
      </c>
      <c r="M38" s="116">
        <v>4500</v>
      </c>
      <c r="N38" s="15" t="s">
        <v>29</v>
      </c>
      <c r="O38" s="67">
        <f>(Parties6[[#This Row],[Node Price (USD)]]+Parties6[[#This Row],[Identity Price (USD)]])*Parties6[[#This Row],[Identity Purchased ]]</f>
        <v>16200</v>
      </c>
      <c r="P38" s="255"/>
      <c r="Q38" s="241">
        <f t="shared" ca="1" si="1"/>
        <v>294</v>
      </c>
      <c r="R38" s="241" t="str">
        <f ca="1">IF(Parties6[[#This Row],[Days to Expiry2]]&gt;0, "OK", "EXPIRED")</f>
        <v>OK</v>
      </c>
      <c r="S38" s="15">
        <f>COUNTIFS('DB - Identities'!A:A,A38,'DB - Identities'!V:V,"Active")</f>
        <v>1</v>
      </c>
      <c r="T38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8" s="15">
        <f>SUMIF('DB - Identities'!A:A,A38,'DB - Identities'!AA:AA)</f>
        <v>0</v>
      </c>
      <c r="V38" s="164">
        <f>SUMIF('DB - Identities'!A:A,A38,'DB - Identities'!AB:AB)</f>
        <v>0</v>
      </c>
    </row>
    <row r="39" spans="1:22" ht="17">
      <c r="A39" s="15">
        <v>38</v>
      </c>
      <c r="B39" s="92" t="s">
        <v>259</v>
      </c>
      <c r="C39" s="57">
        <f>_xlfn.XLOOKUP(Parties6[[#This Row],[Contracting Party Legal Entity Name]],c_parties,'DB - Contracting Parties'!I:I)</f>
        <v>44328</v>
      </c>
      <c r="D39" s="15">
        <v>5618619412</v>
      </c>
      <c r="E39" s="57">
        <v>44328</v>
      </c>
      <c r="F39" s="57">
        <v>44348</v>
      </c>
      <c r="G39" s="57">
        <v>44712</v>
      </c>
      <c r="H39" s="15" t="s">
        <v>35</v>
      </c>
      <c r="I39" s="60">
        <v>1</v>
      </c>
      <c r="J39" s="259">
        <v>11700</v>
      </c>
      <c r="K39" s="60">
        <v>1</v>
      </c>
      <c r="L39" s="60" t="s">
        <v>28</v>
      </c>
      <c r="M39" s="116">
        <v>4500</v>
      </c>
      <c r="N39" s="15" t="s">
        <v>29</v>
      </c>
      <c r="O39" s="67">
        <f>(Parties6[[#This Row],[Node Price (USD)]]+Parties6[[#This Row],[Identity Price (USD)]])*Parties6[[#This Row],[Identity Purchased ]]</f>
        <v>16200</v>
      </c>
      <c r="P39" s="255"/>
      <c r="Q39" s="241">
        <f t="shared" ca="1" si="1"/>
        <v>264</v>
      </c>
      <c r="R39" s="241" t="str">
        <f ca="1">IF(Parties6[[#This Row],[Days to Expiry2]]&gt;0, "OK", "EXPIRED")</f>
        <v>OK</v>
      </c>
      <c r="S39" s="15">
        <f>COUNTIFS('DB - Identities'!A:A,A39,'DB - Identities'!V:V,"Active")</f>
        <v>1</v>
      </c>
      <c r="T39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39" s="15">
        <f>SUMIF('DB - Identities'!A:A,A39,'DB - Identities'!AA:AA)</f>
        <v>0</v>
      </c>
      <c r="V39" s="164">
        <f>SUMIF('DB - Identities'!A:A,A39,'DB - Identities'!AB:AB)</f>
        <v>0</v>
      </c>
    </row>
    <row r="40" spans="1:22" ht="17">
      <c r="A40" s="15">
        <v>39</v>
      </c>
      <c r="B40" s="92" t="s">
        <v>266</v>
      </c>
      <c r="C40" s="57">
        <f>_xlfn.XLOOKUP(Parties6[[#This Row],[Contracting Party Legal Entity Name]],c_parties,'DB - Contracting Parties'!I:I)</f>
        <v>44390</v>
      </c>
      <c r="D40" s="72" t="s">
        <v>270</v>
      </c>
      <c r="E40" s="57">
        <v>44390</v>
      </c>
      <c r="F40" s="57">
        <v>44409</v>
      </c>
      <c r="G40" s="57">
        <v>44773</v>
      </c>
      <c r="H40" s="15" t="s">
        <v>143</v>
      </c>
      <c r="I40" s="60">
        <v>1</v>
      </c>
      <c r="J40" s="259" t="s">
        <v>59</v>
      </c>
      <c r="K40" s="60">
        <v>1</v>
      </c>
      <c r="L40" s="60" t="s">
        <v>28</v>
      </c>
      <c r="M40" s="116" t="s">
        <v>59</v>
      </c>
      <c r="N40" s="15" t="s">
        <v>29</v>
      </c>
      <c r="O40" s="67" t="e">
        <f>(Parties6[[#This Row],[Node Price (USD)]]+Parties6[[#This Row],[Identity Price (USD)]])*Parties6[[#This Row],[Identity Purchased ]]</f>
        <v>#VALUE!</v>
      </c>
      <c r="P40" s="255"/>
      <c r="Q40" s="241">
        <f t="shared" ca="1" si="1"/>
        <v>325</v>
      </c>
      <c r="R40" s="241" t="str">
        <f ca="1">IF(Parties6[[#This Row],[Days to Expiry2]]&gt;0, "OK", "EXPIRED")</f>
        <v>OK</v>
      </c>
      <c r="S40" s="15">
        <f>COUNTIFS('DB - Identities'!A:A,A40,'DB - Identities'!V:V,"Active")</f>
        <v>1</v>
      </c>
      <c r="T40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0" s="15">
        <f>SUMIF('DB - Identities'!A:A,A40,'DB - Identities'!AA:AA)</f>
        <v>0</v>
      </c>
      <c r="V40" s="164">
        <f>SUMIF('DB - Identities'!A:A,A40,'DB - Identities'!AB:AB)</f>
        <v>0</v>
      </c>
    </row>
    <row r="41" spans="1:22" ht="17">
      <c r="A41" s="15">
        <v>40</v>
      </c>
      <c r="B41" s="92" t="s">
        <v>273</v>
      </c>
      <c r="C41" s="57">
        <f>_xlfn.XLOOKUP(Parties6[[#This Row],[Contracting Party Legal Entity Name]],c_parties,'DB - Contracting Parties'!I:I)</f>
        <v>44390</v>
      </c>
      <c r="D41" s="72">
        <v>4940396616</v>
      </c>
      <c r="E41" s="57">
        <v>44390</v>
      </c>
      <c r="F41" s="57">
        <v>44285</v>
      </c>
      <c r="G41" s="57">
        <v>44561</v>
      </c>
      <c r="H41" s="15" t="s">
        <v>59</v>
      </c>
      <c r="I41" s="60">
        <v>1</v>
      </c>
      <c r="J41" s="259">
        <v>9000</v>
      </c>
      <c r="K41" s="60">
        <v>1</v>
      </c>
      <c r="L41" s="60" t="s">
        <v>39</v>
      </c>
      <c r="M41" s="116">
        <v>0</v>
      </c>
      <c r="N41" s="15" t="s">
        <v>29</v>
      </c>
      <c r="O41" s="67">
        <f>(Parties6[[#This Row],[Node Price (USD)]]+Parties6[[#This Row],[Identity Price (USD)]])*Parties6[[#This Row],[Identity Purchased ]]</f>
        <v>9000</v>
      </c>
      <c r="P41" s="255"/>
      <c r="Q41" s="241">
        <f t="shared" ca="1" si="1"/>
        <v>113</v>
      </c>
      <c r="R41" s="241" t="str">
        <f ca="1">IF(Parties6[[#This Row],[Days to Expiry2]]&gt;0, "OK", "EXPIRED")</f>
        <v>OK</v>
      </c>
      <c r="S41" s="15">
        <f>COUNTIFS('DB - Identities'!A:A,A41,'DB - Identities'!V:V,"Active")</f>
        <v>1</v>
      </c>
      <c r="T41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1" s="15">
        <f>SUMIF('DB - Identities'!A:A,A41,'DB - Identities'!AA:AA)</f>
        <v>0</v>
      </c>
      <c r="V41" s="164">
        <f>SUMIF('DB - Identities'!A:A,A41,'DB - Identities'!AB:AB)</f>
        <v>2</v>
      </c>
    </row>
    <row r="42" spans="1:22" ht="17">
      <c r="A42" s="15">
        <v>41</v>
      </c>
      <c r="B42" s="92" t="s">
        <v>280</v>
      </c>
      <c r="C42" s="57">
        <f>_xlfn.XLOOKUP(Parties6[[#This Row],[Contracting Party Legal Entity Name]],c_parties,'DB - Contracting Parties'!I:I)</f>
        <v>44392</v>
      </c>
      <c r="D42" s="15">
        <v>5506836234</v>
      </c>
      <c r="E42" s="57">
        <v>44392</v>
      </c>
      <c r="F42" s="57">
        <v>44409</v>
      </c>
      <c r="G42" s="57">
        <v>44773</v>
      </c>
      <c r="H42" s="15" t="s">
        <v>143</v>
      </c>
      <c r="I42" s="60">
        <v>1</v>
      </c>
      <c r="J42" s="259">
        <v>0</v>
      </c>
      <c r="K42" s="60">
        <v>1</v>
      </c>
      <c r="L42" s="60" t="s">
        <v>28</v>
      </c>
      <c r="M42" s="116" t="s">
        <v>59</v>
      </c>
      <c r="N42" s="15" t="s">
        <v>29</v>
      </c>
      <c r="O42" s="67" t="e">
        <f>(Parties6[[#This Row],[Node Price (USD)]]+Parties6[[#This Row],[Identity Price (USD)]])*Parties6[[#This Row],[Identity Purchased ]]</f>
        <v>#VALUE!</v>
      </c>
      <c r="P42" s="255"/>
      <c r="Q42" s="241">
        <f t="shared" ca="1" si="1"/>
        <v>325</v>
      </c>
      <c r="R42" s="241" t="str">
        <f ca="1">IF(Parties6[[#This Row],[Days to Expiry2]]&gt;0, "OK", "EXPIRED")</f>
        <v>OK</v>
      </c>
      <c r="S42" s="15">
        <f>COUNTIFS('DB - Identities'!A:A,A42,'DB - Identities'!V:V,"Active")</f>
        <v>1</v>
      </c>
      <c r="T42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2" s="15">
        <f>SUMIF('DB - Identities'!A:A,A42,'DB - Identities'!AA:AA)</f>
        <v>0</v>
      </c>
      <c r="V42" s="164">
        <f>SUMIF('DB - Identities'!A:A,A42,'DB - Identities'!AB:AB)</f>
        <v>0</v>
      </c>
    </row>
    <row r="43" spans="1:22" ht="17">
      <c r="A43" s="15">
        <v>42</v>
      </c>
      <c r="B43" s="92" t="s">
        <v>286</v>
      </c>
      <c r="C43" s="57">
        <f>_xlfn.XLOOKUP(Parties6[[#This Row],[Contracting Party Legal Entity Name]],c_parties,'DB - Contracting Parties'!I:I)</f>
        <v>44398</v>
      </c>
      <c r="D43" s="15">
        <v>3474133725</v>
      </c>
      <c r="E43" s="57">
        <v>44398</v>
      </c>
      <c r="F43" s="57">
        <v>44409</v>
      </c>
      <c r="G43" s="57">
        <v>44773</v>
      </c>
      <c r="H43" s="15" t="s">
        <v>143</v>
      </c>
      <c r="I43" s="60">
        <v>1</v>
      </c>
      <c r="J43" s="259">
        <v>0</v>
      </c>
      <c r="K43" s="60">
        <v>1</v>
      </c>
      <c r="L43" s="60" t="s">
        <v>28</v>
      </c>
      <c r="M43" s="116" t="s">
        <v>59</v>
      </c>
      <c r="N43" s="15" t="s">
        <v>29</v>
      </c>
      <c r="O43" s="67" t="e">
        <f>(Parties6[[#This Row],[Node Price (USD)]]+Parties6[[#This Row],[Identity Price (USD)]])*Parties6[[#This Row],[Identity Purchased ]]</f>
        <v>#VALUE!</v>
      </c>
      <c r="P43" s="255"/>
      <c r="Q43" s="241">
        <f t="shared" ca="1" si="1"/>
        <v>325</v>
      </c>
      <c r="R43" s="241" t="str">
        <f ca="1">IF(Parties6[[#This Row],[Days to Expiry2]]&gt;0, "OK", "EXPIRED")</f>
        <v>OK</v>
      </c>
      <c r="S43" s="15">
        <f>COUNTIFS('DB - Identities'!A:A,A43,'DB - Identities'!V:V,"Active")</f>
        <v>1</v>
      </c>
      <c r="T43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3" s="15">
        <f>SUMIF('DB - Identities'!A:A,A43,'DB - Identities'!AA:AA)</f>
        <v>0</v>
      </c>
      <c r="V43" s="164">
        <f>SUMIF('DB - Identities'!A:A,A43,'DB - Identities'!AB:AB)</f>
        <v>0</v>
      </c>
    </row>
    <row r="44" spans="1:22" ht="17">
      <c r="A44" s="15">
        <v>43</v>
      </c>
      <c r="B44" s="92" t="s">
        <v>292</v>
      </c>
      <c r="C44" s="57">
        <f>_xlfn.XLOOKUP(Parties6[[#This Row],[Contracting Party Legal Entity Name]],c_parties,'DB - Contracting Parties'!I:I)</f>
        <v>44390</v>
      </c>
      <c r="D44" s="15">
        <v>5521340328</v>
      </c>
      <c r="E44" s="57">
        <v>44390</v>
      </c>
      <c r="F44" s="57">
        <v>44409</v>
      </c>
      <c r="G44" s="57">
        <v>44773</v>
      </c>
      <c r="H44" s="15" t="s">
        <v>143</v>
      </c>
      <c r="I44" s="60">
        <v>1</v>
      </c>
      <c r="J44" s="259">
        <v>0</v>
      </c>
      <c r="K44" s="60">
        <v>1</v>
      </c>
      <c r="L44" s="60" t="s">
        <v>28</v>
      </c>
      <c r="M44" s="116" t="s">
        <v>59</v>
      </c>
      <c r="N44" s="15" t="s">
        <v>29</v>
      </c>
      <c r="O44" s="67" t="e">
        <f>(Parties6[[#This Row],[Node Price (USD)]]+Parties6[[#This Row],[Identity Price (USD)]])*Parties6[[#This Row],[Identity Purchased ]]</f>
        <v>#VALUE!</v>
      </c>
      <c r="P44" s="255"/>
      <c r="Q44" s="241">
        <f t="shared" ca="1" si="1"/>
        <v>325</v>
      </c>
      <c r="R44" s="241" t="str">
        <f ca="1">IF(Parties6[[#This Row],[Days to Expiry2]]&gt;0, "OK", "EXPIRED")</f>
        <v>OK</v>
      </c>
      <c r="S44" s="15">
        <f>COUNTIFS('DB - Identities'!A:A,A44,'DB - Identities'!V:V,"Active")</f>
        <v>1</v>
      </c>
      <c r="T44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4" s="15">
        <f>SUMIF('DB - Identities'!A:A,A44,'DB - Identities'!AA:AA)</f>
        <v>0</v>
      </c>
      <c r="V44" s="164">
        <f>SUMIF('DB - Identities'!A:A,A44,'DB - Identities'!AB:AB)</f>
        <v>0</v>
      </c>
    </row>
    <row r="45" spans="1:22" ht="17">
      <c r="A45" s="15">
        <v>44</v>
      </c>
      <c r="B45" s="92" t="s">
        <v>298</v>
      </c>
      <c r="C45" s="57">
        <f>_xlfn.XLOOKUP(Parties6[[#This Row],[Contracting Party Legal Entity Name]],c_parties,'DB - Contracting Parties'!I:I)</f>
        <v>44403</v>
      </c>
      <c r="D45" s="15">
        <v>5676052583</v>
      </c>
      <c r="E45" s="57">
        <v>44403</v>
      </c>
      <c r="F45" s="125">
        <v>44409</v>
      </c>
      <c r="G45" s="125">
        <v>44773</v>
      </c>
      <c r="H45" s="15" t="s">
        <v>143</v>
      </c>
      <c r="I45" s="127">
        <v>1</v>
      </c>
      <c r="J45" s="128">
        <v>0</v>
      </c>
      <c r="K45" s="127">
        <v>1</v>
      </c>
      <c r="L45" s="127" t="s">
        <v>28</v>
      </c>
      <c r="M45" s="263" t="s">
        <v>59</v>
      </c>
      <c r="N45" s="126" t="s">
        <v>29</v>
      </c>
      <c r="O45" s="67" t="e">
        <f>(Parties6[[#This Row],[Node Price (USD)]]+Parties6[[#This Row],[Identity Price (USD)]])*Parties6[[#This Row],[Identity Purchased ]]</f>
        <v>#VALUE!</v>
      </c>
      <c r="P45" s="255"/>
      <c r="Q45" s="242">
        <f t="shared" ca="1" si="1"/>
        <v>325</v>
      </c>
      <c r="R45" s="242" t="str">
        <f ca="1">IF(Parties6[[#This Row],[Days to Expiry2]]&gt;0, "OK", "EXPIRED")</f>
        <v>OK</v>
      </c>
      <c r="S45" s="15">
        <f>COUNTIFS('DB - Identities'!A:A,A45,'DB - Identities'!V:V,"Active")</f>
        <v>1</v>
      </c>
      <c r="T4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5" s="15">
        <f>SUMIF('DB - Identities'!A:A,A45,'DB - Identities'!AA:AA)</f>
        <v>0</v>
      </c>
      <c r="V45" s="164">
        <f>SUMIF('DB - Identities'!A:A,A45,'DB - Identities'!AB:AB)</f>
        <v>0</v>
      </c>
    </row>
    <row r="46" spans="1:22" ht="17">
      <c r="A46" s="15">
        <v>45</v>
      </c>
      <c r="B46" s="92" t="s">
        <v>304</v>
      </c>
      <c r="C46" s="57">
        <f>_xlfn.XLOOKUP(Parties6[[#This Row],[Contracting Party Legal Entity Name]],c_parties,'DB - Contracting Parties'!I:I)</f>
        <v>44404</v>
      </c>
      <c r="D46" s="15">
        <v>5751090011</v>
      </c>
      <c r="E46" s="57">
        <v>44404</v>
      </c>
      <c r="F46" s="125">
        <v>44409</v>
      </c>
      <c r="G46" s="125">
        <v>44773</v>
      </c>
      <c r="H46" s="15" t="s">
        <v>143</v>
      </c>
      <c r="I46" s="127">
        <v>1</v>
      </c>
      <c r="J46" s="128">
        <v>0</v>
      </c>
      <c r="K46" s="127">
        <v>1</v>
      </c>
      <c r="L46" s="127" t="s">
        <v>28</v>
      </c>
      <c r="M46" s="263" t="s">
        <v>59</v>
      </c>
      <c r="N46" s="126" t="s">
        <v>29</v>
      </c>
      <c r="O46" s="67" t="e">
        <f>(Parties6[[#This Row],[Node Price (USD)]]+Parties6[[#This Row],[Identity Price (USD)]])*Parties6[[#This Row],[Identity Purchased ]]</f>
        <v>#VALUE!</v>
      </c>
      <c r="P46" s="255"/>
      <c r="Q46" s="242">
        <f t="shared" ca="1" si="1"/>
        <v>325</v>
      </c>
      <c r="R46" s="242" t="str">
        <f ca="1">IF(Parties6[[#This Row],[Days to Expiry2]]&gt;0, "OK", "EXPIRED")</f>
        <v>OK</v>
      </c>
      <c r="S46" s="15">
        <f>COUNTIFS('DB - Identities'!A:A,A46,'DB - Identities'!V:V,"Active")</f>
        <v>1</v>
      </c>
      <c r="T4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6" s="15">
        <f>SUMIF('DB - Identities'!A:A,A46,'DB - Identities'!AA:AA)</f>
        <v>0</v>
      </c>
      <c r="V46" s="164">
        <f>SUMIF('DB - Identities'!A:A,A46,'DB - Identities'!AB:AB)</f>
        <v>0</v>
      </c>
    </row>
    <row r="47" spans="1:22" ht="19" customHeight="1">
      <c r="A47" s="15">
        <v>46</v>
      </c>
      <c r="B47" s="92" t="s">
        <v>310</v>
      </c>
      <c r="C47" s="57">
        <f>_xlfn.XLOOKUP(Parties6[[#This Row],[Contracting Party Legal Entity Name]],c_parties,'DB - Contracting Parties'!I:I)</f>
        <v>44407</v>
      </c>
      <c r="D47" s="15">
        <v>3474031131</v>
      </c>
      <c r="E47" s="57">
        <v>44407</v>
      </c>
      <c r="F47" s="125">
        <v>44409</v>
      </c>
      <c r="G47" s="125">
        <v>44773</v>
      </c>
      <c r="H47" s="15" t="s">
        <v>35</v>
      </c>
      <c r="I47" s="127">
        <v>1</v>
      </c>
      <c r="J47" s="128">
        <v>3000</v>
      </c>
      <c r="K47" s="127">
        <v>1</v>
      </c>
      <c r="L47" s="127" t="s">
        <v>28</v>
      </c>
      <c r="M47" s="263">
        <v>1800</v>
      </c>
      <c r="N47" s="126" t="s">
        <v>29</v>
      </c>
      <c r="O47" s="67">
        <f>(Parties6[[#This Row],[Node Price (USD)]]+Parties6[[#This Row],[Identity Price (USD)]])*Parties6[[#This Row],[Identity Purchased ]]</f>
        <v>4800</v>
      </c>
      <c r="P47" s="255"/>
      <c r="Q47" s="242">
        <f t="shared" ca="1" si="1"/>
        <v>325</v>
      </c>
      <c r="R47" s="242" t="str">
        <f ca="1">IF(Parties6[[#This Row],[Days to Expiry2]]&gt;0, "OK", "EXPIRED")</f>
        <v>OK</v>
      </c>
      <c r="S47" s="15">
        <f>COUNTIFS('DB - Identities'!A:A,A47,'DB - Identities'!V:V,"Active")</f>
        <v>1</v>
      </c>
      <c r="T47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7" s="15">
        <f>SUMIF('DB - Identities'!A:A,A47,'DB - Identities'!AA:AA)</f>
        <v>0</v>
      </c>
      <c r="V47" s="164">
        <f>SUMIF('DB - Identities'!A:A,A47,'DB - Identities'!AB:AB)</f>
        <v>0</v>
      </c>
    </row>
    <row r="48" spans="1:22" ht="19" customHeight="1">
      <c r="A48" s="15">
        <v>47</v>
      </c>
      <c r="B48" s="92" t="s">
        <v>2171</v>
      </c>
      <c r="C48" s="57">
        <f>_xlfn.XLOOKUP(Parties6[[#This Row],[Contracting Party Legal Entity Name]],c_parties,'DB - Contracting Parties'!I:I)</f>
        <v>44407</v>
      </c>
      <c r="D48" s="15">
        <v>5660811882</v>
      </c>
      <c r="E48" s="57">
        <v>44407</v>
      </c>
      <c r="F48" s="125">
        <v>44409</v>
      </c>
      <c r="G48" s="125">
        <v>44773</v>
      </c>
      <c r="H48" s="15" t="s">
        <v>35</v>
      </c>
      <c r="I48" s="127">
        <v>1</v>
      </c>
      <c r="J48" s="128">
        <v>3000</v>
      </c>
      <c r="K48" s="127">
        <v>1</v>
      </c>
      <c r="L48" s="127" t="s">
        <v>28</v>
      </c>
      <c r="M48" s="263">
        <v>1800</v>
      </c>
      <c r="N48" s="126" t="s">
        <v>29</v>
      </c>
      <c r="O48" s="67">
        <f>(Parties6[[#This Row],[Node Price (USD)]]+Parties6[[#This Row],[Identity Price (USD)]])*Parties6[[#This Row],[Identity Purchased ]]</f>
        <v>4800</v>
      </c>
      <c r="P48" s="255"/>
      <c r="Q48" s="242">
        <f t="shared" ca="1" si="1"/>
        <v>325</v>
      </c>
      <c r="R48" s="242" t="str">
        <f ca="1">IF(Parties6[[#This Row],[Days to Expiry2]]&gt;0, "OK", "EXPIRED")</f>
        <v>OK</v>
      </c>
      <c r="S48" s="15">
        <f>COUNTIFS('DB - Identities'!A:A,A48,'DB - Identities'!V:V,"Active")</f>
        <v>1</v>
      </c>
      <c r="T48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8" s="15">
        <f>SUMIF('DB - Identities'!A:A,A48,'DB - Identities'!AA:AA)</f>
        <v>0</v>
      </c>
      <c r="V48" s="164">
        <f>SUMIF('DB - Identities'!A:A,A48,'DB - Identities'!AB:AB)</f>
        <v>0</v>
      </c>
    </row>
    <row r="49" spans="1:22" ht="17">
      <c r="A49" s="15">
        <v>48</v>
      </c>
      <c r="B49" s="92" t="s">
        <v>318</v>
      </c>
      <c r="C49" s="57">
        <f>_xlfn.XLOOKUP(Parties6[[#This Row],[Contracting Party Legal Entity Name]],c_parties,'DB - Contracting Parties'!I:I)</f>
        <v>44410</v>
      </c>
      <c r="D49" s="15">
        <v>5741634988</v>
      </c>
      <c r="E49" s="57">
        <v>44410</v>
      </c>
      <c r="F49" s="125">
        <v>44440</v>
      </c>
      <c r="G49" s="125">
        <v>44804</v>
      </c>
      <c r="H49" s="15" t="s">
        <v>143</v>
      </c>
      <c r="I49" s="127">
        <v>1</v>
      </c>
      <c r="J49" s="128">
        <v>0</v>
      </c>
      <c r="K49" s="127">
        <v>1</v>
      </c>
      <c r="L49" s="127" t="s">
        <v>28</v>
      </c>
      <c r="M49" s="263" t="s">
        <v>59</v>
      </c>
      <c r="N49" s="126" t="s">
        <v>29</v>
      </c>
      <c r="O49" s="67" t="e">
        <f>(Parties6[[#This Row],[Node Price (USD)]]+Parties6[[#This Row],[Identity Price (USD)]])*Parties6[[#This Row],[Identity Purchased ]]</f>
        <v>#VALUE!</v>
      </c>
      <c r="P49" s="255"/>
      <c r="Q49" s="242">
        <f t="shared" ca="1" si="1"/>
        <v>356</v>
      </c>
      <c r="R49" s="242" t="str">
        <f ca="1">IF(Parties6[[#This Row],[Days to Expiry2]]&gt;0, "OK", "EXPIRED")</f>
        <v>OK</v>
      </c>
      <c r="S49" s="15">
        <f>COUNTIFS('DB - Identities'!A:A,A49,'DB - Identities'!V:V,"Active")</f>
        <v>1</v>
      </c>
      <c r="T49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49" s="15">
        <f>SUMIF('DB - Identities'!A:A,A49,'DB - Identities'!AA:AA)</f>
        <v>0</v>
      </c>
      <c r="V49" s="164">
        <f>SUMIF('DB - Identities'!A:A,A49,'DB - Identities'!AB:AB)</f>
        <v>0</v>
      </c>
    </row>
    <row r="50" spans="1:22" ht="17">
      <c r="A50" s="15">
        <v>49</v>
      </c>
      <c r="B50" s="92" t="s">
        <v>324</v>
      </c>
      <c r="C50" s="57">
        <f>_xlfn.XLOOKUP(Parties6[[#This Row],[Contracting Party Legal Entity Name]],c_parties,'DB - Contracting Parties'!I:I)</f>
        <v>44412</v>
      </c>
      <c r="D50" s="15">
        <v>5737116081</v>
      </c>
      <c r="E50" s="57">
        <v>44412</v>
      </c>
      <c r="F50" s="125">
        <v>44440</v>
      </c>
      <c r="G50" s="125">
        <v>44804</v>
      </c>
      <c r="H50" s="15" t="s">
        <v>143</v>
      </c>
      <c r="I50" s="127">
        <v>1</v>
      </c>
      <c r="J50" s="128">
        <v>0</v>
      </c>
      <c r="K50" s="127">
        <v>1</v>
      </c>
      <c r="L50" s="127" t="s">
        <v>28</v>
      </c>
      <c r="M50" s="263" t="s">
        <v>59</v>
      </c>
      <c r="N50" s="126" t="s">
        <v>29</v>
      </c>
      <c r="O50" s="67" t="e">
        <f>(Parties6[[#This Row],[Node Price (USD)]]+Parties6[[#This Row],[Identity Price (USD)]])*Parties6[[#This Row],[Identity Purchased ]]</f>
        <v>#VALUE!</v>
      </c>
      <c r="P50" s="255"/>
      <c r="Q50" s="242">
        <f t="shared" ca="1" si="1"/>
        <v>356</v>
      </c>
      <c r="R50" s="242" t="str">
        <f ca="1">IF(Parties6[[#This Row],[Days to Expiry2]]&gt;0, "OK", "EXPIRED")</f>
        <v>OK</v>
      </c>
      <c r="S50" s="15">
        <f>COUNTIFS('DB - Identities'!A:A,A50,'DB - Identities'!V:V,"Active")</f>
        <v>1</v>
      </c>
      <c r="T50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0" s="15">
        <f>SUMIF('DB - Identities'!A:A,A50,'DB - Identities'!AA:AA)</f>
        <v>0</v>
      </c>
      <c r="V50" s="164">
        <f>SUMIF('DB - Identities'!A:A,A50,'DB - Identities'!AB:AB)</f>
        <v>0</v>
      </c>
    </row>
    <row r="51" spans="1:22" ht="17">
      <c r="A51" s="15">
        <v>50</v>
      </c>
      <c r="B51" s="92" t="s">
        <v>330</v>
      </c>
      <c r="C51" s="57">
        <f>_xlfn.XLOOKUP(Parties6[[#This Row],[Contracting Party Legal Entity Name]],c_parties,'DB - Contracting Parties'!I:I)</f>
        <v>44405</v>
      </c>
      <c r="D51" s="15">
        <v>5618665124</v>
      </c>
      <c r="E51" s="57">
        <v>44405</v>
      </c>
      <c r="F51" s="125">
        <v>44409</v>
      </c>
      <c r="G51" s="125">
        <v>44773</v>
      </c>
      <c r="H51" s="15" t="s">
        <v>143</v>
      </c>
      <c r="I51" s="127">
        <v>1</v>
      </c>
      <c r="J51" s="128">
        <v>0</v>
      </c>
      <c r="K51" s="127">
        <v>1</v>
      </c>
      <c r="L51" s="127" t="s">
        <v>28</v>
      </c>
      <c r="M51" s="263" t="s">
        <v>59</v>
      </c>
      <c r="N51" s="126" t="s">
        <v>29</v>
      </c>
      <c r="O51" s="67" t="e">
        <f>(Parties6[[#This Row],[Node Price (USD)]]+Parties6[[#This Row],[Identity Price (USD)]])*Parties6[[#This Row],[Identity Purchased ]]</f>
        <v>#VALUE!</v>
      </c>
      <c r="P51" s="255"/>
      <c r="Q51" s="242">
        <f t="shared" ca="1" si="1"/>
        <v>325</v>
      </c>
      <c r="R51" s="242" t="str">
        <f ca="1">IF(Parties6[[#This Row],[Days to Expiry2]]&gt;0, "OK", "EXPIRED")</f>
        <v>OK</v>
      </c>
      <c r="S51" s="15">
        <f>COUNTIFS('DB - Identities'!A:A,A51,'DB - Identities'!V:V,"Active")</f>
        <v>1</v>
      </c>
      <c r="T51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1" s="15">
        <f>SUMIF('DB - Identities'!A:A,A51,'DB - Identities'!AA:AA)</f>
        <v>0</v>
      </c>
      <c r="V51" s="164">
        <f>SUMIF('DB - Identities'!A:A,A51,'DB - Identities'!AB:AB)</f>
        <v>0</v>
      </c>
    </row>
    <row r="52" spans="1:22" ht="17">
      <c r="A52" s="15">
        <v>51</v>
      </c>
      <c r="B52" s="92" t="s">
        <v>335</v>
      </c>
      <c r="C52" s="57">
        <f>_xlfn.XLOOKUP(Parties6[[#This Row],[Contracting Party Legal Entity Name]],c_parties,'DB - Contracting Parties'!I:I)</f>
        <v>44413</v>
      </c>
      <c r="D52" s="15">
        <v>5381358652</v>
      </c>
      <c r="E52" s="57">
        <v>44413</v>
      </c>
      <c r="F52" s="125">
        <v>44440</v>
      </c>
      <c r="G52" s="125">
        <v>44804</v>
      </c>
      <c r="H52" s="15" t="s">
        <v>143</v>
      </c>
      <c r="I52" s="127">
        <v>1</v>
      </c>
      <c r="J52" s="128">
        <v>0</v>
      </c>
      <c r="K52" s="127">
        <v>1</v>
      </c>
      <c r="L52" s="127" t="s">
        <v>28</v>
      </c>
      <c r="M52" s="263" t="s">
        <v>59</v>
      </c>
      <c r="N52" s="126" t="s">
        <v>29</v>
      </c>
      <c r="O52" s="67" t="e">
        <f>(Parties6[[#This Row],[Node Price (USD)]]+Parties6[[#This Row],[Identity Price (USD)]])*Parties6[[#This Row],[Identity Purchased ]]</f>
        <v>#VALUE!</v>
      </c>
      <c r="P52" s="255"/>
      <c r="Q52" s="242">
        <f t="shared" ca="1" si="1"/>
        <v>356</v>
      </c>
      <c r="R52" s="242" t="str">
        <f ca="1">IF(Parties6[[#This Row],[Days to Expiry2]]&gt;0, "OK", "EXPIRED")</f>
        <v>OK</v>
      </c>
      <c r="S52" s="15">
        <f>COUNTIFS('DB - Identities'!A:A,A52,'DB - Identities'!V:V,"Active")</f>
        <v>1</v>
      </c>
      <c r="T52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2" s="15">
        <f>SUMIF('DB - Identities'!A:A,A52,'DB - Identities'!AA:AA)</f>
        <v>0</v>
      </c>
      <c r="V52" s="164">
        <f>SUMIF('DB - Identities'!A:A,A52,'DB - Identities'!AB:AB)</f>
        <v>0</v>
      </c>
    </row>
    <row r="53" spans="1:22" ht="17">
      <c r="A53" s="15">
        <v>52</v>
      </c>
      <c r="B53" s="92" t="s">
        <v>341</v>
      </c>
      <c r="C53" s="57">
        <f>_xlfn.XLOOKUP(Parties6[[#This Row],[Contracting Party Legal Entity Name]],c_parties,'DB - Contracting Parties'!I:I)</f>
        <v>44414</v>
      </c>
      <c r="D53" s="15">
        <v>5676082693</v>
      </c>
      <c r="E53" s="57">
        <v>44414</v>
      </c>
      <c r="F53" s="125">
        <v>44440</v>
      </c>
      <c r="G53" s="125">
        <v>44804</v>
      </c>
      <c r="H53" s="15" t="s">
        <v>143</v>
      </c>
      <c r="I53" s="127">
        <v>1</v>
      </c>
      <c r="J53" s="128">
        <v>0</v>
      </c>
      <c r="K53" s="127">
        <v>1</v>
      </c>
      <c r="L53" s="127" t="s">
        <v>28</v>
      </c>
      <c r="M53" s="263" t="s">
        <v>59</v>
      </c>
      <c r="N53" s="126" t="s">
        <v>29</v>
      </c>
      <c r="O53" s="67" t="e">
        <f>(Parties6[[#This Row],[Node Price (USD)]]+Parties6[[#This Row],[Identity Price (USD)]])*Parties6[[#This Row],[Identity Purchased ]]</f>
        <v>#VALUE!</v>
      </c>
      <c r="P53" s="255"/>
      <c r="Q53" s="242">
        <f t="shared" ca="1" si="1"/>
        <v>356</v>
      </c>
      <c r="R53" s="242" t="str">
        <f ca="1">IF(Parties6[[#This Row],[Days to Expiry2]]&gt;0, "OK", "EXPIRED")</f>
        <v>OK</v>
      </c>
      <c r="S53" s="15">
        <f>COUNTIFS('DB - Identities'!A:A,A53,'DB - Identities'!V:V,"Active")</f>
        <v>1</v>
      </c>
      <c r="T53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3" s="15">
        <f>SUMIF('DB - Identities'!A:A,A53,'DB - Identities'!AA:AA)</f>
        <v>0</v>
      </c>
      <c r="V53" s="164">
        <f>SUMIF('DB - Identities'!A:A,A53,'DB - Identities'!AB:AB)</f>
        <v>0</v>
      </c>
    </row>
    <row r="54" spans="1:22" ht="17">
      <c r="A54" s="15">
        <v>53</v>
      </c>
      <c r="B54" s="92" t="s">
        <v>348</v>
      </c>
      <c r="C54" s="57">
        <f>_xlfn.XLOOKUP(Parties6[[#This Row],[Contracting Party Legal Entity Name]],c_parties,'DB - Contracting Parties'!I:I)</f>
        <v>44420</v>
      </c>
      <c r="D54" s="15">
        <v>5245464584</v>
      </c>
      <c r="E54" s="57">
        <v>44420</v>
      </c>
      <c r="F54" s="125">
        <v>44440</v>
      </c>
      <c r="G54" s="125">
        <v>44804</v>
      </c>
      <c r="H54" s="15" t="s">
        <v>35</v>
      </c>
      <c r="I54" s="152">
        <v>1</v>
      </c>
      <c r="J54" s="67">
        <v>18000</v>
      </c>
      <c r="K54" s="152">
        <v>1</v>
      </c>
      <c r="L54" s="152" t="s">
        <v>28</v>
      </c>
      <c r="M54" s="264">
        <v>3000</v>
      </c>
      <c r="N54" s="151" t="s">
        <v>29</v>
      </c>
      <c r="O54" s="67">
        <f>(Parties6[[#This Row],[Node Price (USD)]]+Parties6[[#This Row],[Identity Price (USD)]])*Parties6[[#This Row],[Identity Purchased ]]</f>
        <v>21000</v>
      </c>
      <c r="P54" s="255"/>
      <c r="Q54" s="243">
        <f t="shared" ca="1" si="1"/>
        <v>356</v>
      </c>
      <c r="R54" s="243" t="str">
        <f ca="1">IF(Parties6[[#This Row],[Days to Expiry2]]&gt;0, "OK", "EXPIRED")</f>
        <v>OK</v>
      </c>
      <c r="S54" s="15">
        <f>COUNTIFS('DB - Identities'!A:A,A54,'DB - Identities'!V:V,"Active")</f>
        <v>1</v>
      </c>
      <c r="T54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4" s="15">
        <f>SUMIF('DB - Identities'!A:A,A54,'DB - Identities'!AA:AA)</f>
        <v>0</v>
      </c>
      <c r="V54" s="164">
        <f>SUMIF('DB - Identities'!A:A,A54,'DB - Identities'!AB:AB)</f>
        <v>0</v>
      </c>
    </row>
    <row r="55" spans="1:22" ht="17">
      <c r="A55" s="15">
        <v>54</v>
      </c>
      <c r="B55" s="92" t="s">
        <v>353</v>
      </c>
      <c r="C55" s="57">
        <f>_xlfn.XLOOKUP(Parties6[[#This Row],[Contracting Party Legal Entity Name]],c_parties,'DB - Contracting Parties'!I:I)</f>
        <v>44421</v>
      </c>
      <c r="D55" s="15">
        <v>5891555725</v>
      </c>
      <c r="E55" s="57">
        <v>44421</v>
      </c>
      <c r="F55" s="125">
        <v>44440</v>
      </c>
      <c r="G55" s="125">
        <v>44804</v>
      </c>
      <c r="H55" s="15" t="s">
        <v>143</v>
      </c>
      <c r="I55" s="152">
        <v>1</v>
      </c>
      <c r="J55" s="67">
        <v>0</v>
      </c>
      <c r="K55" s="152">
        <v>1</v>
      </c>
      <c r="L55" s="152" t="s">
        <v>28</v>
      </c>
      <c r="M55" s="264" t="s">
        <v>59</v>
      </c>
      <c r="N55" s="151" t="s">
        <v>29</v>
      </c>
      <c r="O55" s="67" t="e">
        <f>(Parties6[[#This Row],[Node Price (USD)]]+Parties6[[#This Row],[Identity Price (USD)]])*Parties6[[#This Row],[Identity Purchased ]]</f>
        <v>#VALUE!</v>
      </c>
      <c r="P55" s="255"/>
      <c r="Q55" s="243">
        <f t="shared" ca="1" si="1"/>
        <v>356</v>
      </c>
      <c r="R55" s="243" t="str">
        <f ca="1">IF(Parties6[[#This Row],[Days to Expiry2]]&gt;0, "OK", "EXPIRED")</f>
        <v>OK</v>
      </c>
      <c r="S55" s="15">
        <f>COUNTIFS('DB - Identities'!A:A,A55,'DB - Identities'!V:V,"Active")</f>
        <v>1</v>
      </c>
      <c r="T5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5" s="15">
        <f>SUMIF('DB - Identities'!A:A,A55,'DB - Identities'!AA:AA)</f>
        <v>0</v>
      </c>
      <c r="V55" s="164">
        <f>SUMIF('DB - Identities'!A:A,A55,'DB - Identities'!AB:AB)</f>
        <v>0</v>
      </c>
    </row>
    <row r="56" spans="1:22" ht="17">
      <c r="A56" s="15">
        <v>55</v>
      </c>
      <c r="B56" s="92" t="s">
        <v>358</v>
      </c>
      <c r="C56" s="57">
        <f>_xlfn.XLOOKUP(Parties6[[#This Row],[Contracting Party Legal Entity Name]],c_parties,'DB - Contracting Parties'!I:I)</f>
        <v>44421</v>
      </c>
      <c r="D56" s="15">
        <v>5660814935</v>
      </c>
      <c r="E56" s="57">
        <v>44421</v>
      </c>
      <c r="F56" s="125">
        <v>44440</v>
      </c>
      <c r="G56" s="125">
        <v>44804</v>
      </c>
      <c r="H56" s="15" t="s">
        <v>35</v>
      </c>
      <c r="I56" s="152">
        <v>1</v>
      </c>
      <c r="J56" s="67">
        <v>3000</v>
      </c>
      <c r="K56" s="152">
        <v>1</v>
      </c>
      <c r="L56" s="152" t="s">
        <v>28</v>
      </c>
      <c r="M56" s="264">
        <v>1800</v>
      </c>
      <c r="N56" s="151" t="s">
        <v>29</v>
      </c>
      <c r="O56" s="67">
        <f>(Parties6[[#This Row],[Node Price (USD)]]+Parties6[[#This Row],[Identity Price (USD)]])*Parties6[[#This Row],[Identity Purchased ]]</f>
        <v>4800</v>
      </c>
      <c r="P56" s="255"/>
      <c r="Q56" s="243">
        <f t="shared" ca="1" si="1"/>
        <v>356</v>
      </c>
      <c r="R56" s="243" t="str">
        <f ca="1">IF(Parties6[[#This Row],[Days to Expiry2]]&gt;0, "OK", "EXPIRED")</f>
        <v>OK</v>
      </c>
      <c r="S56" s="15">
        <f>COUNTIFS('DB - Identities'!A:A,A56,'DB - Identities'!V:V,"Active")</f>
        <v>1</v>
      </c>
      <c r="T5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6" s="15">
        <f>SUMIF('DB - Identities'!A:A,A56,'DB - Identities'!AA:AA)</f>
        <v>0</v>
      </c>
      <c r="V56" s="164">
        <f>SUMIF('DB - Identities'!A:A,A56,'DB - Identities'!AB:AB)</f>
        <v>0</v>
      </c>
    </row>
    <row r="57" spans="1:22" ht="17">
      <c r="A57" s="15">
        <v>56</v>
      </c>
      <c r="B57" s="92" t="s">
        <v>360</v>
      </c>
      <c r="C57" s="57">
        <f>_xlfn.XLOOKUP(Parties6[[#This Row],[Contracting Party Legal Entity Name]],c_parties,'DB - Contracting Parties'!I:I)</f>
        <v>44419</v>
      </c>
      <c r="D57" s="15">
        <v>3416021227</v>
      </c>
      <c r="E57" s="57">
        <v>44419</v>
      </c>
      <c r="F57" s="125">
        <v>44440</v>
      </c>
      <c r="G57" s="125">
        <v>44804</v>
      </c>
      <c r="H57" s="15" t="s">
        <v>35</v>
      </c>
      <c r="I57" s="152">
        <v>1</v>
      </c>
      <c r="J57" s="67">
        <v>9000</v>
      </c>
      <c r="K57" s="152">
        <v>1</v>
      </c>
      <c r="L57" s="152" t="s">
        <v>28</v>
      </c>
      <c r="M57" s="264">
        <v>9000</v>
      </c>
      <c r="N57" s="151" t="s">
        <v>29</v>
      </c>
      <c r="O57" s="67">
        <f>(Parties6[[#This Row],[Node Price (USD)]]+Parties6[[#This Row],[Identity Price (USD)]])*Parties6[[#This Row],[Identity Purchased ]]</f>
        <v>18000</v>
      </c>
      <c r="P57" s="255"/>
      <c r="Q57" s="243">
        <f t="shared" ca="1" si="1"/>
        <v>356</v>
      </c>
      <c r="R57" s="243" t="str">
        <f ca="1">IF(Parties6[[#This Row],[Days to Expiry2]]&gt;0, "OK", "EXPIRED")</f>
        <v>OK</v>
      </c>
      <c r="S57" s="15">
        <f>COUNTIFS('DB - Identities'!A:A,A57,'DB - Identities'!V:V,"Active")</f>
        <v>1</v>
      </c>
      <c r="T57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7" s="15">
        <f>SUMIF('DB - Identities'!A:A,A57,'DB - Identities'!AA:AA)</f>
        <v>0</v>
      </c>
      <c r="V57" s="164">
        <f>SUMIF('DB - Identities'!A:A,A57,'DB - Identities'!AB:AB)</f>
        <v>0</v>
      </c>
    </row>
    <row r="58" spans="1:22" ht="17">
      <c r="A58" s="15">
        <v>57</v>
      </c>
      <c r="B58" s="92" t="s">
        <v>366</v>
      </c>
      <c r="C58" s="57">
        <f>_xlfn.XLOOKUP(Parties6[[#This Row],[Contracting Party Legal Entity Name]],c_parties,'DB - Contracting Parties'!I:I)</f>
        <v>44427</v>
      </c>
      <c r="D58" s="15">
        <v>5736887444</v>
      </c>
      <c r="E58" s="57">
        <v>44427</v>
      </c>
      <c r="F58" s="125">
        <v>44440</v>
      </c>
      <c r="G58" s="125">
        <v>44804</v>
      </c>
      <c r="H58" s="15" t="s">
        <v>143</v>
      </c>
      <c r="I58" s="152">
        <v>1</v>
      </c>
      <c r="J58" s="260">
        <v>0</v>
      </c>
      <c r="K58" s="152">
        <v>1</v>
      </c>
      <c r="L58" s="152" t="s">
        <v>28</v>
      </c>
      <c r="M58" s="264" t="s">
        <v>59</v>
      </c>
      <c r="N58" s="151" t="s">
        <v>29</v>
      </c>
      <c r="O58" s="67" t="e">
        <f>(Parties6[[#This Row],[Node Price (USD)]]+Parties6[[#This Row],[Identity Price (USD)]])*Parties6[[#This Row],[Identity Purchased ]]</f>
        <v>#VALUE!</v>
      </c>
      <c r="P58" s="255"/>
      <c r="Q58" s="243">
        <f t="shared" ca="1" si="1"/>
        <v>356</v>
      </c>
      <c r="R58" s="243" t="str">
        <f ca="1">IF(Parties6[[#This Row],[Days to Expiry2]]&gt;0, "OK", "EXPIRED")</f>
        <v>OK</v>
      </c>
      <c r="S58" s="15">
        <f>COUNTIFS('DB - Identities'!A:A,A58,'DB - Identities'!V:V,"Active")</f>
        <v>1</v>
      </c>
      <c r="T58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8" s="15">
        <f>SUMIF('DB - Identities'!A:A,A58,'DB - Identities'!AA:AA)</f>
        <v>0</v>
      </c>
      <c r="V58" s="164">
        <f>SUMIF('DB - Identities'!A:A,A58,'DB - Identities'!AB:AB)</f>
        <v>0</v>
      </c>
    </row>
    <row r="59" spans="1:22" ht="17">
      <c r="A59" s="15">
        <v>58</v>
      </c>
      <c r="B59" s="92" t="s">
        <v>372</v>
      </c>
      <c r="C59" s="57">
        <f>_xlfn.XLOOKUP(Parties6[[#This Row],[Contracting Party Legal Entity Name]],c_parties,'DB - Contracting Parties'!I:I)</f>
        <v>44426</v>
      </c>
      <c r="D59" s="15">
        <v>4978798920</v>
      </c>
      <c r="E59" s="57">
        <v>44426</v>
      </c>
      <c r="F59" s="125">
        <v>44440</v>
      </c>
      <c r="G59" s="125">
        <v>44804</v>
      </c>
      <c r="H59" s="15" t="s">
        <v>143</v>
      </c>
      <c r="I59" s="152">
        <v>1</v>
      </c>
      <c r="J59" s="260">
        <v>0</v>
      </c>
      <c r="K59" s="152">
        <v>1</v>
      </c>
      <c r="L59" s="152" t="s">
        <v>28</v>
      </c>
      <c r="M59" s="264" t="s">
        <v>59</v>
      </c>
      <c r="N59" s="151" t="s">
        <v>29</v>
      </c>
      <c r="O59" s="67" t="e">
        <f>(Parties6[[#This Row],[Node Price (USD)]]+Parties6[[#This Row],[Identity Price (USD)]])*Parties6[[#This Row],[Identity Purchased ]]</f>
        <v>#VALUE!</v>
      </c>
      <c r="P59" s="255"/>
      <c r="Q59" s="243">
        <f t="shared" ca="1" si="1"/>
        <v>356</v>
      </c>
      <c r="R59" s="243" t="str">
        <f ca="1">IF(Parties6[[#This Row],[Days to Expiry2]]&gt;0, "OK", "EXPIRED")</f>
        <v>OK</v>
      </c>
      <c r="S59" s="15">
        <f>COUNTIFS('DB - Identities'!A:A,A59,'DB - Identities'!V:V,"Active")</f>
        <v>1</v>
      </c>
      <c r="T59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59" s="15">
        <f>SUMIF('DB - Identities'!A:A,A59,'DB - Identities'!AA:AA)</f>
        <v>0</v>
      </c>
      <c r="V59" s="164">
        <f>SUMIF('DB - Identities'!A:A,A59,'DB - Identities'!AB:AB)</f>
        <v>0</v>
      </c>
    </row>
    <row r="60" spans="1:22" ht="17">
      <c r="A60" s="15">
        <v>59</v>
      </c>
      <c r="B60" s="92" t="s">
        <v>118</v>
      </c>
      <c r="C60" s="57">
        <f>_xlfn.XLOOKUP(Parties6[[#This Row],[Contracting Party Legal Entity Name]],c_parties,'DB - Contracting Parties'!I:I)</f>
        <v>44228</v>
      </c>
      <c r="D60" s="15">
        <v>5698746162</v>
      </c>
      <c r="E60" s="57">
        <v>44228</v>
      </c>
      <c r="F60" s="125">
        <v>44440</v>
      </c>
      <c r="G60" s="125">
        <v>44804</v>
      </c>
      <c r="H60" s="15" t="s">
        <v>143</v>
      </c>
      <c r="I60" s="152">
        <v>1</v>
      </c>
      <c r="J60" s="260">
        <v>0</v>
      </c>
      <c r="K60" s="152">
        <v>1</v>
      </c>
      <c r="L60" s="152" t="s">
        <v>28</v>
      </c>
      <c r="M60" s="264" t="s">
        <v>59</v>
      </c>
      <c r="N60" s="151" t="s">
        <v>29</v>
      </c>
      <c r="O60" s="67" t="e">
        <f>(Parties6[[#This Row],[Node Price (USD)]]+Parties6[[#This Row],[Identity Price (USD)]])*Parties6[[#This Row],[Identity Purchased ]]</f>
        <v>#VALUE!</v>
      </c>
      <c r="P60" s="255"/>
      <c r="Q60" s="243">
        <f t="shared" ca="1" si="1"/>
        <v>356</v>
      </c>
      <c r="R60" s="243" t="str">
        <f ca="1">IF(Parties6[[#This Row],[Days to Expiry2]]&gt;0, "OK", "EXPIRED")</f>
        <v>OK</v>
      </c>
      <c r="S60" s="15">
        <f>COUNTIFS('DB - Identities'!A:A,A60,'DB - Identities'!V:V,"Active")</f>
        <v>0</v>
      </c>
      <c r="T60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60" s="15">
        <f>SUMIF('DB - Identities'!A:A,A60,'DB - Identities'!AA:AA)</f>
        <v>0</v>
      </c>
      <c r="V60" s="164">
        <f>SUMIF('DB - Identities'!A:A,A60,'DB - Identities'!AB:AB)</f>
        <v>0</v>
      </c>
    </row>
    <row r="61" spans="1:22" ht="17">
      <c r="A61" s="15">
        <v>60</v>
      </c>
      <c r="B61" s="92" t="s">
        <v>379</v>
      </c>
      <c r="C61" s="57">
        <f>_xlfn.XLOOKUP(Parties6[[#This Row],[Contracting Party Legal Entity Name]],c_parties,'DB - Contracting Parties'!I:I)</f>
        <v>44426</v>
      </c>
      <c r="D61" s="15">
        <v>5663588790</v>
      </c>
      <c r="E61" s="57">
        <v>44426</v>
      </c>
      <c r="F61" s="125">
        <v>44440</v>
      </c>
      <c r="G61" s="125">
        <v>44804</v>
      </c>
      <c r="H61" s="15" t="s">
        <v>143</v>
      </c>
      <c r="I61" s="152">
        <v>1</v>
      </c>
      <c r="J61" s="260">
        <v>0</v>
      </c>
      <c r="K61" s="152">
        <v>1</v>
      </c>
      <c r="L61" s="152" t="s">
        <v>28</v>
      </c>
      <c r="M61" s="264" t="s">
        <v>59</v>
      </c>
      <c r="N61" s="151" t="s">
        <v>29</v>
      </c>
      <c r="O61" s="67" t="e">
        <f>(Parties6[[#This Row],[Node Price (USD)]]+Parties6[[#This Row],[Identity Price (USD)]])*Parties6[[#This Row],[Identity Purchased ]]</f>
        <v>#VALUE!</v>
      </c>
      <c r="P61" s="255"/>
      <c r="Q61" s="243">
        <f t="shared" ca="1" si="1"/>
        <v>356</v>
      </c>
      <c r="R61" s="243" t="str">
        <f ca="1">IF(Parties6[[#This Row],[Days to Expiry2]]&gt;0, "OK", "EXPIRED")</f>
        <v>OK</v>
      </c>
      <c r="S61" s="15">
        <f>COUNTIFS('DB - Identities'!A:A,A61,'DB - Identities'!V:V,"Active")</f>
        <v>1</v>
      </c>
      <c r="T61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61" s="15">
        <f>SUMIF('DB - Identities'!A:A,A61,'DB - Identities'!AA:AA)</f>
        <v>0</v>
      </c>
      <c r="V61" s="164">
        <f>SUMIF('DB - Identities'!A:A,A61,'DB - Identities'!AB:AB)</f>
        <v>0</v>
      </c>
    </row>
    <row r="62" spans="1:22" ht="17">
      <c r="A62" s="15">
        <v>61</v>
      </c>
      <c r="B62" s="92" t="s">
        <v>385</v>
      </c>
      <c r="C62" s="57">
        <f>_xlfn.XLOOKUP(Parties6[[#This Row],[Contracting Party Legal Entity Name]],c_parties,'DB - Contracting Parties'!I:I)</f>
        <v>44431</v>
      </c>
      <c r="D62" s="15">
        <v>5736222384</v>
      </c>
      <c r="E62" s="57">
        <v>44431</v>
      </c>
      <c r="F62" s="125">
        <v>44440</v>
      </c>
      <c r="G62" s="125">
        <v>44804</v>
      </c>
      <c r="H62" s="15" t="s">
        <v>143</v>
      </c>
      <c r="I62" s="152">
        <v>1</v>
      </c>
      <c r="J62" s="260">
        <v>0</v>
      </c>
      <c r="K62" s="152">
        <v>1</v>
      </c>
      <c r="L62" s="152" t="s">
        <v>28</v>
      </c>
      <c r="M62" s="264" t="s">
        <v>59</v>
      </c>
      <c r="N62" s="151" t="s">
        <v>29</v>
      </c>
      <c r="O62" s="67" t="e">
        <f>(Parties6[[#This Row],[Node Price (USD)]]+Parties6[[#This Row],[Identity Price (USD)]])*Parties6[[#This Row],[Identity Purchased ]]</f>
        <v>#VALUE!</v>
      </c>
      <c r="P62" s="255"/>
      <c r="Q62" s="243">
        <f t="shared" ca="1" si="1"/>
        <v>356</v>
      </c>
      <c r="R62" s="243" t="str">
        <f ca="1">IF(Parties6[[#This Row],[Days to Expiry2]]&gt;0, "OK", "EXPIRED")</f>
        <v>OK</v>
      </c>
      <c r="S62" s="15">
        <f>COUNTIFS('DB - Identities'!A:A,A62,'DB - Identities'!V:V,"Active")</f>
        <v>1</v>
      </c>
      <c r="T62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62" s="15">
        <f>SUMIF('DB - Identities'!A:A,A62,'DB - Identities'!AA:AA)</f>
        <v>0</v>
      </c>
      <c r="V62" s="164">
        <f>SUMIF('DB - Identities'!A:A,A62,'DB - Identities'!AB:AB)</f>
        <v>0</v>
      </c>
    </row>
    <row r="63" spans="1:22" ht="17">
      <c r="A63" s="15">
        <v>62</v>
      </c>
      <c r="B63" s="92" t="s">
        <v>388</v>
      </c>
      <c r="C63" s="57">
        <f>_xlfn.XLOOKUP(Parties6[[#This Row],[Contracting Party Legal Entity Name]],c_parties,'DB - Contracting Parties'!I:I)</f>
        <v>44431</v>
      </c>
      <c r="D63" s="15">
        <v>5736933950</v>
      </c>
      <c r="E63" s="57">
        <v>44431</v>
      </c>
      <c r="F63" s="125">
        <v>44440</v>
      </c>
      <c r="G63" s="125">
        <v>44804</v>
      </c>
      <c r="H63" s="15" t="s">
        <v>143</v>
      </c>
      <c r="I63" s="152">
        <v>1</v>
      </c>
      <c r="J63" s="260">
        <v>0</v>
      </c>
      <c r="K63" s="152">
        <v>1</v>
      </c>
      <c r="L63" s="152" t="s">
        <v>28</v>
      </c>
      <c r="M63" s="264" t="s">
        <v>59</v>
      </c>
      <c r="N63" s="151" t="s">
        <v>29</v>
      </c>
      <c r="O63" s="67" t="e">
        <f>(Parties6[[#This Row],[Node Price (USD)]]+Parties6[[#This Row],[Identity Price (USD)]])*Parties6[[#This Row],[Identity Purchased ]]</f>
        <v>#VALUE!</v>
      </c>
      <c r="P63" s="255"/>
      <c r="Q63" s="243">
        <f t="shared" ca="1" si="1"/>
        <v>356</v>
      </c>
      <c r="R63" s="243" t="str">
        <f ca="1">IF(Parties6[[#This Row],[Days to Expiry2]]&gt;0, "OK", "EXPIRED")</f>
        <v>OK</v>
      </c>
      <c r="S63" s="15">
        <f>COUNTIFS('DB - Identities'!A:A,A63,'DB - Identities'!V:V,"Active")</f>
        <v>1</v>
      </c>
      <c r="T63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63" s="15">
        <f>SUMIF('DB - Identities'!A:A,A63,'DB - Identities'!AA:AA)</f>
        <v>0</v>
      </c>
      <c r="V63" s="164">
        <f>SUMIF('DB - Identities'!A:A,A63,'DB - Identities'!AB:AB)</f>
        <v>0</v>
      </c>
    </row>
    <row r="64" spans="1:22" ht="17">
      <c r="A64" s="15">
        <v>63</v>
      </c>
      <c r="B64" s="92" t="s">
        <v>2165</v>
      </c>
      <c r="C64" s="57">
        <f>_xlfn.XLOOKUP(Parties6[[#This Row],[Contracting Party Legal Entity Name]],c_parties,'DB - Contracting Parties'!I:I)</f>
        <v>44426</v>
      </c>
      <c r="D64" s="15">
        <v>5591987580</v>
      </c>
      <c r="E64" s="57">
        <v>44426</v>
      </c>
      <c r="F64" s="125">
        <v>44440</v>
      </c>
      <c r="G64" s="125">
        <v>44804</v>
      </c>
      <c r="H64" s="15" t="s">
        <v>59</v>
      </c>
      <c r="I64" s="152">
        <v>1</v>
      </c>
      <c r="J64" s="260">
        <v>4500</v>
      </c>
      <c r="K64" s="152">
        <v>1</v>
      </c>
      <c r="L64" s="152" t="s">
        <v>39</v>
      </c>
      <c r="M64" s="264">
        <v>0</v>
      </c>
      <c r="N64" s="151" t="s">
        <v>29</v>
      </c>
      <c r="O64" s="67">
        <f>(Parties6[[#This Row],[Node Price (USD)]]+Parties6[[#This Row],[Identity Price (USD)]])*Parties6[[#This Row],[Identity Purchased ]]</f>
        <v>4500</v>
      </c>
      <c r="P64" s="255"/>
      <c r="Q64" s="243">
        <f t="shared" ca="1" si="1"/>
        <v>356</v>
      </c>
      <c r="R64" s="243" t="str">
        <f ca="1">IF(Parties6[[#This Row],[Days to Expiry2]]&gt;0, "OK", "EXPIRED")</f>
        <v>OK</v>
      </c>
      <c r="S64" s="15">
        <f>COUNTIFS('DB - Identities'!A:A,A64,'DB - Identities'!V:V,"Active")</f>
        <v>0</v>
      </c>
      <c r="T64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64" s="15">
        <f>SUMIF('DB - Identities'!A:A,A64,'DB - Identities'!AA:AA)</f>
        <v>0</v>
      </c>
      <c r="V64" s="164">
        <f>SUMIF('DB - Identities'!A:A,A64,'DB - Identities'!AB:AB)</f>
        <v>0</v>
      </c>
    </row>
    <row r="65" spans="1:22" ht="17">
      <c r="A65" s="15">
        <v>64</v>
      </c>
      <c r="B65" s="92" t="s">
        <v>396</v>
      </c>
      <c r="C65" s="57">
        <f>_xlfn.XLOOKUP(Parties6[[#This Row],[Contracting Party Legal Entity Name]],c_parties,'DB - Contracting Parties'!I:I)</f>
        <v>44434</v>
      </c>
      <c r="D65" s="15">
        <v>5736915502</v>
      </c>
      <c r="E65" s="57">
        <v>44434</v>
      </c>
      <c r="F65" s="125">
        <v>44440</v>
      </c>
      <c r="G65" s="125">
        <v>44804</v>
      </c>
      <c r="H65" s="15" t="s">
        <v>143</v>
      </c>
      <c r="I65" s="152">
        <v>1</v>
      </c>
      <c r="J65" s="260">
        <v>0</v>
      </c>
      <c r="K65" s="152">
        <v>1</v>
      </c>
      <c r="L65" s="152" t="s">
        <v>28</v>
      </c>
      <c r="M65" s="264" t="s">
        <v>59</v>
      </c>
      <c r="N65" s="151" t="s">
        <v>29</v>
      </c>
      <c r="O65" s="67" t="e">
        <f>(Parties6[[#This Row],[Node Price (USD)]]+Parties6[[#This Row],[Identity Price (USD)]])*Parties6[[#This Row],[Identity Purchased ]]</f>
        <v>#VALUE!</v>
      </c>
      <c r="P65" s="255"/>
      <c r="Q65" s="243">
        <f t="shared" ca="1" si="1"/>
        <v>356</v>
      </c>
      <c r="R65" s="243" t="str">
        <f ca="1">IF(Parties6[[#This Row],[Days to Expiry2]]&gt;0, "OK", "EXPIRED")</f>
        <v>OK</v>
      </c>
      <c r="S65" s="15">
        <f>COUNTIFS('DB - Identities'!A:A,A65,'DB - Identities'!V:V,"Active")</f>
        <v>1</v>
      </c>
      <c r="T65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65" s="15">
        <f>SUMIF('DB - Identities'!A:A,A65,'DB - Identities'!AA:AA)</f>
        <v>0</v>
      </c>
      <c r="V65" s="164">
        <f>SUMIF('DB - Identities'!A:A,A65,'DB - Identities'!AB:AB)</f>
        <v>0</v>
      </c>
    </row>
    <row r="66" spans="1:22" ht="17">
      <c r="A66" s="15">
        <v>65</v>
      </c>
      <c r="B66" s="92" t="s">
        <v>399</v>
      </c>
      <c r="C66" s="57">
        <f>_xlfn.XLOOKUP(Parties6[[#This Row],[Contracting Party Legal Entity Name]],c_parties,'DB - Contracting Parties'!I:I)</f>
        <v>44438</v>
      </c>
      <c r="D66" s="15">
        <v>5521344302</v>
      </c>
      <c r="E66" s="57">
        <v>44438</v>
      </c>
      <c r="F66" s="125">
        <v>44440</v>
      </c>
      <c r="G66" s="125">
        <v>44804</v>
      </c>
      <c r="H66" s="15" t="s">
        <v>143</v>
      </c>
      <c r="I66" s="152">
        <v>1</v>
      </c>
      <c r="J66" s="260">
        <v>0</v>
      </c>
      <c r="K66" s="152">
        <v>1</v>
      </c>
      <c r="L66" s="152" t="s">
        <v>28</v>
      </c>
      <c r="M66" s="264" t="s">
        <v>59</v>
      </c>
      <c r="N66" s="151" t="s">
        <v>29</v>
      </c>
      <c r="O66" s="67" t="e">
        <f>(Parties6[[#This Row],[Node Price (USD)]]+Parties6[[#This Row],[Identity Price (USD)]])*Parties6[[#This Row],[Identity Purchased ]]</f>
        <v>#VALUE!</v>
      </c>
      <c r="P66" s="255"/>
      <c r="Q66" s="243">
        <f t="shared" ref="Q66:Q73" ca="1" si="2">_xlfn.DAYS(G66,NOW())</f>
        <v>356</v>
      </c>
      <c r="R66" s="243" t="str">
        <f ca="1">IF(Parties6[[#This Row],[Days to Expiry2]]&gt;0, "OK", "EXPIRED")</f>
        <v>OK</v>
      </c>
      <c r="S66" s="15">
        <f>COUNTIFS('DB - Identities'!A:A,A66,'DB - Identities'!V:V,"Active")</f>
        <v>1</v>
      </c>
      <c r="T66" s="15" t="str">
        <f>IF(Parties6[[#This Row],[Active Identities]]&gt;=Parties6[[#This Row],[Identity Purchased ]],IF(Parties6[[#This Row],[Active Identities]]&gt;Parties6[[#This Row],[Identity Purchased ]],"ERROR","Maximum"), "OK")</f>
        <v>Maximum</v>
      </c>
      <c r="U66" s="15">
        <f>SUMIF('DB - Identities'!A:A,A66,'DB - Identities'!AA:AA)</f>
        <v>0</v>
      </c>
      <c r="V66" s="164">
        <f>SUMIF('DB - Identities'!A:A,A66,'DB - Identities'!AB:AB)</f>
        <v>0</v>
      </c>
    </row>
    <row r="67" spans="1:22" ht="17">
      <c r="A67" s="15">
        <v>66</v>
      </c>
      <c r="B67" s="92" t="s">
        <v>405</v>
      </c>
      <c r="C67" s="57">
        <f>_xlfn.XLOOKUP(Parties6[[#This Row],[Contracting Party Legal Entity Name]],c_parties,'DB - Contracting Parties'!I:I)</f>
        <v>44439</v>
      </c>
      <c r="D67" s="15">
        <v>5359003461</v>
      </c>
      <c r="E67" s="57">
        <v>44439</v>
      </c>
      <c r="F67" s="125">
        <v>44440</v>
      </c>
      <c r="G67" s="125">
        <v>44804</v>
      </c>
      <c r="H67" s="15" t="s">
        <v>143</v>
      </c>
      <c r="I67" s="152">
        <v>1</v>
      </c>
      <c r="J67" s="260">
        <v>0</v>
      </c>
      <c r="K67" s="152">
        <v>1</v>
      </c>
      <c r="L67" s="152" t="s">
        <v>28</v>
      </c>
      <c r="M67" s="264" t="s">
        <v>59</v>
      </c>
      <c r="N67" s="151" t="s">
        <v>29</v>
      </c>
      <c r="O67" s="67" t="e">
        <f>(Parties6[[#This Row],[Node Price (USD)]]+Parties6[[#This Row],[Identity Price (USD)]])*Parties6[[#This Row],[Identity Purchased ]]</f>
        <v>#VALUE!</v>
      </c>
      <c r="P67" s="255"/>
      <c r="Q67" s="243">
        <f t="shared" ca="1" si="2"/>
        <v>356</v>
      </c>
      <c r="R67" s="243" t="str">
        <f ca="1">IF(Parties6[[#This Row],[Days to Expiry2]]&gt;0, "OK", "EXPIRED")</f>
        <v>OK</v>
      </c>
      <c r="S67" s="15">
        <f>COUNTIFS('DB - Identities'!A:A,A67,'DB - Identities'!V:V,"Active")</f>
        <v>0</v>
      </c>
      <c r="T67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67" s="15">
        <f>SUMIF('DB - Identities'!A:A,A67,'DB - Identities'!AA:AA)</f>
        <v>0</v>
      </c>
      <c r="V67" s="164">
        <f>SUMIF('DB - Identities'!A:A,A67,'DB - Identities'!AB:AB)</f>
        <v>0</v>
      </c>
    </row>
    <row r="68" spans="1:22" ht="17">
      <c r="A68" s="15">
        <v>67</v>
      </c>
      <c r="B68" s="92" t="s">
        <v>411</v>
      </c>
      <c r="C68" s="57">
        <f>_xlfn.XLOOKUP(Parties6[[#This Row],[Contracting Party Legal Entity Name]],c_parties,'DB - Contracting Parties'!I:I)</f>
        <v>44439</v>
      </c>
      <c r="D68" s="15">
        <v>5359003461</v>
      </c>
      <c r="E68" s="57">
        <v>44439</v>
      </c>
      <c r="F68" s="125">
        <v>44440</v>
      </c>
      <c r="G68" s="125">
        <v>44804</v>
      </c>
      <c r="H68" s="15" t="s">
        <v>143</v>
      </c>
      <c r="I68" s="152">
        <v>1</v>
      </c>
      <c r="J68" s="260">
        <v>0</v>
      </c>
      <c r="K68" s="152">
        <v>1</v>
      </c>
      <c r="L68" s="152" t="s">
        <v>28</v>
      </c>
      <c r="M68" s="264" t="s">
        <v>59</v>
      </c>
      <c r="N68" s="151" t="s">
        <v>29</v>
      </c>
      <c r="O68" s="67" t="e">
        <f>(Parties6[[#This Row],[Node Price (USD)]]+Parties6[[#This Row],[Identity Price (USD)]])*Parties6[[#This Row],[Identity Purchased ]]</f>
        <v>#VALUE!</v>
      </c>
      <c r="P68" s="255"/>
      <c r="Q68" s="243">
        <f t="shared" ca="1" si="2"/>
        <v>356</v>
      </c>
      <c r="R68" s="243" t="str">
        <f ca="1">IF(Parties6[[#This Row],[Days to Expiry2]]&gt;0, "OK", "EXPIRED")</f>
        <v>OK</v>
      </c>
      <c r="S68" s="15">
        <f>COUNTIFS('DB - Identities'!A:A,A68,'DB - Identities'!V:V,"Active")</f>
        <v>0</v>
      </c>
      <c r="T68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68" s="15">
        <f>SUMIF('DB - Identities'!A:A,A68,'DB - Identities'!AA:AA)</f>
        <v>0</v>
      </c>
      <c r="V68" s="164">
        <f>SUMIF('DB - Identities'!A:A,A68,'DB - Identities'!AB:AB)</f>
        <v>0</v>
      </c>
    </row>
    <row r="69" spans="1:22" ht="17">
      <c r="A69" s="15">
        <v>68</v>
      </c>
      <c r="B69" s="92" t="s">
        <v>415</v>
      </c>
      <c r="C69" s="57">
        <f>_xlfn.XLOOKUP(Parties6[[#This Row],[Contracting Party Legal Entity Name]],c_parties,'DB - Contracting Parties'!I:I)</f>
        <v>44439</v>
      </c>
      <c r="D69" s="15">
        <v>6035457091</v>
      </c>
      <c r="E69" s="57">
        <v>44439</v>
      </c>
      <c r="F69" s="125">
        <v>44440</v>
      </c>
      <c r="G69" s="125">
        <v>44804</v>
      </c>
      <c r="H69" s="15" t="s">
        <v>143</v>
      </c>
      <c r="I69" s="152">
        <v>1</v>
      </c>
      <c r="J69" s="260">
        <v>0</v>
      </c>
      <c r="K69" s="152">
        <v>1</v>
      </c>
      <c r="L69" s="152" t="s">
        <v>28</v>
      </c>
      <c r="M69" s="264" t="s">
        <v>59</v>
      </c>
      <c r="N69" s="151" t="s">
        <v>29</v>
      </c>
      <c r="O69" s="67" t="e">
        <f>(Parties6[[#This Row],[Node Price (USD)]]+Parties6[[#This Row],[Identity Price (USD)]])*Parties6[[#This Row],[Identity Purchased ]]</f>
        <v>#VALUE!</v>
      </c>
      <c r="P69" s="255"/>
      <c r="Q69" s="243">
        <f t="shared" ca="1" si="2"/>
        <v>356</v>
      </c>
      <c r="R69" s="243" t="str">
        <f ca="1">IF(Parties6[[#This Row],[Days to Expiry2]]&gt;0, "OK", "EXPIRED")</f>
        <v>OK</v>
      </c>
      <c r="S69" s="15">
        <f>COUNTIFS('DB - Identities'!A:A,A69,'DB - Identities'!V:V,"Active")</f>
        <v>0</v>
      </c>
      <c r="T69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69" s="15">
        <f>SUMIF('DB - Identities'!A:A,A69,'DB - Identities'!AA:AA)</f>
        <v>0</v>
      </c>
      <c r="V69" s="164">
        <f>SUMIF('DB - Identities'!A:A,A69,'DB - Identities'!AB:AB)</f>
        <v>0</v>
      </c>
    </row>
    <row r="70" spans="1:22" ht="17">
      <c r="A70" s="15">
        <v>69</v>
      </c>
      <c r="B70" s="92" t="s">
        <v>417</v>
      </c>
      <c r="C70" s="57">
        <f>_xlfn.XLOOKUP(Parties6[[#This Row],[Contracting Party Legal Entity Name]],c_parties,'DB - Contracting Parties'!I:I)</f>
        <v>44439</v>
      </c>
      <c r="D70" s="15">
        <v>5388771629</v>
      </c>
      <c r="E70" s="57">
        <v>44439</v>
      </c>
      <c r="F70" s="125">
        <v>44440</v>
      </c>
      <c r="G70" s="125">
        <v>44804</v>
      </c>
      <c r="H70" s="15" t="s">
        <v>143</v>
      </c>
      <c r="I70" s="152">
        <v>1</v>
      </c>
      <c r="J70" s="260">
        <v>0</v>
      </c>
      <c r="K70" s="152">
        <v>1</v>
      </c>
      <c r="L70" s="152" t="s">
        <v>28</v>
      </c>
      <c r="M70" s="264" t="s">
        <v>59</v>
      </c>
      <c r="N70" s="151" t="s">
        <v>29</v>
      </c>
      <c r="O70" s="67" t="e">
        <f>(Parties6[[#This Row],[Node Price (USD)]]+Parties6[[#This Row],[Identity Price (USD)]])*Parties6[[#This Row],[Identity Purchased ]]</f>
        <v>#VALUE!</v>
      </c>
      <c r="P70" s="255"/>
      <c r="Q70" s="243">
        <f t="shared" ca="1" si="2"/>
        <v>356</v>
      </c>
      <c r="R70" s="243" t="str">
        <f ca="1">IF(Parties6[[#This Row],[Days to Expiry2]]&gt;0, "OK", "EXPIRED")</f>
        <v>OK</v>
      </c>
      <c r="S70" s="15">
        <f>COUNTIFS('DB - Identities'!A:A,A70,'DB - Identities'!V:V,"Active")</f>
        <v>0</v>
      </c>
      <c r="T70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70" s="15">
        <f>SUMIF('DB - Identities'!A:A,A70,'DB - Identities'!AA:AA)</f>
        <v>0</v>
      </c>
      <c r="V70" s="164">
        <f>SUMIF('DB - Identities'!A:A,A70,'DB - Identities'!AB:AB)</f>
        <v>0</v>
      </c>
    </row>
    <row r="71" spans="1:22" ht="17">
      <c r="A71" s="15">
        <v>70</v>
      </c>
      <c r="B71" s="92" t="s">
        <v>419</v>
      </c>
      <c r="C71" s="57">
        <f>_xlfn.XLOOKUP(Parties6[[#This Row],[Contracting Party Legal Entity Name]],c_parties,'DB - Contracting Parties'!I:I)</f>
        <v>44441</v>
      </c>
      <c r="D71" s="15">
        <v>5388482484</v>
      </c>
      <c r="E71" s="57">
        <v>44441</v>
      </c>
      <c r="F71" s="125">
        <v>44470</v>
      </c>
      <c r="G71" s="125">
        <v>44834</v>
      </c>
      <c r="H71" s="15" t="s">
        <v>143</v>
      </c>
      <c r="I71" s="152">
        <v>1</v>
      </c>
      <c r="J71" s="260">
        <v>0</v>
      </c>
      <c r="K71" s="152">
        <v>1</v>
      </c>
      <c r="L71" s="152" t="s">
        <v>28</v>
      </c>
      <c r="M71" s="264" t="s">
        <v>59</v>
      </c>
      <c r="N71" s="151" t="s">
        <v>29</v>
      </c>
      <c r="O71" s="67" t="e">
        <f>(Parties6[[#This Row],[Node Price (USD)]]+Parties6[[#This Row],[Identity Price (USD)]])*Parties6[[#This Row],[Identity Purchased ]]</f>
        <v>#VALUE!</v>
      </c>
      <c r="P71" s="255"/>
      <c r="Q71" s="243">
        <f t="shared" ca="1" si="2"/>
        <v>386</v>
      </c>
      <c r="R71" s="243" t="str">
        <f ca="1">IF(Parties6[[#This Row],[Days to Expiry2]]&gt;0, "OK", "EXPIRED")</f>
        <v>OK</v>
      </c>
      <c r="S71" s="15">
        <f>COUNTIFS('DB - Identities'!A:A,A71,'DB - Identities'!V:V,"Active")</f>
        <v>0</v>
      </c>
      <c r="T71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71" s="15">
        <f>SUMIF('DB - Identities'!A:A,A71,'DB - Identities'!AA:AA)</f>
        <v>0</v>
      </c>
      <c r="V71" s="164">
        <f>SUMIF('DB - Identities'!A:A,A71,'DB - Identities'!AB:AB)</f>
        <v>0</v>
      </c>
    </row>
    <row r="72" spans="1:22" ht="17">
      <c r="A72" s="15">
        <v>71</v>
      </c>
      <c r="B72" s="92" t="s">
        <v>425</v>
      </c>
      <c r="C72" s="57">
        <f>_xlfn.XLOOKUP(Parties6[[#This Row],[Contracting Party Legal Entity Name]],c_parties,'DB - Contracting Parties'!I:I)</f>
        <v>44441</v>
      </c>
      <c r="D72" s="15">
        <v>5358975522</v>
      </c>
      <c r="E72" s="57">
        <v>44441</v>
      </c>
      <c r="F72" s="125">
        <v>44470</v>
      </c>
      <c r="G72" s="125">
        <v>44834</v>
      </c>
      <c r="H72" s="15" t="s">
        <v>143</v>
      </c>
      <c r="I72" s="152">
        <v>1</v>
      </c>
      <c r="J72" s="260">
        <v>0</v>
      </c>
      <c r="K72" s="152">
        <v>1</v>
      </c>
      <c r="L72" s="152" t="s">
        <v>28</v>
      </c>
      <c r="M72" s="264" t="s">
        <v>59</v>
      </c>
      <c r="N72" s="151" t="s">
        <v>29</v>
      </c>
      <c r="O72" s="67" t="e">
        <f>(Parties6[[#This Row],[Node Price (USD)]]+Parties6[[#This Row],[Identity Price (USD)]])*Parties6[[#This Row],[Identity Purchased ]]</f>
        <v>#VALUE!</v>
      </c>
      <c r="P72" s="255"/>
      <c r="Q72" s="243">
        <f t="shared" ca="1" si="2"/>
        <v>386</v>
      </c>
      <c r="R72" s="243" t="str">
        <f ca="1">IF(Parties6[[#This Row],[Days to Expiry2]]&gt;0, "OK", "EXPIRED")</f>
        <v>OK</v>
      </c>
      <c r="S72" s="15">
        <f>COUNTIFS('DB - Identities'!A:A,A72,'DB - Identities'!V:V,"Active")</f>
        <v>0</v>
      </c>
      <c r="T72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72" s="15">
        <f>SUMIF('DB - Identities'!A:A,A72,'DB - Identities'!AA:AA)</f>
        <v>0</v>
      </c>
      <c r="V72" s="164">
        <f>SUMIF('DB - Identities'!A:A,A72,'DB - Identities'!AB:AB)</f>
        <v>0</v>
      </c>
    </row>
    <row r="73" spans="1:22" ht="17">
      <c r="A73" s="15">
        <v>72</v>
      </c>
      <c r="B73" s="92" t="s">
        <v>428</v>
      </c>
      <c r="C73" s="57">
        <f>_xlfn.XLOOKUP(Parties6[[#This Row],[Contracting Party Legal Entity Name]],c_parties,'DB - Contracting Parties'!I:I)</f>
        <v>44445</v>
      </c>
      <c r="D73" s="15">
        <v>5096562562</v>
      </c>
      <c r="E73" s="57">
        <v>44445</v>
      </c>
      <c r="F73" s="125">
        <v>44470</v>
      </c>
      <c r="G73" s="125">
        <v>44834</v>
      </c>
      <c r="H73" s="15" t="s">
        <v>143</v>
      </c>
      <c r="I73" s="152">
        <v>1</v>
      </c>
      <c r="J73" s="260">
        <v>0</v>
      </c>
      <c r="K73" s="152">
        <v>1</v>
      </c>
      <c r="L73" s="152" t="s">
        <v>28</v>
      </c>
      <c r="M73" s="264" t="s">
        <v>59</v>
      </c>
      <c r="N73" s="151" t="s">
        <v>29</v>
      </c>
      <c r="O73" s="67" t="e">
        <f>(Parties6[[#This Row],[Node Price (USD)]]+Parties6[[#This Row],[Identity Price (USD)]])*Parties6[[#This Row],[Identity Purchased ]]</f>
        <v>#VALUE!</v>
      </c>
      <c r="P73" s="255"/>
      <c r="Q73" s="243">
        <f t="shared" ca="1" si="2"/>
        <v>386</v>
      </c>
      <c r="R73" s="243" t="str">
        <f ca="1">IF(Parties6[[#This Row],[Days to Expiry2]]&gt;0, "OK", "EXPIRED")</f>
        <v>OK</v>
      </c>
      <c r="S73" s="164">
        <f>COUNTIFS('DB - Identities'!A:A,A73,'DB - Identities'!V:V,"Active")</f>
        <v>0</v>
      </c>
      <c r="T73" s="15" t="str">
        <f>IF(Parties6[[#This Row],[Active Identities]]&gt;=Parties6[[#This Row],[Identity Purchased ]],IF(Parties6[[#This Row],[Active Identities]]&gt;Parties6[[#This Row],[Identity Purchased ]],"ERROR","Maximum"), "OK")</f>
        <v>OK</v>
      </c>
      <c r="U73" s="15">
        <f>SUMIF('DB - Identities'!A:A,A73,'DB - Identities'!AA:AA)</f>
        <v>0</v>
      </c>
      <c r="V73" s="164">
        <f>SUMIF('DB - Identities'!A:A,A73,'DB - Identities'!AB:AB)</f>
        <v>0</v>
      </c>
    </row>
    <row r="74" spans="1:22">
      <c r="A74" s="63"/>
      <c r="B74" s="92"/>
      <c r="C74" s="148"/>
      <c r="D74" s="148"/>
      <c r="E74" s="148"/>
      <c r="F74" s="213"/>
      <c r="G74" s="213"/>
      <c r="H74" s="152"/>
      <c r="I74" s="260"/>
      <c r="J74" s="152"/>
      <c r="K74" s="152"/>
      <c r="L74" s="264"/>
      <c r="M74" s="151"/>
      <c r="N74" s="153"/>
      <c r="O74" s="15"/>
      <c r="P74" s="15"/>
      <c r="Q74" s="15"/>
      <c r="R74" s="164"/>
      <c r="S74" s="164"/>
      <c r="T74" s="164"/>
      <c r="U74" s="164"/>
    </row>
    <row r="75" spans="1:22">
      <c r="A75" s="63"/>
      <c r="B75" s="92"/>
      <c r="C75" s="148"/>
      <c r="D75" s="148"/>
      <c r="E75" s="148"/>
      <c r="F75" s="213"/>
      <c r="G75" s="213"/>
      <c r="H75" s="152"/>
      <c r="I75" s="260"/>
      <c r="J75" s="152"/>
      <c r="K75" s="152"/>
      <c r="L75" s="264"/>
      <c r="M75" s="151"/>
      <c r="N75" s="153"/>
      <c r="O75" s="15"/>
      <c r="P75" s="15"/>
      <c r="Q75" s="15"/>
      <c r="R75" s="164"/>
      <c r="S75" s="164"/>
      <c r="T75" s="164"/>
      <c r="U75" s="164"/>
    </row>
    <row r="76" spans="1:22">
      <c r="A76" s="63"/>
      <c r="B76" s="92"/>
      <c r="C76" s="148"/>
      <c r="D76" s="148"/>
      <c r="E76" s="148"/>
      <c r="F76" s="213"/>
      <c r="G76" s="213"/>
      <c r="H76" s="152"/>
      <c r="I76" s="260"/>
      <c r="J76" s="152"/>
      <c r="K76" s="152"/>
      <c r="L76" s="264"/>
      <c r="M76" s="151"/>
      <c r="N76" s="153"/>
      <c r="O76" s="15"/>
      <c r="P76" s="15"/>
      <c r="Q76" s="15"/>
      <c r="R76" s="164"/>
      <c r="S76" s="164"/>
      <c r="T76" s="164"/>
      <c r="U76" s="164"/>
    </row>
    <row r="77" spans="1:22">
      <c r="A77" s="63"/>
      <c r="B77" s="92"/>
      <c r="C77" s="148"/>
      <c r="D77" s="148"/>
      <c r="E77" s="148"/>
      <c r="F77" s="213"/>
      <c r="G77" s="213"/>
      <c r="H77" s="152"/>
      <c r="I77" s="260"/>
      <c r="J77" s="152"/>
      <c r="K77" s="152"/>
      <c r="L77" s="264"/>
      <c r="M77" s="151"/>
      <c r="N77" s="153"/>
      <c r="O77" s="15"/>
      <c r="P77" s="15"/>
      <c r="Q77" s="15"/>
      <c r="R77" s="164"/>
      <c r="S77" s="164"/>
      <c r="T77" s="164"/>
      <c r="U77" s="164"/>
    </row>
    <row r="78" spans="1:22" ht="17">
      <c r="A78" s="69"/>
      <c r="B78" s="69" t="s">
        <v>434</v>
      </c>
      <c r="C78" s="245"/>
      <c r="D78" s="245"/>
      <c r="E78" s="245"/>
      <c r="G78" s="15"/>
    </row>
    <row r="79" spans="1:22">
      <c r="A79" s="123"/>
      <c r="B79" s="123"/>
      <c r="C79" s="246"/>
      <c r="D79" s="246"/>
      <c r="E79" s="246"/>
      <c r="G79" s="15"/>
    </row>
    <row r="80" spans="1:22">
      <c r="G80" s="15"/>
    </row>
    <row r="81" spans="7:7">
      <c r="G81" s="15"/>
    </row>
    <row r="82" spans="7:7">
      <c r="G82" s="15"/>
    </row>
    <row r="83" spans="7:7">
      <c r="G83" s="15"/>
    </row>
    <row r="84" spans="7:7">
      <c r="G84" s="15"/>
    </row>
    <row r="85" spans="7:7">
      <c r="G85" s="15"/>
    </row>
    <row r="87" spans="7:7">
      <c r="G87" s="15"/>
    </row>
    <row r="88" spans="7:7">
      <c r="G88" s="15"/>
    </row>
    <row r="89" spans="7:7">
      <c r="G89" s="15"/>
    </row>
    <row r="90" spans="7:7">
      <c r="G90" s="15"/>
    </row>
    <row r="91" spans="7:7">
      <c r="G91" s="15"/>
    </row>
    <row r="92" spans="7:7">
      <c r="G92" s="15"/>
    </row>
    <row r="93" spans="7:7">
      <c r="G93" s="15"/>
    </row>
    <row r="94" spans="7:7">
      <c r="G94" s="15"/>
    </row>
  </sheetData>
  <phoneticPr fontId="13" type="noConversion"/>
  <conditionalFormatting sqref="U74:U1048576 V2:V73">
    <cfRule type="cellIs" dxfId="14" priority="6" operator="equal">
      <formula>0</formula>
    </cfRule>
  </conditionalFormatting>
  <conditionalFormatting sqref="Q1:R7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4:T1048576 U1:U7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{395990A7-29CF-5B4A-AA35-CC4C4F385557}</x14:id>
        </ext>
      </extLst>
    </cfRule>
  </conditionalFormatting>
  <dataValidations count="5">
    <dataValidation type="list" allowBlank="1" showInputMessage="1" showErrorMessage="1" sqref="L1:L44" xr:uid="{629C86B5-6349-7E44-95AD-4FAFE62E391B}">
      <formula1>hosting_type</formula1>
    </dataValidation>
    <dataValidation type="list" allowBlank="1" showInputMessage="1" showErrorMessage="1" sqref="C1:E1 Q1:R44 G1:G44" xr:uid="{1DA4425B-8F25-644D-9B44-BC74BCB95501}">
      <formula1>month_ends</formula1>
    </dataValidation>
    <dataValidation type="list" allowBlank="1" showInputMessage="1" showErrorMessage="1" sqref="F1:F44 D27:D73" xr:uid="{39455FD9-4048-E941-8068-B633998ACDBE}">
      <formula1>month_starts</formula1>
    </dataValidation>
    <dataValidation type="list" allowBlank="1" showInputMessage="1" showErrorMessage="1" sqref="B1:B1048576" xr:uid="{9F04EEBD-F2B1-BA43-9991-CB79EB9AC594}">
      <formula1>c_parties</formula1>
    </dataValidation>
    <dataValidation type="list" allowBlank="1" showInputMessage="1" showErrorMessage="1" sqref="H2:H73" xr:uid="{FB37EF62-C633-6049-9156-28AA09742E40}">
      <formula1>special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5990A7-29CF-5B4A-AA35-CC4C4F385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T74:T1048576 U1:U73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39BCB-967D-E148-9D93-5F0588DDE28D}">
  <sheetPr codeName="Sheet20">
    <tabColor theme="9" tint="0.59999389629810485"/>
  </sheetPr>
  <dimension ref="A1:I383"/>
  <sheetViews>
    <sheetView topLeftCell="A300" workbookViewId="0">
      <selection activeCell="B321" sqref="B321"/>
    </sheetView>
  </sheetViews>
  <sheetFormatPr baseColWidth="10" defaultColWidth="11" defaultRowHeight="16"/>
  <cols>
    <col min="1" max="1" width="11.5" style="43" customWidth="1"/>
    <col min="2" max="2" width="10" bestFit="1" customWidth="1"/>
    <col min="3" max="3" width="21.5" bestFit="1" customWidth="1"/>
    <col min="4" max="4" width="11" customWidth="1"/>
    <col min="5" max="5" width="10" bestFit="1" customWidth="1"/>
    <col min="6" max="6" width="35" bestFit="1" customWidth="1"/>
    <col min="7" max="7" width="44" style="109" bestFit="1" customWidth="1"/>
    <col min="8" max="8" width="13.5" customWidth="1"/>
    <col min="11" max="11" width="11" bestFit="1" customWidth="1"/>
  </cols>
  <sheetData>
    <row r="1" spans="1:9">
      <c r="A1" s="150" t="s">
        <v>435</v>
      </c>
      <c r="B1" s="107" t="s">
        <v>436</v>
      </c>
      <c r="C1" s="107" t="s">
        <v>437</v>
      </c>
      <c r="D1" s="107" t="s">
        <v>438</v>
      </c>
      <c r="E1" s="107" t="s">
        <v>439</v>
      </c>
      <c r="F1" s="107" t="s">
        <v>440</v>
      </c>
      <c r="G1" s="55" t="s">
        <v>441</v>
      </c>
      <c r="H1" s="108" t="s">
        <v>442</v>
      </c>
      <c r="I1" t="s">
        <v>443</v>
      </c>
    </row>
    <row r="2" spans="1:9" ht="17">
      <c r="A2" s="103" t="s">
        <v>444</v>
      </c>
      <c r="B2" s="92" t="s">
        <v>143</v>
      </c>
      <c r="C2" s="92" t="s">
        <v>445</v>
      </c>
      <c r="D2" t="s">
        <v>446</v>
      </c>
      <c r="E2" s="144">
        <v>1</v>
      </c>
      <c r="F2" t="s">
        <v>447</v>
      </c>
      <c r="G2" t="str">
        <f>_xlfn.XLOOKUP(Table4[[#This Row],[Code]],'DB - Identities'!G:G,'DB - Identities'!B:B,"Not Used")</f>
        <v>HBIS Group Hong Kong Co., Limited</v>
      </c>
      <c r="H2" s="148">
        <v>44147</v>
      </c>
    </row>
    <row r="3" spans="1:9" ht="17">
      <c r="A3" s="103" t="s">
        <v>448</v>
      </c>
      <c r="B3" s="92" t="s">
        <v>143</v>
      </c>
      <c r="C3" s="92" t="s">
        <v>445</v>
      </c>
      <c r="D3" t="s">
        <v>446</v>
      </c>
      <c r="E3" s="144">
        <v>1</v>
      </c>
      <c r="F3" t="s">
        <v>449</v>
      </c>
      <c r="G3" t="s">
        <v>449</v>
      </c>
      <c r="H3" s="148">
        <v>44147</v>
      </c>
    </row>
    <row r="4" spans="1:9" ht="17">
      <c r="A4" s="103" t="s">
        <v>450</v>
      </c>
      <c r="B4" s="92" t="s">
        <v>143</v>
      </c>
      <c r="C4" s="92" t="s">
        <v>445</v>
      </c>
      <c r="D4" t="s">
        <v>446</v>
      </c>
      <c r="E4" s="144">
        <v>1</v>
      </c>
      <c r="F4" t="s">
        <v>188</v>
      </c>
      <c r="G4" t="str">
        <f>_xlfn.XLOOKUP(Table4[[#This Row],[Code]],'DB - Identities'!G:G,'DB - Identities'!B:B,"Not Used")</f>
        <v>Cemcoa Limited</v>
      </c>
      <c r="H4" s="148">
        <v>44147</v>
      </c>
    </row>
    <row r="5" spans="1:9" ht="17">
      <c r="A5" s="103" t="s">
        <v>451</v>
      </c>
      <c r="B5" s="92" t="s">
        <v>143</v>
      </c>
      <c r="C5" s="92" t="s">
        <v>445</v>
      </c>
      <c r="D5" t="s">
        <v>446</v>
      </c>
      <c r="E5" s="144">
        <v>1</v>
      </c>
      <c r="F5" t="s">
        <v>396</v>
      </c>
      <c r="G5" t="s">
        <v>396</v>
      </c>
      <c r="H5" s="148">
        <v>44147</v>
      </c>
    </row>
    <row r="6" spans="1:9" ht="17">
      <c r="A6" s="103" t="s">
        <v>452</v>
      </c>
      <c r="B6" s="92" t="s">
        <v>143</v>
      </c>
      <c r="C6" s="92" t="s">
        <v>445</v>
      </c>
      <c r="D6" t="s">
        <v>446</v>
      </c>
      <c r="E6" s="144">
        <v>1</v>
      </c>
      <c r="F6" t="s">
        <v>453</v>
      </c>
      <c r="G6" t="str">
        <f>_xlfn.XLOOKUP(Table4[[#This Row],[Code]],'DB - Identities'!G:G,'DB - Identities'!B:B,"Not Used")</f>
        <v>Indorama Petrochem Ltd</v>
      </c>
      <c r="H6" s="148">
        <v>44147</v>
      </c>
    </row>
    <row r="7" spans="1:9" ht="17">
      <c r="A7" s="103" t="s">
        <v>454</v>
      </c>
      <c r="B7" s="92" t="s">
        <v>143</v>
      </c>
      <c r="C7" s="92" t="s">
        <v>445</v>
      </c>
      <c r="D7" t="s">
        <v>446</v>
      </c>
      <c r="E7" s="144">
        <v>1</v>
      </c>
      <c r="F7" t="s">
        <v>455</v>
      </c>
      <c r="G7" t="str">
        <f>_xlfn.XLOOKUP(Table4[[#This Row],[Code]],'DB - Identities'!G:G,'DB - Identities'!B:B,"Not Used")</f>
        <v>TPT Petrochemicals PCL</v>
      </c>
      <c r="H7" s="148">
        <v>44147</v>
      </c>
    </row>
    <row r="8" spans="1:9" ht="17">
      <c r="A8" s="103" t="s">
        <v>456</v>
      </c>
      <c r="B8" s="92" t="s">
        <v>143</v>
      </c>
      <c r="C8" s="92" t="s">
        <v>445</v>
      </c>
      <c r="D8" t="s">
        <v>446</v>
      </c>
      <c r="E8" s="144">
        <v>1</v>
      </c>
      <c r="F8" t="s">
        <v>457</v>
      </c>
      <c r="G8" t="str">
        <f>_xlfn.XLOOKUP(Table4[[#This Row],[Code]],'DB - Identities'!G:G,'DB - Identities'!B:B,"Not Used")</f>
        <v>Not Used</v>
      </c>
      <c r="H8" s="148">
        <v>44147</v>
      </c>
    </row>
    <row r="9" spans="1:9" ht="17">
      <c r="A9" s="103" t="s">
        <v>458</v>
      </c>
      <c r="B9" s="92" t="s">
        <v>143</v>
      </c>
      <c r="C9" s="92" t="s">
        <v>445</v>
      </c>
      <c r="D9" t="s">
        <v>446</v>
      </c>
      <c r="E9" s="144">
        <v>1</v>
      </c>
      <c r="F9" t="s">
        <v>459</v>
      </c>
      <c r="G9" t="str">
        <f>_xlfn.XLOOKUP(Table4[[#This Row],[Code]],'DB - Identities'!G:G,'DB - Identities'!B:B,"Not Used")</f>
        <v>Not Used</v>
      </c>
      <c r="H9" s="148">
        <v>44147</v>
      </c>
    </row>
    <row r="10" spans="1:9" ht="17">
      <c r="A10" s="103" t="s">
        <v>460</v>
      </c>
      <c r="B10" s="92" t="s">
        <v>143</v>
      </c>
      <c r="C10" s="92" t="s">
        <v>445</v>
      </c>
      <c r="D10" t="s">
        <v>446</v>
      </c>
      <c r="E10" s="144">
        <v>1</v>
      </c>
      <c r="F10" t="s">
        <v>461</v>
      </c>
      <c r="G10" t="str">
        <f>_xlfn.XLOOKUP(Table4[[#This Row],[Code]],'DB - Identities'!G:G,'DB - Identities'!B:B,"Not Used")</f>
        <v>British American Tobacco Bangladesh Company Ltd</v>
      </c>
      <c r="H10" s="148">
        <v>44147</v>
      </c>
    </row>
    <row r="11" spans="1:9" ht="17">
      <c r="A11" s="103" t="s">
        <v>462</v>
      </c>
      <c r="B11" s="92" t="s">
        <v>143</v>
      </c>
      <c r="C11" s="92" t="s">
        <v>463</v>
      </c>
      <c r="D11" t="s">
        <v>446</v>
      </c>
      <c r="E11" s="144">
        <v>1</v>
      </c>
      <c r="F11" t="s">
        <v>464</v>
      </c>
      <c r="G11" t="str">
        <f>_xlfn.XLOOKUP(Table4[[#This Row],[Code]],'DB - Identities'!G:G,'DB - Identities'!B:B,"Not Used")</f>
        <v>Hong Kong Jinteng Development Ltd.</v>
      </c>
      <c r="H11" s="148">
        <v>44147</v>
      </c>
    </row>
    <row r="12" spans="1:9" ht="17">
      <c r="A12" s="103" t="s">
        <v>465</v>
      </c>
      <c r="B12" s="92" t="s">
        <v>143</v>
      </c>
      <c r="C12" s="92" t="s">
        <v>445</v>
      </c>
      <c r="D12" t="s">
        <v>446</v>
      </c>
      <c r="E12" s="144">
        <v>1</v>
      </c>
      <c r="F12" t="s">
        <v>466</v>
      </c>
      <c r="G12" t="str">
        <f>_xlfn.XLOOKUP(Table4[[#This Row],[Code]],'DB - Identities'!G:G,'DB - Identities'!B:B,"Not Used")</f>
        <v>PALM-OLEO SDN BHD</v>
      </c>
      <c r="H12" s="148">
        <v>44147</v>
      </c>
    </row>
    <row r="13" spans="1:9" ht="17">
      <c r="A13" s="103" t="s">
        <v>467</v>
      </c>
      <c r="B13" s="92" t="s">
        <v>143</v>
      </c>
      <c r="C13" s="92" t="s">
        <v>445</v>
      </c>
      <c r="D13" t="s">
        <v>446</v>
      </c>
      <c r="E13" s="144">
        <v>1</v>
      </c>
      <c r="F13" t="s">
        <v>468</v>
      </c>
      <c r="G13" t="s">
        <v>468</v>
      </c>
      <c r="H13" s="148">
        <v>44147</v>
      </c>
    </row>
    <row r="14" spans="1:9" ht="17">
      <c r="A14" s="103" t="s">
        <v>469</v>
      </c>
      <c r="B14" s="92" t="s">
        <v>143</v>
      </c>
      <c r="C14" s="92" t="s">
        <v>445</v>
      </c>
      <c r="D14" t="s">
        <v>446</v>
      </c>
      <c r="E14" s="144">
        <v>1</v>
      </c>
      <c r="F14" t="s">
        <v>470</v>
      </c>
      <c r="G14" t="str">
        <f>_xlfn.XLOOKUP(Table4[[#This Row],[Code]],'DB - Identities'!G:G,'DB - Identities'!B:B,"Not Used")</f>
        <v>Aptec Distribution FZ-LLC</v>
      </c>
      <c r="H14" s="148">
        <v>44147</v>
      </c>
    </row>
    <row r="15" spans="1:9" ht="17">
      <c r="A15" s="103" t="s">
        <v>471</v>
      </c>
      <c r="B15" s="92" t="s">
        <v>143</v>
      </c>
      <c r="C15" s="92" t="s">
        <v>445</v>
      </c>
      <c r="D15" t="s">
        <v>446</v>
      </c>
      <c r="E15" s="144">
        <v>1</v>
      </c>
      <c r="F15" t="s">
        <v>472</v>
      </c>
      <c r="G15" t="str">
        <f>_xlfn.XLOOKUP(Table4[[#This Row],[Code]],'DB - Identities'!G:G,'DB - Identities'!B:B,"Not Used")</f>
        <v>HBIS Group Singapore Pte Ltd</v>
      </c>
      <c r="H15" s="148">
        <v>44147</v>
      </c>
    </row>
    <row r="16" spans="1:9" ht="17">
      <c r="A16" s="103" t="s">
        <v>473</v>
      </c>
      <c r="B16" s="92" t="s">
        <v>143</v>
      </c>
      <c r="C16" s="92" t="s">
        <v>445</v>
      </c>
      <c r="D16" t="s">
        <v>446</v>
      </c>
      <c r="E16" s="144">
        <v>1</v>
      </c>
      <c r="F16" t="s">
        <v>474</v>
      </c>
      <c r="G16" t="str">
        <f>_xlfn.XLOOKUP(Table4[[#This Row],[Code]],'DB - Identities'!G:G,'DB - Identities'!B:B,"Not Used")</f>
        <v>Not Used</v>
      </c>
      <c r="H16" s="148">
        <v>44147</v>
      </c>
    </row>
    <row r="17" spans="1:8" ht="17">
      <c r="A17" s="103" t="s">
        <v>475</v>
      </c>
      <c r="B17" s="92" t="s">
        <v>143</v>
      </c>
      <c r="C17" s="92" t="s">
        <v>445</v>
      </c>
      <c r="D17" t="s">
        <v>446</v>
      </c>
      <c r="E17" s="144">
        <v>1</v>
      </c>
      <c r="F17" t="s">
        <v>476</v>
      </c>
      <c r="G17" t="str">
        <f>_xlfn.XLOOKUP(Table4[[#This Row],[Code]],'DB - Identities'!G:G,'DB - Identities'!B:B,"Not Used")</f>
        <v>MACWORLD INDUSTRIES LIMITED</v>
      </c>
      <c r="H17" s="148">
        <v>44147</v>
      </c>
    </row>
    <row r="18" spans="1:8" ht="17">
      <c r="A18" s="103" t="s">
        <v>477</v>
      </c>
      <c r="B18" s="92" t="s">
        <v>143</v>
      </c>
      <c r="C18" s="92" t="s">
        <v>445</v>
      </c>
      <c r="D18" t="s">
        <v>446</v>
      </c>
      <c r="E18" s="144">
        <v>1</v>
      </c>
      <c r="F18" t="s">
        <v>478</v>
      </c>
      <c r="G18" t="str">
        <f>_xlfn.XLOOKUP(Table4[[#This Row],[Code]],'DB - Identities'!G:G,'DB - Identities'!B:B,"Not Used")</f>
        <v>RANGPUR METAL INDUSTRIES LIMITED</v>
      </c>
      <c r="H18" s="148">
        <v>44147</v>
      </c>
    </row>
    <row r="19" spans="1:8" ht="17">
      <c r="A19" s="103">
        <v>8.1099999999999996E+88</v>
      </c>
      <c r="B19" s="92" t="s">
        <v>143</v>
      </c>
      <c r="C19" s="92" t="s">
        <v>445</v>
      </c>
      <c r="D19" t="s">
        <v>446</v>
      </c>
      <c r="E19" s="144">
        <v>1</v>
      </c>
      <c r="F19" t="s">
        <v>479</v>
      </c>
      <c r="G19" t="s">
        <v>479</v>
      </c>
      <c r="H19" s="148">
        <v>44147</v>
      </c>
    </row>
    <row r="20" spans="1:8" ht="17">
      <c r="A20" s="149">
        <v>3.4500000000000003E+32</v>
      </c>
      <c r="B20" s="92" t="s">
        <v>143</v>
      </c>
      <c r="C20" s="92" t="s">
        <v>445</v>
      </c>
      <c r="D20" t="s">
        <v>446</v>
      </c>
      <c r="E20" s="144">
        <v>1</v>
      </c>
      <c r="F20" t="s">
        <v>480</v>
      </c>
      <c r="G20" t="str">
        <f>_xlfn.XLOOKUP(Table4[[#This Row],[Code]],'DB - Identities'!G:G,'DB - Identities'!B:B,"Not Used")</f>
        <v>Not Used</v>
      </c>
      <c r="H20" s="148">
        <v>44147</v>
      </c>
    </row>
    <row r="21" spans="1:8" ht="17">
      <c r="A21" s="149">
        <v>5.0799999999999997E+42</v>
      </c>
      <c r="B21" s="92" t="s">
        <v>143</v>
      </c>
      <c r="C21" s="92" t="s">
        <v>445</v>
      </c>
      <c r="D21" t="s">
        <v>446</v>
      </c>
      <c r="E21" s="144">
        <v>1</v>
      </c>
      <c r="F21" t="s">
        <v>481</v>
      </c>
      <c r="G21" t="str">
        <f>_xlfn.XLOOKUP(Table4[[#This Row],[Code]],'DB - Identities'!G:G,'DB - Identities'!B:B,"Not Used")</f>
        <v>Not Used</v>
      </c>
      <c r="H21" s="148">
        <v>44147</v>
      </c>
    </row>
    <row r="22" spans="1:8" ht="17">
      <c r="A22" s="103" t="s">
        <v>482</v>
      </c>
      <c r="B22" s="92" t="s">
        <v>143</v>
      </c>
      <c r="C22" s="92" t="s">
        <v>445</v>
      </c>
      <c r="D22" t="s">
        <v>446</v>
      </c>
      <c r="E22" s="144">
        <v>1</v>
      </c>
      <c r="F22" t="s">
        <v>483</v>
      </c>
      <c r="G22" t="str">
        <f>_xlfn.XLOOKUP(Table4[[#This Row],[Code]],'DB - Identities'!G:G,'DB - Identities'!B:B,"Not Used")</f>
        <v>WIN FAITH TRADING LIMITED</v>
      </c>
      <c r="H22" s="148">
        <v>44147</v>
      </c>
    </row>
    <row r="23" spans="1:8" ht="17">
      <c r="A23" s="103" t="s">
        <v>484</v>
      </c>
      <c r="B23" s="92" t="s">
        <v>143</v>
      </c>
      <c r="C23" s="92" t="s">
        <v>445</v>
      </c>
      <c r="D23" t="s">
        <v>446</v>
      </c>
      <c r="E23" s="144">
        <v>1</v>
      </c>
      <c r="F23" t="s">
        <v>379</v>
      </c>
      <c r="G23" t="str">
        <f>_xlfn.XLOOKUP(Table4[[#This Row],[Code]],'DB - Identities'!G:G,'DB - Identities'!B:B,"Not Used")</f>
        <v>Bajaj Auto Limited</v>
      </c>
      <c r="H23" s="148">
        <v>44147</v>
      </c>
    </row>
    <row r="24" spans="1:8" ht="17">
      <c r="A24" s="103" t="s">
        <v>485</v>
      </c>
      <c r="B24" s="92" t="s">
        <v>143</v>
      </c>
      <c r="C24" s="92" t="s">
        <v>445</v>
      </c>
      <c r="D24" t="s">
        <v>486</v>
      </c>
      <c r="E24" s="144">
        <v>1</v>
      </c>
      <c r="G24" t="str">
        <f>_xlfn.XLOOKUP(Table4[[#This Row],[Code]],'DB - Identities'!G:G,'DB - Identities'!B:B,"Not Used")</f>
        <v>Not Used</v>
      </c>
      <c r="H24" s="148">
        <v>44147</v>
      </c>
    </row>
    <row r="25" spans="1:8" ht="17">
      <c r="A25" s="103" t="s">
        <v>487</v>
      </c>
      <c r="B25" s="92" t="s">
        <v>143</v>
      </c>
      <c r="C25" s="92" t="s">
        <v>445</v>
      </c>
      <c r="D25" t="s">
        <v>486</v>
      </c>
      <c r="E25" s="144">
        <v>1</v>
      </c>
      <c r="G25" t="str">
        <f>_xlfn.XLOOKUP(Table4[[#This Row],[Code]],'DB - Identities'!G:G,'DB - Identities'!B:B,"Not Used")</f>
        <v>Not Used</v>
      </c>
      <c r="H25" s="148">
        <v>44147</v>
      </c>
    </row>
    <row r="26" spans="1:8" ht="17">
      <c r="A26" s="103" t="s">
        <v>488</v>
      </c>
      <c r="B26" s="92" t="s">
        <v>143</v>
      </c>
      <c r="C26" s="92" t="s">
        <v>445</v>
      </c>
      <c r="D26" t="s">
        <v>486</v>
      </c>
      <c r="E26" s="144">
        <v>1</v>
      </c>
      <c r="G26" t="str">
        <f>_xlfn.XLOOKUP(Table4[[#This Row],[Code]],'DB - Identities'!G:G,'DB - Identities'!B:B,"Not Used")</f>
        <v>Not Used</v>
      </c>
      <c r="H26" s="148">
        <v>44147</v>
      </c>
    </row>
    <row r="27" spans="1:8" ht="17">
      <c r="A27" s="103" t="s">
        <v>489</v>
      </c>
      <c r="B27" s="92" t="s">
        <v>143</v>
      </c>
      <c r="C27" s="92" t="s">
        <v>445</v>
      </c>
      <c r="D27" t="s">
        <v>486</v>
      </c>
      <c r="E27" s="144">
        <v>1</v>
      </c>
      <c r="G27" t="str">
        <f>_xlfn.XLOOKUP(Table4[[#This Row],[Code]],'DB - Identities'!G:G,'DB - Identities'!B:B,"Not Used")</f>
        <v>Not Used</v>
      </c>
      <c r="H27" s="148">
        <v>44147</v>
      </c>
    </row>
    <row r="28" spans="1:8" ht="17">
      <c r="A28" s="103" t="s">
        <v>490</v>
      </c>
      <c r="B28" s="92" t="s">
        <v>143</v>
      </c>
      <c r="C28" s="92" t="s">
        <v>445</v>
      </c>
      <c r="D28" t="s">
        <v>486</v>
      </c>
      <c r="E28" s="144">
        <v>1</v>
      </c>
      <c r="G28" t="str">
        <f>_xlfn.XLOOKUP(Table4[[#This Row],[Code]],'DB - Identities'!G:G,'DB - Identities'!B:B,"Not Used")</f>
        <v>Not Used</v>
      </c>
      <c r="H28" s="148">
        <v>44147</v>
      </c>
    </row>
    <row r="29" spans="1:8" ht="17">
      <c r="A29" s="103" t="s">
        <v>491</v>
      </c>
      <c r="B29" s="92" t="s">
        <v>143</v>
      </c>
      <c r="C29" s="92" t="s">
        <v>445</v>
      </c>
      <c r="D29" t="s">
        <v>486</v>
      </c>
      <c r="E29" s="144">
        <v>1</v>
      </c>
      <c r="G29" t="str">
        <f>_xlfn.XLOOKUP(Table4[[#This Row],[Code]],'DB - Identities'!G:G,'DB - Identities'!B:B,"Not Used")</f>
        <v>Not Used</v>
      </c>
      <c r="H29" s="148">
        <v>44147</v>
      </c>
    </row>
    <row r="30" spans="1:8" ht="17">
      <c r="A30" s="103" t="s">
        <v>492</v>
      </c>
      <c r="B30" s="92" t="s">
        <v>143</v>
      </c>
      <c r="C30" s="92" t="s">
        <v>445</v>
      </c>
      <c r="D30" t="s">
        <v>486</v>
      </c>
      <c r="E30" s="144">
        <v>1</v>
      </c>
      <c r="G30" t="str">
        <f>_xlfn.XLOOKUP(Table4[[#This Row],[Code]],'DB - Identities'!G:G,'DB - Identities'!B:B,"Not Used")</f>
        <v>Not Used</v>
      </c>
      <c r="H30" s="148">
        <v>44147</v>
      </c>
    </row>
    <row r="31" spans="1:8" ht="17">
      <c r="A31" s="103" t="s">
        <v>493</v>
      </c>
      <c r="B31" s="92" t="s">
        <v>143</v>
      </c>
      <c r="C31" s="92" t="s">
        <v>445</v>
      </c>
      <c r="D31" t="s">
        <v>486</v>
      </c>
      <c r="E31" s="144">
        <v>1</v>
      </c>
      <c r="G31" t="str">
        <f>_xlfn.XLOOKUP(Table4[[#This Row],[Code]],'DB - Identities'!G:G,'DB - Identities'!B:B,"Not Used")</f>
        <v>Not Used</v>
      </c>
      <c r="H31" s="148">
        <v>44147</v>
      </c>
    </row>
    <row r="32" spans="1:8" ht="17">
      <c r="A32" s="103" t="s">
        <v>494</v>
      </c>
      <c r="B32" s="92" t="s">
        <v>143</v>
      </c>
      <c r="C32" s="92" t="s">
        <v>445</v>
      </c>
      <c r="D32" t="s">
        <v>486</v>
      </c>
      <c r="E32" s="144">
        <v>1</v>
      </c>
      <c r="G32" t="str">
        <f>_xlfn.XLOOKUP(Table4[[#This Row],[Code]],'DB - Identities'!G:G,'DB - Identities'!B:B,"Not Used")</f>
        <v>Not Used</v>
      </c>
      <c r="H32" s="148">
        <v>44147</v>
      </c>
    </row>
    <row r="33" spans="1:8" ht="17">
      <c r="A33" s="103" t="s">
        <v>495</v>
      </c>
      <c r="B33" s="92" t="s">
        <v>143</v>
      </c>
      <c r="C33" s="92" t="s">
        <v>445</v>
      </c>
      <c r="D33" t="s">
        <v>486</v>
      </c>
      <c r="E33" s="144">
        <v>1</v>
      </c>
      <c r="G33" t="str">
        <f>_xlfn.XLOOKUP(Table4[[#This Row],[Code]],'DB - Identities'!G:G,'DB - Identities'!B:B,"Not Used")</f>
        <v>Not Used</v>
      </c>
      <c r="H33" s="148">
        <v>44147</v>
      </c>
    </row>
    <row r="34" spans="1:8" ht="17">
      <c r="A34" s="103" t="s">
        <v>496</v>
      </c>
      <c r="B34" s="92" t="s">
        <v>143</v>
      </c>
      <c r="C34" s="92" t="s">
        <v>445</v>
      </c>
      <c r="D34" t="s">
        <v>486</v>
      </c>
      <c r="E34" s="144">
        <v>1</v>
      </c>
      <c r="G34" t="str">
        <f>_xlfn.XLOOKUP(Table4[[#This Row],[Code]],'DB - Identities'!G:G,'DB - Identities'!B:B,"Not Used")</f>
        <v>Not Used</v>
      </c>
      <c r="H34" s="148">
        <v>44147</v>
      </c>
    </row>
    <row r="35" spans="1:8" ht="17">
      <c r="A35" s="103" t="s">
        <v>497</v>
      </c>
      <c r="B35" s="92" t="s">
        <v>143</v>
      </c>
      <c r="C35" s="92" t="s">
        <v>445</v>
      </c>
      <c r="D35" t="s">
        <v>486</v>
      </c>
      <c r="E35" s="144">
        <v>1</v>
      </c>
      <c r="G35" t="str">
        <f>_xlfn.XLOOKUP(Table4[[#This Row],[Code]],'DB - Identities'!G:G,'DB - Identities'!B:B,"Not Used")</f>
        <v>Not Used</v>
      </c>
      <c r="H35" s="148">
        <v>44147</v>
      </c>
    </row>
    <row r="36" spans="1:8" ht="17">
      <c r="A36" s="103" t="s">
        <v>498</v>
      </c>
      <c r="B36" s="92" t="s">
        <v>143</v>
      </c>
      <c r="C36" s="92" t="s">
        <v>445</v>
      </c>
      <c r="D36" t="s">
        <v>486</v>
      </c>
      <c r="E36" s="144">
        <v>1</v>
      </c>
      <c r="G36" t="str">
        <f>_xlfn.XLOOKUP(Table4[[#This Row],[Code]],'DB - Identities'!G:G,'DB - Identities'!B:B,"Not Used")</f>
        <v>Not Used</v>
      </c>
      <c r="H36" s="148">
        <v>44147</v>
      </c>
    </row>
    <row r="37" spans="1:8" ht="17">
      <c r="A37" s="103" t="s">
        <v>499</v>
      </c>
      <c r="B37" s="92" t="s">
        <v>143</v>
      </c>
      <c r="C37" s="92" t="s">
        <v>445</v>
      </c>
      <c r="D37" t="s">
        <v>486</v>
      </c>
      <c r="E37" s="144">
        <v>1</v>
      </c>
      <c r="G37" t="str">
        <f>_xlfn.XLOOKUP(Table4[[#This Row],[Code]],'DB - Identities'!G:G,'DB - Identities'!B:B,"Not Used")</f>
        <v>Not Used</v>
      </c>
      <c r="H37" s="148">
        <v>44147</v>
      </c>
    </row>
    <row r="38" spans="1:8" ht="17">
      <c r="A38" s="103" t="s">
        <v>500</v>
      </c>
      <c r="B38" s="92" t="s">
        <v>143</v>
      </c>
      <c r="C38" s="92" t="s">
        <v>445</v>
      </c>
      <c r="D38" t="s">
        <v>486</v>
      </c>
      <c r="E38" s="144">
        <v>1</v>
      </c>
      <c r="G38" t="str">
        <f>_xlfn.XLOOKUP(Table4[[#This Row],[Code]],'DB - Identities'!G:G,'DB - Identities'!B:B,"Not Used")</f>
        <v>Not Used</v>
      </c>
      <c r="H38" s="148">
        <v>44147</v>
      </c>
    </row>
    <row r="39" spans="1:8" ht="17">
      <c r="A39" s="103" t="s">
        <v>501</v>
      </c>
      <c r="B39" s="92" t="s">
        <v>143</v>
      </c>
      <c r="C39" s="92" t="s">
        <v>445</v>
      </c>
      <c r="D39" t="s">
        <v>486</v>
      </c>
      <c r="E39" s="144">
        <v>1</v>
      </c>
      <c r="G39" t="str">
        <f>_xlfn.XLOOKUP(Table4[[#This Row],[Code]],'DB - Identities'!G:G,'DB - Identities'!B:B,"Not Used")</f>
        <v>Not Used</v>
      </c>
      <c r="H39" s="148">
        <v>44147</v>
      </c>
    </row>
    <row r="40" spans="1:8" ht="17">
      <c r="A40" s="103" t="s">
        <v>502</v>
      </c>
      <c r="B40" s="92" t="s">
        <v>143</v>
      </c>
      <c r="C40" s="92" t="s">
        <v>445</v>
      </c>
      <c r="D40" t="s">
        <v>486</v>
      </c>
      <c r="E40" s="144">
        <v>1</v>
      </c>
      <c r="G40" t="str">
        <f>_xlfn.XLOOKUP(Table4[[#This Row],[Code]],'DB - Identities'!G:G,'DB - Identities'!B:B,"Not Used")</f>
        <v>Not Used</v>
      </c>
      <c r="H40" s="148">
        <v>44147</v>
      </c>
    </row>
    <row r="41" spans="1:8" ht="17">
      <c r="A41" s="103" t="s">
        <v>503</v>
      </c>
      <c r="B41" s="92" t="s">
        <v>143</v>
      </c>
      <c r="C41" s="92" t="s">
        <v>445</v>
      </c>
      <c r="D41" t="s">
        <v>486</v>
      </c>
      <c r="E41" s="144">
        <v>1</v>
      </c>
      <c r="G41" t="str">
        <f>_xlfn.XLOOKUP(Table4[[#This Row],[Code]],'DB - Identities'!G:G,'DB - Identities'!B:B,"Not Used")</f>
        <v>Not Used</v>
      </c>
      <c r="H41" s="148">
        <v>44147</v>
      </c>
    </row>
    <row r="42" spans="1:8" ht="17">
      <c r="A42" s="103" t="s">
        <v>504</v>
      </c>
      <c r="B42" s="92" t="s">
        <v>143</v>
      </c>
      <c r="C42" s="92" t="s">
        <v>445</v>
      </c>
      <c r="D42" t="s">
        <v>486</v>
      </c>
      <c r="E42" s="144">
        <v>1</v>
      </c>
      <c r="G42" t="str">
        <f>_xlfn.XLOOKUP(Table4[[#This Row],[Code]],'DB - Identities'!G:G,'DB - Identities'!B:B,"Not Used")</f>
        <v>Not Used</v>
      </c>
      <c r="H42" s="148">
        <v>44147</v>
      </c>
    </row>
    <row r="43" spans="1:8" ht="17">
      <c r="A43" s="103" t="s">
        <v>505</v>
      </c>
      <c r="B43" s="92" t="s">
        <v>143</v>
      </c>
      <c r="C43" s="92" t="s">
        <v>445</v>
      </c>
      <c r="D43" t="s">
        <v>486</v>
      </c>
      <c r="E43" s="144">
        <v>1</v>
      </c>
      <c r="G43" t="str">
        <f>_xlfn.XLOOKUP(Table4[[#This Row],[Code]],'DB - Identities'!G:G,'DB - Identities'!B:B,"Not Used")</f>
        <v>Not Used</v>
      </c>
      <c r="H43" s="148">
        <v>44147</v>
      </c>
    </row>
    <row r="44" spans="1:8" ht="17">
      <c r="A44" s="103" t="s">
        <v>506</v>
      </c>
      <c r="B44" s="92" t="s">
        <v>143</v>
      </c>
      <c r="C44" s="92" t="s">
        <v>445</v>
      </c>
      <c r="D44" t="s">
        <v>486</v>
      </c>
      <c r="E44" s="144">
        <v>1</v>
      </c>
      <c r="G44" t="str">
        <f>_xlfn.XLOOKUP(Table4[[#This Row],[Code]],'DB - Identities'!G:G,'DB - Identities'!B:B,"Not Used")</f>
        <v>Not Used</v>
      </c>
      <c r="H44" s="148">
        <v>44147</v>
      </c>
    </row>
    <row r="45" spans="1:8" ht="17">
      <c r="A45" s="103" t="s">
        <v>507</v>
      </c>
      <c r="B45" s="92" t="s">
        <v>143</v>
      </c>
      <c r="C45" s="92" t="s">
        <v>445</v>
      </c>
      <c r="D45" t="s">
        <v>486</v>
      </c>
      <c r="E45" s="144">
        <v>1</v>
      </c>
      <c r="G45" t="str">
        <f>_xlfn.XLOOKUP(Table4[[#This Row],[Code]],'DB - Identities'!G:G,'DB - Identities'!B:B,"Not Used")</f>
        <v>Not Used</v>
      </c>
      <c r="H45" s="148">
        <v>44147</v>
      </c>
    </row>
    <row r="46" spans="1:8" ht="17">
      <c r="A46" s="103" t="s">
        <v>508</v>
      </c>
      <c r="B46" s="92" t="s">
        <v>143</v>
      </c>
      <c r="C46" s="92" t="s">
        <v>445</v>
      </c>
      <c r="D46" t="s">
        <v>486</v>
      </c>
      <c r="E46" s="144">
        <v>1</v>
      </c>
      <c r="G46" t="str">
        <f>_xlfn.XLOOKUP(Table4[[#This Row],[Code]],'DB - Identities'!G:G,'DB - Identities'!B:B,"Not Used")</f>
        <v>Not Used</v>
      </c>
      <c r="H46" s="148">
        <v>44147</v>
      </c>
    </row>
    <row r="47" spans="1:8" ht="17">
      <c r="A47" s="103" t="s">
        <v>509</v>
      </c>
      <c r="B47" s="92" t="s">
        <v>143</v>
      </c>
      <c r="C47" s="92" t="s">
        <v>445</v>
      </c>
      <c r="D47" t="s">
        <v>486</v>
      </c>
      <c r="E47" s="144">
        <v>1</v>
      </c>
      <c r="G47" t="str">
        <f>_xlfn.XLOOKUP(Table4[[#This Row],[Code]],'DB - Identities'!G:G,'DB - Identities'!B:B,"Not Used")</f>
        <v>Not Used</v>
      </c>
      <c r="H47" s="148">
        <v>44147</v>
      </c>
    </row>
    <row r="48" spans="1:8" ht="17">
      <c r="A48" s="103" t="s">
        <v>510</v>
      </c>
      <c r="B48" s="92" t="s">
        <v>143</v>
      </c>
      <c r="C48" s="92" t="s">
        <v>445</v>
      </c>
      <c r="D48" t="s">
        <v>486</v>
      </c>
      <c r="E48" s="144">
        <v>1</v>
      </c>
      <c r="G48" t="str">
        <f>_xlfn.XLOOKUP(Table4[[#This Row],[Code]],'DB - Identities'!G:G,'DB - Identities'!B:B,"Not Used")</f>
        <v>Not Used</v>
      </c>
      <c r="H48" s="148">
        <v>44147</v>
      </c>
    </row>
    <row r="49" spans="1:8" ht="17">
      <c r="A49" s="103" t="s">
        <v>511</v>
      </c>
      <c r="B49" s="92" t="s">
        <v>143</v>
      </c>
      <c r="C49" s="92" t="s">
        <v>445</v>
      </c>
      <c r="D49" t="s">
        <v>486</v>
      </c>
      <c r="E49" s="144">
        <v>1</v>
      </c>
      <c r="G49" t="str">
        <f>_xlfn.XLOOKUP(Table4[[#This Row],[Code]],'DB - Identities'!G:G,'DB - Identities'!B:B,"Not Used")</f>
        <v>Not Used</v>
      </c>
      <c r="H49" s="148">
        <v>44147</v>
      </c>
    </row>
    <row r="50" spans="1:8" ht="17">
      <c r="A50" s="103">
        <v>5.8600000000000003E+40</v>
      </c>
      <c r="B50" s="92" t="s">
        <v>143</v>
      </c>
      <c r="C50" s="92" t="s">
        <v>445</v>
      </c>
      <c r="D50" t="s">
        <v>486</v>
      </c>
      <c r="E50" s="144">
        <v>1</v>
      </c>
      <c r="G50" t="str">
        <f>_xlfn.XLOOKUP(Table4[[#This Row],[Code]],'DB - Identities'!G:G,'DB - Identities'!B:B,"Not Used")</f>
        <v>Not Used</v>
      </c>
      <c r="H50" s="148">
        <v>44147</v>
      </c>
    </row>
    <row r="51" spans="1:8" ht="17">
      <c r="A51" s="103" t="s">
        <v>512</v>
      </c>
      <c r="B51" s="92" t="s">
        <v>143</v>
      </c>
      <c r="C51" s="92" t="s">
        <v>445</v>
      </c>
      <c r="D51" t="s">
        <v>486</v>
      </c>
      <c r="E51" s="144">
        <v>1</v>
      </c>
      <c r="G51" t="str">
        <f>_xlfn.XLOOKUP(Table4[[#This Row],[Code]],'DB - Identities'!G:G,'DB - Identities'!B:B,"Not Used")</f>
        <v>Not Used</v>
      </c>
      <c r="H51" s="148">
        <v>44147</v>
      </c>
    </row>
    <row r="52" spans="1:8" ht="17">
      <c r="A52" s="103" t="s">
        <v>513</v>
      </c>
      <c r="B52" s="92" t="s">
        <v>143</v>
      </c>
      <c r="C52" s="92" t="s">
        <v>445</v>
      </c>
      <c r="D52" t="s">
        <v>486</v>
      </c>
      <c r="E52" s="144">
        <v>1</v>
      </c>
      <c r="G52" t="str">
        <f>_xlfn.XLOOKUP(Table4[[#This Row],[Code]],'DB - Identities'!G:G,'DB - Identities'!B:B,"Not Used")</f>
        <v>Not Used</v>
      </c>
      <c r="H52" s="148">
        <v>44147</v>
      </c>
    </row>
    <row r="53" spans="1:8" ht="17">
      <c r="A53" s="103" t="s">
        <v>514</v>
      </c>
      <c r="B53" s="92" t="s">
        <v>143</v>
      </c>
      <c r="C53" s="92" t="s">
        <v>445</v>
      </c>
      <c r="D53" t="s">
        <v>486</v>
      </c>
      <c r="E53" s="144">
        <v>1</v>
      </c>
      <c r="G53" t="str">
        <f>_xlfn.XLOOKUP(Table4[[#This Row],[Code]],'DB - Identities'!G:G,'DB - Identities'!B:B,"Not Used")</f>
        <v>Not Used</v>
      </c>
      <c r="H53" s="148">
        <v>44147</v>
      </c>
    </row>
    <row r="54" spans="1:8" ht="17">
      <c r="A54" s="103" t="s">
        <v>515</v>
      </c>
      <c r="B54" s="92" t="s">
        <v>143</v>
      </c>
      <c r="C54" s="92" t="s">
        <v>445</v>
      </c>
      <c r="D54" t="s">
        <v>486</v>
      </c>
      <c r="E54" s="144">
        <v>1</v>
      </c>
      <c r="G54" t="str">
        <f>_xlfn.XLOOKUP(Table4[[#This Row],[Code]],'DB - Identities'!G:G,'DB - Identities'!B:B,"Not Used")</f>
        <v>Not Used</v>
      </c>
      <c r="H54" s="148">
        <v>44147</v>
      </c>
    </row>
    <row r="55" spans="1:8" ht="17">
      <c r="A55" s="103" t="s">
        <v>516</v>
      </c>
      <c r="B55" s="92" t="s">
        <v>143</v>
      </c>
      <c r="C55" s="92" t="s">
        <v>445</v>
      </c>
      <c r="D55" t="s">
        <v>486</v>
      </c>
      <c r="E55" s="144">
        <v>1</v>
      </c>
      <c r="G55" t="str">
        <f>_xlfn.XLOOKUP(Table4[[#This Row],[Code]],'DB - Identities'!G:G,'DB - Identities'!B:B,"Not Used")</f>
        <v>Not Used</v>
      </c>
      <c r="H55" s="148">
        <v>44147</v>
      </c>
    </row>
    <row r="56" spans="1:8" ht="17">
      <c r="A56" s="103" t="s">
        <v>517</v>
      </c>
      <c r="B56" s="92" t="s">
        <v>143</v>
      </c>
      <c r="C56" s="92" t="s">
        <v>445</v>
      </c>
      <c r="D56" t="s">
        <v>486</v>
      </c>
      <c r="E56" s="144">
        <v>1</v>
      </c>
      <c r="G56" t="str">
        <f>_xlfn.XLOOKUP(Table4[[#This Row],[Code]],'DB - Identities'!G:G,'DB - Identities'!B:B,"Not Used")</f>
        <v>Not Used</v>
      </c>
      <c r="H56" s="148">
        <v>44147</v>
      </c>
    </row>
    <row r="57" spans="1:8" ht="17">
      <c r="A57" s="103" t="s">
        <v>518</v>
      </c>
      <c r="B57" s="92" t="s">
        <v>143</v>
      </c>
      <c r="C57" s="92" t="s">
        <v>445</v>
      </c>
      <c r="D57" t="s">
        <v>486</v>
      </c>
      <c r="E57" s="144">
        <v>1</v>
      </c>
      <c r="G57" t="str">
        <f>_xlfn.XLOOKUP(Table4[[#This Row],[Code]],'DB - Identities'!G:G,'DB - Identities'!B:B,"Not Used")</f>
        <v>Not Used</v>
      </c>
      <c r="H57" s="148">
        <v>44147</v>
      </c>
    </row>
    <row r="58" spans="1:8" ht="17">
      <c r="A58" s="103" t="s">
        <v>519</v>
      </c>
      <c r="B58" s="92" t="s">
        <v>143</v>
      </c>
      <c r="C58" s="92" t="s">
        <v>445</v>
      </c>
      <c r="D58" t="s">
        <v>486</v>
      </c>
      <c r="E58" s="144">
        <v>1</v>
      </c>
      <c r="G58" t="str">
        <f>_xlfn.XLOOKUP(Table4[[#This Row],[Code]],'DB - Identities'!G:G,'DB - Identities'!B:B,"Not Used")</f>
        <v>Not Used</v>
      </c>
      <c r="H58" s="148">
        <v>44147</v>
      </c>
    </row>
    <row r="59" spans="1:8" ht="17">
      <c r="A59" s="103" t="s">
        <v>520</v>
      </c>
      <c r="B59" s="92" t="s">
        <v>143</v>
      </c>
      <c r="C59" s="92" t="s">
        <v>445</v>
      </c>
      <c r="D59" t="s">
        <v>486</v>
      </c>
      <c r="E59" s="144">
        <v>1</v>
      </c>
      <c r="G59" t="str">
        <f>_xlfn.XLOOKUP(Table4[[#This Row],[Code]],'DB - Identities'!G:G,'DB - Identities'!B:B,"Not Used")</f>
        <v>Not Used</v>
      </c>
      <c r="H59" s="148">
        <v>44147</v>
      </c>
    </row>
    <row r="60" spans="1:8" ht="17">
      <c r="A60" s="103" t="s">
        <v>521</v>
      </c>
      <c r="B60" s="92" t="s">
        <v>143</v>
      </c>
      <c r="C60" s="92" t="s">
        <v>445</v>
      </c>
      <c r="D60" t="s">
        <v>486</v>
      </c>
      <c r="E60" s="144">
        <v>1</v>
      </c>
      <c r="G60" t="str">
        <f>_xlfn.XLOOKUP(Table4[[#This Row],[Code]],'DB - Identities'!G:G,'DB - Identities'!B:B,"Not Used")</f>
        <v>Not Used</v>
      </c>
      <c r="H60" s="148">
        <v>44147</v>
      </c>
    </row>
    <row r="61" spans="1:8" ht="17">
      <c r="A61" s="103" t="s">
        <v>522</v>
      </c>
      <c r="B61" s="92" t="s">
        <v>143</v>
      </c>
      <c r="C61" s="92" t="s">
        <v>445</v>
      </c>
      <c r="D61" t="s">
        <v>486</v>
      </c>
      <c r="E61" s="144">
        <v>1</v>
      </c>
      <c r="G61" t="str">
        <f>_xlfn.XLOOKUP(Table4[[#This Row],[Code]],'DB - Identities'!G:G,'DB - Identities'!B:B,"Not Used")</f>
        <v>Not Used</v>
      </c>
      <c r="H61" s="148">
        <v>44147</v>
      </c>
    </row>
    <row r="62" spans="1:8" ht="17">
      <c r="A62" s="103" t="s">
        <v>523</v>
      </c>
      <c r="B62" s="92" t="s">
        <v>143</v>
      </c>
      <c r="C62" s="92" t="s">
        <v>445</v>
      </c>
      <c r="D62" t="s">
        <v>486</v>
      </c>
      <c r="E62" s="144">
        <v>1</v>
      </c>
      <c r="G62" t="str">
        <f>_xlfn.XLOOKUP(Table4[[#This Row],[Code]],'DB - Identities'!G:G,'DB - Identities'!B:B,"Not Used")</f>
        <v>Not Used</v>
      </c>
      <c r="H62" s="148">
        <v>44147</v>
      </c>
    </row>
    <row r="63" spans="1:8" ht="17">
      <c r="A63" s="103" t="s">
        <v>524</v>
      </c>
      <c r="B63" s="92" t="s">
        <v>143</v>
      </c>
      <c r="C63" s="92" t="s">
        <v>445</v>
      </c>
      <c r="D63" t="s">
        <v>486</v>
      </c>
      <c r="E63" s="144">
        <v>1</v>
      </c>
      <c r="G63" t="str">
        <f>_xlfn.XLOOKUP(Table4[[#This Row],[Code]],'DB - Identities'!G:G,'DB - Identities'!B:B,"Not Used")</f>
        <v>Not Used</v>
      </c>
      <c r="H63" s="148">
        <v>44147</v>
      </c>
    </row>
    <row r="64" spans="1:8" ht="17">
      <c r="A64" s="103" t="s">
        <v>525</v>
      </c>
      <c r="B64" s="92" t="s">
        <v>143</v>
      </c>
      <c r="C64" s="92" t="s">
        <v>445</v>
      </c>
      <c r="D64" t="s">
        <v>486</v>
      </c>
      <c r="E64" s="144">
        <v>1</v>
      </c>
      <c r="G64" t="str">
        <f>_xlfn.XLOOKUP(Table4[[#This Row],[Code]],'DB - Identities'!G:G,'DB - Identities'!B:B,"Not Used")</f>
        <v>Not Used</v>
      </c>
      <c r="H64" s="148">
        <v>44147</v>
      </c>
    </row>
    <row r="65" spans="1:8" ht="17">
      <c r="A65" s="103" t="s">
        <v>526</v>
      </c>
      <c r="B65" s="92" t="s">
        <v>143</v>
      </c>
      <c r="C65" s="92" t="s">
        <v>445</v>
      </c>
      <c r="D65" t="s">
        <v>486</v>
      </c>
      <c r="E65" s="144">
        <v>1</v>
      </c>
      <c r="G65" t="str">
        <f>_xlfn.XLOOKUP(Table4[[#This Row],[Code]],'DB - Identities'!G:G,'DB - Identities'!B:B,"Not Used")</f>
        <v>Not Used</v>
      </c>
      <c r="H65" s="148">
        <v>44147</v>
      </c>
    </row>
    <row r="66" spans="1:8" ht="17">
      <c r="A66" s="103" t="s">
        <v>527</v>
      </c>
      <c r="B66" s="92" t="s">
        <v>143</v>
      </c>
      <c r="C66" s="92" t="s">
        <v>445</v>
      </c>
      <c r="D66" t="s">
        <v>486</v>
      </c>
      <c r="E66" s="144">
        <v>1</v>
      </c>
      <c r="G66" t="str">
        <f>_xlfn.XLOOKUP(Table4[[#This Row],[Code]],'DB - Identities'!G:G,'DB - Identities'!B:B,"Not Used")</f>
        <v>Not Used</v>
      </c>
      <c r="H66" s="148">
        <v>44147</v>
      </c>
    </row>
    <row r="67" spans="1:8" ht="17">
      <c r="A67" s="103" t="s">
        <v>528</v>
      </c>
      <c r="B67" s="92" t="s">
        <v>143</v>
      </c>
      <c r="C67" s="92" t="s">
        <v>445</v>
      </c>
      <c r="D67" t="s">
        <v>486</v>
      </c>
      <c r="E67" s="144">
        <v>1</v>
      </c>
      <c r="G67" t="str">
        <f>_xlfn.XLOOKUP(Table4[[#This Row],[Code]],'DB - Identities'!G:G,'DB - Identities'!B:B,"Not Used")</f>
        <v>Not Used</v>
      </c>
      <c r="H67" s="148">
        <v>44147</v>
      </c>
    </row>
    <row r="68" spans="1:8" ht="17">
      <c r="A68" s="103" t="s">
        <v>529</v>
      </c>
      <c r="B68" s="92" t="s">
        <v>143</v>
      </c>
      <c r="C68" s="92" t="s">
        <v>445</v>
      </c>
      <c r="D68" t="s">
        <v>486</v>
      </c>
      <c r="E68" s="144">
        <v>1</v>
      </c>
      <c r="G68" t="str">
        <f>_xlfn.XLOOKUP(Table4[[#This Row],[Code]],'DB - Identities'!G:G,'DB - Identities'!B:B,"Not Used")</f>
        <v>Not Used</v>
      </c>
      <c r="H68" s="148">
        <v>44147</v>
      </c>
    </row>
    <row r="69" spans="1:8" ht="17">
      <c r="A69" s="103" t="s">
        <v>530</v>
      </c>
      <c r="B69" s="92" t="s">
        <v>143</v>
      </c>
      <c r="C69" s="92" t="s">
        <v>445</v>
      </c>
      <c r="D69" t="s">
        <v>486</v>
      </c>
      <c r="E69" s="144">
        <v>1</v>
      </c>
      <c r="G69" t="str">
        <f>_xlfn.XLOOKUP(Table4[[#This Row],[Code]],'DB - Identities'!G:G,'DB - Identities'!B:B,"Not Used")</f>
        <v>Not Used</v>
      </c>
      <c r="H69" s="148">
        <v>44147</v>
      </c>
    </row>
    <row r="70" spans="1:8" ht="17">
      <c r="A70" s="103" t="s">
        <v>531</v>
      </c>
      <c r="B70" s="92" t="s">
        <v>143</v>
      </c>
      <c r="C70" s="92" t="s">
        <v>445</v>
      </c>
      <c r="D70" t="s">
        <v>486</v>
      </c>
      <c r="E70" s="144">
        <v>1</v>
      </c>
      <c r="G70" t="str">
        <f>_xlfn.XLOOKUP(Table4[[#This Row],[Code]],'DB - Identities'!G:G,'DB - Identities'!B:B,"Not Used")</f>
        <v>Not Used</v>
      </c>
      <c r="H70" s="148">
        <v>44147</v>
      </c>
    </row>
    <row r="71" spans="1:8" ht="17">
      <c r="A71" s="103" t="s">
        <v>532</v>
      </c>
      <c r="B71" s="92" t="s">
        <v>143</v>
      </c>
      <c r="C71" s="92" t="s">
        <v>445</v>
      </c>
      <c r="D71" t="s">
        <v>486</v>
      </c>
      <c r="E71" s="144">
        <v>1</v>
      </c>
      <c r="G71" t="str">
        <f>_xlfn.XLOOKUP(Table4[[#This Row],[Code]],'DB - Identities'!G:G,'DB - Identities'!B:B,"Not Used")</f>
        <v>Not Used</v>
      </c>
      <c r="H71" s="148">
        <v>44147</v>
      </c>
    </row>
    <row r="72" spans="1:8" ht="17">
      <c r="A72" s="103" t="s">
        <v>533</v>
      </c>
      <c r="B72" s="92" t="s">
        <v>143</v>
      </c>
      <c r="C72" s="92" t="s">
        <v>445</v>
      </c>
      <c r="D72" t="s">
        <v>486</v>
      </c>
      <c r="E72" s="144">
        <v>1</v>
      </c>
      <c r="G72" t="str">
        <f>_xlfn.XLOOKUP(Table4[[#This Row],[Code]],'DB - Identities'!G:G,'DB - Identities'!B:B,"Not Used")</f>
        <v>Not Used</v>
      </c>
      <c r="H72" s="148">
        <v>44147</v>
      </c>
    </row>
    <row r="73" spans="1:8" ht="17">
      <c r="A73" s="103" t="s">
        <v>534</v>
      </c>
      <c r="B73" s="92" t="s">
        <v>143</v>
      </c>
      <c r="C73" s="92" t="s">
        <v>445</v>
      </c>
      <c r="D73" t="s">
        <v>486</v>
      </c>
      <c r="E73" s="144">
        <v>1</v>
      </c>
      <c r="G73" t="str">
        <f>_xlfn.XLOOKUP(Table4[[#This Row],[Code]],'DB - Identities'!G:G,'DB - Identities'!B:B,"Not Used")</f>
        <v>Not Used</v>
      </c>
      <c r="H73" s="148">
        <v>44147</v>
      </c>
    </row>
    <row r="74" spans="1:8" ht="17">
      <c r="A74" s="103" t="s">
        <v>535</v>
      </c>
      <c r="B74" s="92" t="s">
        <v>143</v>
      </c>
      <c r="C74" s="92" t="s">
        <v>445</v>
      </c>
      <c r="D74" t="s">
        <v>486</v>
      </c>
      <c r="E74" s="144">
        <v>1</v>
      </c>
      <c r="G74" t="str">
        <f>_xlfn.XLOOKUP(Table4[[#This Row],[Code]],'DB - Identities'!G:G,'DB - Identities'!B:B,"Not Used")</f>
        <v>Not Used</v>
      </c>
      <c r="H74" s="148">
        <v>44147</v>
      </c>
    </row>
    <row r="75" spans="1:8" ht="17">
      <c r="A75" s="103" t="s">
        <v>536</v>
      </c>
      <c r="B75" s="92" t="s">
        <v>143</v>
      </c>
      <c r="C75" s="92" t="s">
        <v>445</v>
      </c>
      <c r="D75" t="s">
        <v>486</v>
      </c>
      <c r="E75" s="144">
        <v>1</v>
      </c>
      <c r="G75" t="str">
        <f>_xlfn.XLOOKUP(Table4[[#This Row],[Code]],'DB - Identities'!G:G,'DB - Identities'!B:B,"Not Used")</f>
        <v>Not Used</v>
      </c>
      <c r="H75" s="148">
        <v>44147</v>
      </c>
    </row>
    <row r="76" spans="1:8" ht="17">
      <c r="A76" s="103" t="s">
        <v>537</v>
      </c>
      <c r="B76" s="92" t="s">
        <v>143</v>
      </c>
      <c r="C76" s="92" t="s">
        <v>445</v>
      </c>
      <c r="D76" t="s">
        <v>486</v>
      </c>
      <c r="E76" s="144">
        <v>1</v>
      </c>
      <c r="G76" t="str">
        <f>_xlfn.XLOOKUP(Table4[[#This Row],[Code]],'DB - Identities'!G:G,'DB - Identities'!B:B,"Not Used")</f>
        <v>Not Used</v>
      </c>
      <c r="H76" s="148">
        <v>44147</v>
      </c>
    </row>
    <row r="77" spans="1:8" ht="17">
      <c r="A77" s="103" t="s">
        <v>538</v>
      </c>
      <c r="B77" s="92" t="s">
        <v>143</v>
      </c>
      <c r="C77" s="92" t="s">
        <v>445</v>
      </c>
      <c r="D77" t="s">
        <v>486</v>
      </c>
      <c r="E77" s="144">
        <v>1</v>
      </c>
      <c r="G77" t="str">
        <f>_xlfn.XLOOKUP(Table4[[#This Row],[Code]],'DB - Identities'!G:G,'DB - Identities'!B:B,"Not Used")</f>
        <v>Not Used</v>
      </c>
      <c r="H77" s="148">
        <v>44147</v>
      </c>
    </row>
    <row r="78" spans="1:8" ht="17">
      <c r="A78" s="103" t="s">
        <v>539</v>
      </c>
      <c r="B78" s="92" t="s">
        <v>143</v>
      </c>
      <c r="C78" s="92" t="s">
        <v>445</v>
      </c>
      <c r="D78" t="s">
        <v>486</v>
      </c>
      <c r="E78" s="144">
        <v>1</v>
      </c>
      <c r="G78" t="str">
        <f>_xlfn.XLOOKUP(Table4[[#This Row],[Code]],'DB - Identities'!G:G,'DB - Identities'!B:B,"Not Used")</f>
        <v>Not Used</v>
      </c>
      <c r="H78" s="148">
        <v>44147</v>
      </c>
    </row>
    <row r="79" spans="1:8" ht="17">
      <c r="A79" s="103" t="s">
        <v>540</v>
      </c>
      <c r="B79" s="92" t="s">
        <v>143</v>
      </c>
      <c r="C79" s="92" t="s">
        <v>445</v>
      </c>
      <c r="D79" t="s">
        <v>486</v>
      </c>
      <c r="E79" s="144">
        <v>1</v>
      </c>
      <c r="G79" t="str">
        <f>_xlfn.XLOOKUP(Table4[[#This Row],[Code]],'DB - Identities'!G:G,'DB - Identities'!B:B,"Not Used")</f>
        <v>Not Used</v>
      </c>
      <c r="H79" s="148">
        <v>44147</v>
      </c>
    </row>
    <row r="80" spans="1:8" ht="17">
      <c r="A80" s="103" t="s">
        <v>541</v>
      </c>
      <c r="B80" s="92" t="s">
        <v>143</v>
      </c>
      <c r="C80" s="92" t="s">
        <v>445</v>
      </c>
      <c r="D80" t="s">
        <v>486</v>
      </c>
      <c r="E80" s="144">
        <v>1</v>
      </c>
      <c r="G80" t="str">
        <f>_xlfn.XLOOKUP(Table4[[#This Row],[Code]],'DB - Identities'!G:G,'DB - Identities'!B:B,"Not Used")</f>
        <v>Not Used</v>
      </c>
      <c r="H80" s="148">
        <v>44147</v>
      </c>
    </row>
    <row r="81" spans="1:8" ht="17">
      <c r="A81" s="103">
        <v>4.8700000000000003E+28</v>
      </c>
      <c r="B81" s="92" t="s">
        <v>143</v>
      </c>
      <c r="C81" s="92" t="s">
        <v>445</v>
      </c>
      <c r="D81" t="s">
        <v>486</v>
      </c>
      <c r="E81" s="144">
        <v>1</v>
      </c>
      <c r="G81" t="str">
        <f>_xlfn.XLOOKUP(Table4[[#This Row],[Code]],'DB - Identities'!G:G,'DB - Identities'!B:B,"Not Used")</f>
        <v>Not Used</v>
      </c>
      <c r="H81" s="148">
        <v>44147</v>
      </c>
    </row>
    <row r="82" spans="1:8" ht="17">
      <c r="A82" s="103" t="s">
        <v>542</v>
      </c>
      <c r="B82" s="92" t="s">
        <v>143</v>
      </c>
      <c r="C82" s="92" t="s">
        <v>445</v>
      </c>
      <c r="D82" t="s">
        <v>486</v>
      </c>
      <c r="E82" s="144">
        <v>1</v>
      </c>
      <c r="G82" t="str">
        <f>_xlfn.XLOOKUP(Table4[[#This Row],[Code]],'DB - Identities'!G:G,'DB - Identities'!B:B,"Not Used")</f>
        <v>Not Used</v>
      </c>
      <c r="H82" s="148">
        <v>44147</v>
      </c>
    </row>
    <row r="83" spans="1:8" ht="17">
      <c r="A83" s="103" t="s">
        <v>543</v>
      </c>
      <c r="B83" s="92" t="s">
        <v>143</v>
      </c>
      <c r="C83" s="92" t="s">
        <v>445</v>
      </c>
      <c r="D83" t="s">
        <v>486</v>
      </c>
      <c r="E83" s="144">
        <v>1</v>
      </c>
      <c r="G83" t="str">
        <f>_xlfn.XLOOKUP(Table4[[#This Row],[Code]],'DB - Identities'!G:G,'DB - Identities'!B:B,"Not Used")</f>
        <v>Not Used</v>
      </c>
      <c r="H83" s="148">
        <v>44147</v>
      </c>
    </row>
    <row r="84" spans="1:8" ht="17">
      <c r="A84" s="103" t="s">
        <v>544</v>
      </c>
      <c r="B84" s="92" t="s">
        <v>143</v>
      </c>
      <c r="C84" s="92" t="s">
        <v>445</v>
      </c>
      <c r="D84" t="s">
        <v>486</v>
      </c>
      <c r="E84" s="144">
        <v>1</v>
      </c>
      <c r="G84" t="str">
        <f>_xlfn.XLOOKUP(Table4[[#This Row],[Code]],'DB - Identities'!G:G,'DB - Identities'!B:B,"Not Used")</f>
        <v>Not Used</v>
      </c>
      <c r="H84" s="148">
        <v>44147</v>
      </c>
    </row>
    <row r="85" spans="1:8" ht="17">
      <c r="A85" s="103" t="s">
        <v>545</v>
      </c>
      <c r="B85" s="92" t="s">
        <v>143</v>
      </c>
      <c r="C85" s="92" t="s">
        <v>445</v>
      </c>
      <c r="D85" t="s">
        <v>486</v>
      </c>
      <c r="E85" s="144">
        <v>1</v>
      </c>
      <c r="G85" t="str">
        <f>_xlfn.XLOOKUP(Table4[[#This Row],[Code]],'DB - Identities'!G:G,'DB - Identities'!B:B,"Not Used")</f>
        <v>Not Used</v>
      </c>
      <c r="H85" s="148">
        <v>44147</v>
      </c>
    </row>
    <row r="86" spans="1:8" ht="17">
      <c r="A86" s="103" t="s">
        <v>546</v>
      </c>
      <c r="B86" s="92" t="s">
        <v>143</v>
      </c>
      <c r="C86" s="92" t="s">
        <v>445</v>
      </c>
      <c r="D86" t="s">
        <v>486</v>
      </c>
      <c r="E86" s="144">
        <v>1</v>
      </c>
      <c r="G86" t="str">
        <f>_xlfn.XLOOKUP(Table4[[#This Row],[Code]],'DB - Identities'!G:G,'DB - Identities'!B:B,"Not Used")</f>
        <v>Not Used</v>
      </c>
      <c r="H86" s="148">
        <v>44147</v>
      </c>
    </row>
    <row r="87" spans="1:8" ht="17">
      <c r="A87" s="103" t="s">
        <v>547</v>
      </c>
      <c r="B87" s="92" t="s">
        <v>143</v>
      </c>
      <c r="C87" s="92" t="s">
        <v>445</v>
      </c>
      <c r="D87" t="s">
        <v>486</v>
      </c>
      <c r="E87" s="144">
        <v>1</v>
      </c>
      <c r="G87" t="str">
        <f>_xlfn.XLOOKUP(Table4[[#This Row],[Code]],'DB - Identities'!G:G,'DB - Identities'!B:B,"Not Used")</f>
        <v>Not Used</v>
      </c>
      <c r="H87" s="148">
        <v>44147</v>
      </c>
    </row>
    <row r="88" spans="1:8" ht="17">
      <c r="A88" s="103" t="s">
        <v>548</v>
      </c>
      <c r="B88" s="92" t="s">
        <v>143</v>
      </c>
      <c r="C88" s="92" t="s">
        <v>445</v>
      </c>
      <c r="D88" t="s">
        <v>486</v>
      </c>
      <c r="E88" s="144">
        <v>1</v>
      </c>
      <c r="G88" t="str">
        <f>_xlfn.XLOOKUP(Table4[[#This Row],[Code]],'DB - Identities'!G:G,'DB - Identities'!B:B,"Not Used")</f>
        <v>Not Used</v>
      </c>
      <c r="H88" s="148">
        <v>44147</v>
      </c>
    </row>
    <row r="89" spans="1:8" ht="17">
      <c r="A89" s="103" t="s">
        <v>549</v>
      </c>
      <c r="B89" s="92" t="s">
        <v>143</v>
      </c>
      <c r="C89" s="92" t="s">
        <v>445</v>
      </c>
      <c r="D89" t="s">
        <v>486</v>
      </c>
      <c r="E89" s="144">
        <v>1</v>
      </c>
      <c r="G89" t="str">
        <f>_xlfn.XLOOKUP(Table4[[#This Row],[Code]],'DB - Identities'!G:G,'DB - Identities'!B:B,"Not Used")</f>
        <v>Not Used</v>
      </c>
      <c r="H89" s="148">
        <v>44147</v>
      </c>
    </row>
    <row r="90" spans="1:8" ht="17">
      <c r="A90" s="103" t="s">
        <v>550</v>
      </c>
      <c r="B90" s="92" t="s">
        <v>143</v>
      </c>
      <c r="C90" s="92" t="s">
        <v>445</v>
      </c>
      <c r="D90" t="s">
        <v>486</v>
      </c>
      <c r="E90" s="144">
        <v>1</v>
      </c>
      <c r="G90" t="str">
        <f>_xlfn.XLOOKUP(Table4[[#This Row],[Code]],'DB - Identities'!G:G,'DB - Identities'!B:B,"Not Used")</f>
        <v>Not Used</v>
      </c>
      <c r="H90" s="148">
        <v>44147</v>
      </c>
    </row>
    <row r="91" spans="1:8" ht="17">
      <c r="A91" s="103" t="s">
        <v>551</v>
      </c>
      <c r="B91" s="92" t="s">
        <v>143</v>
      </c>
      <c r="C91" s="92" t="s">
        <v>445</v>
      </c>
      <c r="D91" t="s">
        <v>486</v>
      </c>
      <c r="E91" s="144">
        <v>1</v>
      </c>
      <c r="G91" t="str">
        <f>_xlfn.XLOOKUP(Table4[[#This Row],[Code]],'DB - Identities'!G:G,'DB - Identities'!B:B,"Not Used")</f>
        <v>Not Used</v>
      </c>
      <c r="H91" s="148">
        <v>44147</v>
      </c>
    </row>
    <row r="92" spans="1:8" ht="17">
      <c r="A92" s="103" t="s">
        <v>552</v>
      </c>
      <c r="B92" s="92" t="s">
        <v>143</v>
      </c>
      <c r="C92" s="92" t="s">
        <v>445</v>
      </c>
      <c r="D92" t="s">
        <v>486</v>
      </c>
      <c r="E92" s="144">
        <v>1</v>
      </c>
      <c r="G92" t="str">
        <f>_xlfn.XLOOKUP(Table4[[#This Row],[Code]],'DB - Identities'!G:G,'DB - Identities'!B:B,"Not Used")</f>
        <v>Not Used</v>
      </c>
      <c r="H92" s="148">
        <v>44147</v>
      </c>
    </row>
    <row r="93" spans="1:8" ht="17">
      <c r="A93" s="103" t="s">
        <v>553</v>
      </c>
      <c r="B93" s="92" t="s">
        <v>143</v>
      </c>
      <c r="C93" s="92" t="s">
        <v>445</v>
      </c>
      <c r="D93" t="s">
        <v>486</v>
      </c>
      <c r="E93" s="144">
        <v>1</v>
      </c>
      <c r="G93" t="str">
        <f>_xlfn.XLOOKUP(Table4[[#This Row],[Code]],'DB - Identities'!G:G,'DB - Identities'!B:B,"Not Used")</f>
        <v>Not Used</v>
      </c>
      <c r="H93" s="148">
        <v>44147</v>
      </c>
    </row>
    <row r="94" spans="1:8" ht="17">
      <c r="A94" s="103" t="s">
        <v>554</v>
      </c>
      <c r="B94" s="92" t="s">
        <v>143</v>
      </c>
      <c r="C94" s="92" t="s">
        <v>445</v>
      </c>
      <c r="D94" t="s">
        <v>486</v>
      </c>
      <c r="E94" s="144">
        <v>1</v>
      </c>
      <c r="G94" t="str">
        <f>_xlfn.XLOOKUP(Table4[[#This Row],[Code]],'DB - Identities'!G:G,'DB - Identities'!B:B,"Not Used")</f>
        <v>Not Used</v>
      </c>
      <c r="H94" s="148">
        <v>44147</v>
      </c>
    </row>
    <row r="95" spans="1:8" ht="17">
      <c r="A95" s="103" t="s">
        <v>555</v>
      </c>
      <c r="B95" s="92" t="s">
        <v>143</v>
      </c>
      <c r="C95" s="92" t="s">
        <v>445</v>
      </c>
      <c r="D95" t="s">
        <v>486</v>
      </c>
      <c r="E95" s="144">
        <v>1</v>
      </c>
      <c r="G95" t="str">
        <f>_xlfn.XLOOKUP(Table4[[#This Row],[Code]],'DB - Identities'!G:G,'DB - Identities'!B:B,"Not Used")</f>
        <v>Not Used</v>
      </c>
      <c r="H95" s="148">
        <v>44147</v>
      </c>
    </row>
    <row r="96" spans="1:8" ht="17">
      <c r="A96" s="103" t="s">
        <v>556</v>
      </c>
      <c r="B96" s="92" t="s">
        <v>143</v>
      </c>
      <c r="C96" s="92" t="s">
        <v>445</v>
      </c>
      <c r="D96" t="s">
        <v>486</v>
      </c>
      <c r="E96" s="144">
        <v>1</v>
      </c>
      <c r="G96" t="str">
        <f>_xlfn.XLOOKUP(Table4[[#This Row],[Code]],'DB - Identities'!G:G,'DB - Identities'!B:B,"Not Used")</f>
        <v>Not Used</v>
      </c>
      <c r="H96" s="148">
        <v>44147</v>
      </c>
    </row>
    <row r="97" spans="1:8" ht="17">
      <c r="A97" s="103" t="s">
        <v>557</v>
      </c>
      <c r="B97" s="92" t="s">
        <v>143</v>
      </c>
      <c r="C97" s="92" t="s">
        <v>445</v>
      </c>
      <c r="D97" t="s">
        <v>486</v>
      </c>
      <c r="E97" s="144">
        <v>1</v>
      </c>
      <c r="G97" t="str">
        <f>_xlfn.XLOOKUP(Table4[[#This Row],[Code]],'DB - Identities'!G:G,'DB - Identities'!B:B,"Not Used")</f>
        <v>Not Used</v>
      </c>
      <c r="H97" s="148">
        <v>44147</v>
      </c>
    </row>
    <row r="98" spans="1:8" ht="17">
      <c r="A98" s="103" t="s">
        <v>558</v>
      </c>
      <c r="B98" s="92" t="s">
        <v>143</v>
      </c>
      <c r="C98" s="92" t="s">
        <v>445</v>
      </c>
      <c r="D98" t="s">
        <v>486</v>
      </c>
      <c r="E98" s="144">
        <v>1</v>
      </c>
      <c r="G98" t="str">
        <f>_xlfn.XLOOKUP(Table4[[#This Row],[Code]],'DB - Identities'!G:G,'DB - Identities'!B:B,"Not Used")</f>
        <v>Not Used</v>
      </c>
      <c r="H98" s="148">
        <v>44147</v>
      </c>
    </row>
    <row r="99" spans="1:8" ht="17">
      <c r="A99" s="103" t="s">
        <v>559</v>
      </c>
      <c r="B99" s="92" t="s">
        <v>143</v>
      </c>
      <c r="C99" s="92" t="s">
        <v>445</v>
      </c>
      <c r="D99" t="s">
        <v>486</v>
      </c>
      <c r="E99" s="144">
        <v>1</v>
      </c>
      <c r="G99" t="str">
        <f>_xlfn.XLOOKUP(Table4[[#This Row],[Code]],'DB - Identities'!G:G,'DB - Identities'!B:B,"Not Used")</f>
        <v>Not Used</v>
      </c>
      <c r="H99" s="148">
        <v>44147</v>
      </c>
    </row>
    <row r="100" spans="1:8" ht="17">
      <c r="A100" s="103" t="s">
        <v>560</v>
      </c>
      <c r="B100" s="92" t="s">
        <v>143</v>
      </c>
      <c r="C100" s="92" t="s">
        <v>445</v>
      </c>
      <c r="D100" t="s">
        <v>486</v>
      </c>
      <c r="E100" s="144">
        <v>1</v>
      </c>
      <c r="G100" t="str">
        <f>_xlfn.XLOOKUP(Table4[[#This Row],[Code]],'DB - Identities'!G:G,'DB - Identities'!B:B,"Not Used")</f>
        <v>Not Used</v>
      </c>
      <c r="H100" s="148">
        <v>44147</v>
      </c>
    </row>
    <row r="101" spans="1:8" ht="17">
      <c r="A101" s="103" t="s">
        <v>561</v>
      </c>
      <c r="B101" s="92" t="s">
        <v>143</v>
      </c>
      <c r="C101" s="92" t="s">
        <v>445</v>
      </c>
      <c r="D101" t="s">
        <v>486</v>
      </c>
      <c r="E101" s="144">
        <v>1</v>
      </c>
      <c r="G101" t="str">
        <f>_xlfn.XLOOKUP(Table4[[#This Row],[Code]],'DB - Identities'!G:G,'DB - Identities'!B:B,"Not Used")</f>
        <v>Not Used</v>
      </c>
      <c r="H101" s="148">
        <v>44147</v>
      </c>
    </row>
    <row r="102" spans="1:8" ht="17">
      <c r="A102" s="103" t="s">
        <v>562</v>
      </c>
      <c r="B102" s="92" t="s">
        <v>563</v>
      </c>
      <c r="C102" s="92" t="s">
        <v>564</v>
      </c>
      <c r="D102" t="s">
        <v>565</v>
      </c>
      <c r="E102" s="144">
        <v>1</v>
      </c>
      <c r="G102" t="str">
        <f>_xlfn.XLOOKUP(Table4[[#This Row],[Code]],'DB - Identities'!G:G,'DB - Identities'!B:B,"Not Used")</f>
        <v>Not Used</v>
      </c>
      <c r="H102" s="92" t="s">
        <v>566</v>
      </c>
    </row>
    <row r="103" spans="1:8" ht="17">
      <c r="A103" s="103" t="s">
        <v>567</v>
      </c>
      <c r="B103" s="92" t="s">
        <v>563</v>
      </c>
      <c r="C103" s="92" t="s">
        <v>564</v>
      </c>
      <c r="D103" t="s">
        <v>565</v>
      </c>
      <c r="E103" s="144">
        <v>1</v>
      </c>
      <c r="G103" t="str">
        <f>_xlfn.XLOOKUP(Table4[[#This Row],[Code]],'DB - Identities'!G:G,'DB - Identities'!B:B,"Not Used")</f>
        <v>Not Used</v>
      </c>
      <c r="H103" s="92" t="s">
        <v>566</v>
      </c>
    </row>
    <row r="104" spans="1:8" ht="17">
      <c r="A104" s="103" t="s">
        <v>568</v>
      </c>
      <c r="B104" s="92" t="s">
        <v>563</v>
      </c>
      <c r="C104" s="92" t="s">
        <v>564</v>
      </c>
      <c r="D104" t="s">
        <v>565</v>
      </c>
      <c r="E104" s="144">
        <v>1</v>
      </c>
      <c r="G104" t="str">
        <f>_xlfn.XLOOKUP(Table4[[#This Row],[Code]],'DB - Identities'!G:G,'DB - Identities'!B:B,"Not Used")</f>
        <v>Not Used</v>
      </c>
      <c r="H104" s="92" t="s">
        <v>566</v>
      </c>
    </row>
    <row r="105" spans="1:8" ht="17">
      <c r="A105" s="103" t="s">
        <v>569</v>
      </c>
      <c r="B105" s="92" t="s">
        <v>563</v>
      </c>
      <c r="C105" s="92" t="s">
        <v>564</v>
      </c>
      <c r="D105" t="s">
        <v>565</v>
      </c>
      <c r="E105" s="144">
        <v>1</v>
      </c>
      <c r="G105" t="str">
        <f>_xlfn.XLOOKUP(Table4[[#This Row],[Code]],'DB - Identities'!G:G,'DB - Identities'!B:B,"Not Used")</f>
        <v>Not Used</v>
      </c>
      <c r="H105" s="92" t="s">
        <v>566</v>
      </c>
    </row>
    <row r="106" spans="1:8" ht="17">
      <c r="A106" s="103" t="s">
        <v>570</v>
      </c>
      <c r="B106" s="92" t="s">
        <v>563</v>
      </c>
      <c r="C106" s="92" t="s">
        <v>564</v>
      </c>
      <c r="D106" t="s">
        <v>565</v>
      </c>
      <c r="E106" s="144">
        <v>1</v>
      </c>
      <c r="G106" t="str">
        <f>_xlfn.XLOOKUP(Table4[[#This Row],[Code]],'DB - Identities'!G:G,'DB - Identities'!B:B,"Not Used")</f>
        <v>Not Used</v>
      </c>
      <c r="H106" s="92" t="s">
        <v>566</v>
      </c>
    </row>
    <row r="107" spans="1:8" ht="17">
      <c r="A107" s="103" t="s">
        <v>571</v>
      </c>
      <c r="B107" s="92" t="s">
        <v>563</v>
      </c>
      <c r="C107" s="92" t="s">
        <v>564</v>
      </c>
      <c r="D107" t="s">
        <v>565</v>
      </c>
      <c r="E107" s="144">
        <v>1</v>
      </c>
      <c r="G107" t="str">
        <f>_xlfn.XLOOKUP(Table4[[#This Row],[Code]],'DB - Identities'!G:G,'DB - Identities'!B:B,"Not Used")</f>
        <v>Not Used</v>
      </c>
      <c r="H107" s="92" t="s">
        <v>566</v>
      </c>
    </row>
    <row r="108" spans="1:8" ht="17">
      <c r="A108" s="103" t="s">
        <v>572</v>
      </c>
      <c r="B108" s="92" t="s">
        <v>563</v>
      </c>
      <c r="C108" s="92" t="s">
        <v>564</v>
      </c>
      <c r="D108" t="s">
        <v>565</v>
      </c>
      <c r="E108" s="144">
        <v>1</v>
      </c>
      <c r="G108" t="str">
        <f>_xlfn.XLOOKUP(Table4[[#This Row],[Code]],'DB - Identities'!G:G,'DB - Identities'!B:B,"Not Used")</f>
        <v>Not Used</v>
      </c>
      <c r="H108" s="92" t="s">
        <v>566</v>
      </c>
    </row>
    <row r="109" spans="1:8" ht="17">
      <c r="A109" s="103" t="s">
        <v>573</v>
      </c>
      <c r="B109" s="92" t="s">
        <v>563</v>
      </c>
      <c r="C109" s="92" t="s">
        <v>564</v>
      </c>
      <c r="D109" t="s">
        <v>565</v>
      </c>
      <c r="E109" s="144">
        <v>1</v>
      </c>
      <c r="G109" t="str">
        <f>_xlfn.XLOOKUP(Table4[[#This Row],[Code]],'DB - Identities'!G:G,'DB - Identities'!B:B,"Not Used")</f>
        <v>Not Used</v>
      </c>
      <c r="H109" s="92" t="s">
        <v>566</v>
      </c>
    </row>
    <row r="110" spans="1:8" ht="17">
      <c r="A110" s="103" t="s">
        <v>574</v>
      </c>
      <c r="B110" s="92" t="s">
        <v>563</v>
      </c>
      <c r="C110" s="92" t="s">
        <v>564</v>
      </c>
      <c r="D110" t="s">
        <v>565</v>
      </c>
      <c r="E110" s="144">
        <v>1</v>
      </c>
      <c r="G110" t="str">
        <f>_xlfn.XLOOKUP(Table4[[#This Row],[Code]],'DB - Identities'!G:G,'DB - Identities'!B:B,"Not Used")</f>
        <v>Not Used</v>
      </c>
      <c r="H110" s="92" t="s">
        <v>566</v>
      </c>
    </row>
    <row r="111" spans="1:8" ht="17">
      <c r="A111" s="103" t="s">
        <v>575</v>
      </c>
      <c r="B111" s="92" t="s">
        <v>563</v>
      </c>
      <c r="C111" s="92" t="s">
        <v>564</v>
      </c>
      <c r="D111" t="s">
        <v>565</v>
      </c>
      <c r="E111" s="144">
        <v>1</v>
      </c>
      <c r="G111" t="str">
        <f>_xlfn.XLOOKUP(Table4[[#This Row],[Code]],'DB - Identities'!G:G,'DB - Identities'!B:B,"Not Used")</f>
        <v>Not Used</v>
      </c>
      <c r="H111" s="92" t="s">
        <v>566</v>
      </c>
    </row>
    <row r="112" spans="1:8" ht="17">
      <c r="A112" s="103" t="s">
        <v>576</v>
      </c>
      <c r="B112" s="92" t="s">
        <v>563</v>
      </c>
      <c r="C112" s="92" t="s">
        <v>564</v>
      </c>
      <c r="D112" t="s">
        <v>565</v>
      </c>
      <c r="E112" s="144">
        <v>1</v>
      </c>
      <c r="G112" t="str">
        <f>_xlfn.XLOOKUP(Table4[[#This Row],[Code]],'DB - Identities'!G:G,'DB - Identities'!B:B,"Not Used")</f>
        <v>Not Used</v>
      </c>
      <c r="H112" s="92" t="s">
        <v>566</v>
      </c>
    </row>
    <row r="113" spans="1:8" ht="17">
      <c r="A113" s="103" t="s">
        <v>577</v>
      </c>
      <c r="B113" s="92" t="s">
        <v>563</v>
      </c>
      <c r="C113" s="92" t="s">
        <v>564</v>
      </c>
      <c r="D113" t="s">
        <v>565</v>
      </c>
      <c r="E113" s="144">
        <v>1</v>
      </c>
      <c r="G113" t="str">
        <f>_xlfn.XLOOKUP(Table4[[#This Row],[Code]],'DB - Identities'!G:G,'DB - Identities'!B:B,"Not Used")</f>
        <v>Not Used</v>
      </c>
      <c r="H113" s="92" t="s">
        <v>566</v>
      </c>
    </row>
    <row r="114" spans="1:8" ht="17">
      <c r="A114" s="103" t="s">
        <v>578</v>
      </c>
      <c r="B114" s="92" t="s">
        <v>563</v>
      </c>
      <c r="C114" s="92" t="s">
        <v>564</v>
      </c>
      <c r="D114" t="s">
        <v>565</v>
      </c>
      <c r="E114" s="144">
        <v>1</v>
      </c>
      <c r="G114" t="str">
        <f>_xlfn.XLOOKUP(Table4[[#This Row],[Code]],'DB - Identities'!G:G,'DB - Identities'!B:B,"Not Used")</f>
        <v>Not Used</v>
      </c>
      <c r="H114" s="92" t="s">
        <v>566</v>
      </c>
    </row>
    <row r="115" spans="1:8" ht="17">
      <c r="A115" s="103" t="s">
        <v>579</v>
      </c>
      <c r="B115" s="92" t="s">
        <v>563</v>
      </c>
      <c r="C115" s="92" t="s">
        <v>564</v>
      </c>
      <c r="D115" t="s">
        <v>565</v>
      </c>
      <c r="E115" s="144">
        <v>1</v>
      </c>
      <c r="G115" t="str">
        <f>_xlfn.XLOOKUP(Table4[[#This Row],[Code]],'DB - Identities'!G:G,'DB - Identities'!B:B,"Not Used")</f>
        <v>Not Used</v>
      </c>
      <c r="H115" s="92" t="s">
        <v>566</v>
      </c>
    </row>
    <row r="116" spans="1:8" ht="17">
      <c r="A116" s="103" t="s">
        <v>580</v>
      </c>
      <c r="B116" s="92" t="s">
        <v>563</v>
      </c>
      <c r="C116" s="92" t="s">
        <v>564</v>
      </c>
      <c r="D116" t="s">
        <v>565</v>
      </c>
      <c r="E116" s="144">
        <v>1</v>
      </c>
      <c r="G116" t="str">
        <f>_xlfn.XLOOKUP(Table4[[#This Row],[Code]],'DB - Identities'!G:G,'DB - Identities'!B:B,"Not Used")</f>
        <v>Not Used</v>
      </c>
      <c r="H116" s="92" t="s">
        <v>566</v>
      </c>
    </row>
    <row r="117" spans="1:8" ht="17">
      <c r="A117" s="103" t="s">
        <v>581</v>
      </c>
      <c r="B117" s="92" t="s">
        <v>563</v>
      </c>
      <c r="C117" s="92" t="s">
        <v>564</v>
      </c>
      <c r="D117" t="s">
        <v>565</v>
      </c>
      <c r="E117" s="144">
        <v>1</v>
      </c>
      <c r="G117" t="str">
        <f>_xlfn.XLOOKUP(Table4[[#This Row],[Code]],'DB - Identities'!G:G,'DB - Identities'!B:B,"Not Used")</f>
        <v>Not Used</v>
      </c>
      <c r="H117" s="92" t="s">
        <v>566</v>
      </c>
    </row>
    <row r="118" spans="1:8" ht="17">
      <c r="A118" s="103" t="s">
        <v>582</v>
      </c>
      <c r="B118" s="92" t="s">
        <v>563</v>
      </c>
      <c r="C118" s="92" t="s">
        <v>564</v>
      </c>
      <c r="D118" t="s">
        <v>565</v>
      </c>
      <c r="E118" s="144">
        <v>1</v>
      </c>
      <c r="G118" t="str">
        <f>_xlfn.XLOOKUP(Table4[[#This Row],[Code]],'DB - Identities'!G:G,'DB - Identities'!B:B,"Not Used")</f>
        <v>Not Used</v>
      </c>
      <c r="H118" s="92" t="s">
        <v>566</v>
      </c>
    </row>
    <row r="119" spans="1:8" ht="17">
      <c r="A119" s="103" t="s">
        <v>583</v>
      </c>
      <c r="B119" s="92" t="s">
        <v>563</v>
      </c>
      <c r="C119" s="92" t="s">
        <v>564</v>
      </c>
      <c r="D119" t="s">
        <v>565</v>
      </c>
      <c r="E119" s="144">
        <v>1</v>
      </c>
      <c r="G119" t="str">
        <f>_xlfn.XLOOKUP(Table4[[#This Row],[Code]],'DB - Identities'!G:G,'DB - Identities'!B:B,"Not Used")</f>
        <v>Not Used</v>
      </c>
      <c r="H119" s="92" t="s">
        <v>566</v>
      </c>
    </row>
    <row r="120" spans="1:8" ht="17">
      <c r="A120" s="103" t="s">
        <v>584</v>
      </c>
      <c r="B120" s="92" t="s">
        <v>563</v>
      </c>
      <c r="C120" s="92" t="s">
        <v>564</v>
      </c>
      <c r="D120" t="s">
        <v>565</v>
      </c>
      <c r="E120" s="144">
        <v>1</v>
      </c>
      <c r="G120" t="str">
        <f>_xlfn.XLOOKUP(Table4[[#This Row],[Code]],'DB - Identities'!G:G,'DB - Identities'!B:B,"Not Used")</f>
        <v>Not Used</v>
      </c>
      <c r="H120" s="92" t="s">
        <v>566</v>
      </c>
    </row>
    <row r="121" spans="1:8" ht="17">
      <c r="A121" s="103" t="s">
        <v>585</v>
      </c>
      <c r="B121" s="92" t="s">
        <v>563</v>
      </c>
      <c r="C121" s="92" t="s">
        <v>564</v>
      </c>
      <c r="D121" t="s">
        <v>565</v>
      </c>
      <c r="E121" s="144">
        <v>1</v>
      </c>
      <c r="G121" t="str">
        <f>_xlfn.XLOOKUP(Table4[[#This Row],[Code]],'DB - Identities'!G:G,'DB - Identities'!B:B,"Not Used")</f>
        <v>Not Used</v>
      </c>
      <c r="H121" s="92" t="s">
        <v>566</v>
      </c>
    </row>
    <row r="122" spans="1:8" ht="17">
      <c r="A122" s="103" t="s">
        <v>586</v>
      </c>
      <c r="B122" s="92" t="s">
        <v>563</v>
      </c>
      <c r="C122" s="92" t="s">
        <v>564</v>
      </c>
      <c r="D122" t="s">
        <v>565</v>
      </c>
      <c r="E122" s="144">
        <v>1</v>
      </c>
      <c r="G122" t="str">
        <f>_xlfn.XLOOKUP(Table4[[#This Row],[Code]],'DB - Identities'!G:G,'DB - Identities'!B:B,"Not Used")</f>
        <v>Not Used</v>
      </c>
      <c r="H122" s="92" t="s">
        <v>566</v>
      </c>
    </row>
    <row r="123" spans="1:8" ht="17">
      <c r="A123" s="103" t="s">
        <v>587</v>
      </c>
      <c r="B123" s="92" t="s">
        <v>563</v>
      </c>
      <c r="C123" s="92" t="s">
        <v>564</v>
      </c>
      <c r="D123" t="s">
        <v>565</v>
      </c>
      <c r="E123" s="144">
        <v>1</v>
      </c>
      <c r="G123" t="str">
        <f>_xlfn.XLOOKUP(Table4[[#This Row],[Code]],'DB - Identities'!G:G,'DB - Identities'!B:B,"Not Used")</f>
        <v>Not Used</v>
      </c>
      <c r="H123" s="92" t="s">
        <v>566</v>
      </c>
    </row>
    <row r="124" spans="1:8" ht="17">
      <c r="A124" s="103" t="s">
        <v>588</v>
      </c>
      <c r="B124" s="92" t="s">
        <v>563</v>
      </c>
      <c r="C124" s="92" t="s">
        <v>564</v>
      </c>
      <c r="D124" t="s">
        <v>565</v>
      </c>
      <c r="E124" s="144">
        <v>1</v>
      </c>
      <c r="G124" t="str">
        <f>_xlfn.XLOOKUP(Table4[[#This Row],[Code]],'DB - Identities'!G:G,'DB - Identities'!B:B,"Not Used")</f>
        <v>Not Used</v>
      </c>
      <c r="H124" s="92" t="s">
        <v>566</v>
      </c>
    </row>
    <row r="125" spans="1:8" ht="17">
      <c r="A125" s="103" t="s">
        <v>589</v>
      </c>
      <c r="B125" s="92" t="s">
        <v>563</v>
      </c>
      <c r="C125" s="92" t="s">
        <v>564</v>
      </c>
      <c r="D125" t="s">
        <v>565</v>
      </c>
      <c r="E125" s="144">
        <v>1</v>
      </c>
      <c r="G125" t="str">
        <f>_xlfn.XLOOKUP(Table4[[#This Row],[Code]],'DB - Identities'!G:G,'DB - Identities'!B:B,"Not Used")</f>
        <v>Not Used</v>
      </c>
      <c r="H125" s="92" t="s">
        <v>566</v>
      </c>
    </row>
    <row r="126" spans="1:8" ht="17">
      <c r="A126" s="103" t="s">
        <v>590</v>
      </c>
      <c r="B126" s="92" t="s">
        <v>563</v>
      </c>
      <c r="C126" s="92" t="s">
        <v>564</v>
      </c>
      <c r="D126" t="s">
        <v>565</v>
      </c>
      <c r="E126" s="144">
        <v>1</v>
      </c>
      <c r="G126" t="str">
        <f>_xlfn.XLOOKUP(Table4[[#This Row],[Code]],'DB - Identities'!G:G,'DB - Identities'!B:B,"Not Used")</f>
        <v>Not Used</v>
      </c>
      <c r="H126" s="92" t="s">
        <v>566</v>
      </c>
    </row>
    <row r="127" spans="1:8" ht="17">
      <c r="A127" s="103" t="s">
        <v>591</v>
      </c>
      <c r="B127" s="92" t="s">
        <v>563</v>
      </c>
      <c r="C127" s="92" t="s">
        <v>564</v>
      </c>
      <c r="D127" t="s">
        <v>565</v>
      </c>
      <c r="E127" s="144">
        <v>1</v>
      </c>
      <c r="G127" t="str">
        <f>_xlfn.XLOOKUP(Table4[[#This Row],[Code]],'DB - Identities'!G:G,'DB - Identities'!B:B,"Not Used")</f>
        <v>Not Used</v>
      </c>
      <c r="H127" s="92" t="s">
        <v>566</v>
      </c>
    </row>
    <row r="128" spans="1:8" ht="17">
      <c r="A128" s="103" t="s">
        <v>592</v>
      </c>
      <c r="B128" s="92" t="s">
        <v>563</v>
      </c>
      <c r="C128" s="92" t="s">
        <v>564</v>
      </c>
      <c r="D128" t="s">
        <v>565</v>
      </c>
      <c r="E128" s="144">
        <v>1</v>
      </c>
      <c r="G128" t="str">
        <f>_xlfn.XLOOKUP(Table4[[#This Row],[Code]],'DB - Identities'!G:G,'DB - Identities'!B:B,"Not Used")</f>
        <v>Not Used</v>
      </c>
      <c r="H128" s="92" t="s">
        <v>566</v>
      </c>
    </row>
    <row r="129" spans="1:8" ht="17">
      <c r="A129" s="103" t="s">
        <v>593</v>
      </c>
      <c r="B129" s="92" t="s">
        <v>563</v>
      </c>
      <c r="C129" s="92" t="s">
        <v>564</v>
      </c>
      <c r="D129" t="s">
        <v>565</v>
      </c>
      <c r="E129" s="144">
        <v>1</v>
      </c>
      <c r="G129" t="str">
        <f>_xlfn.XLOOKUP(Table4[[#This Row],[Code]],'DB - Identities'!G:G,'DB - Identities'!B:B,"Not Used")</f>
        <v>Not Used</v>
      </c>
      <c r="H129" s="92" t="s">
        <v>566</v>
      </c>
    </row>
    <row r="130" spans="1:8" ht="17">
      <c r="A130" s="103" t="s">
        <v>594</v>
      </c>
      <c r="B130" s="92" t="s">
        <v>563</v>
      </c>
      <c r="C130" s="92" t="s">
        <v>564</v>
      </c>
      <c r="D130" t="s">
        <v>565</v>
      </c>
      <c r="E130" s="144">
        <v>1</v>
      </c>
      <c r="G130" t="str">
        <f>_xlfn.XLOOKUP(Table4[[#This Row],[Code]],'DB - Identities'!G:G,'DB - Identities'!B:B,"Not Used")</f>
        <v>Not Used</v>
      </c>
      <c r="H130" s="92" t="s">
        <v>566</v>
      </c>
    </row>
    <row r="131" spans="1:8" ht="17">
      <c r="A131" s="103" t="s">
        <v>595</v>
      </c>
      <c r="B131" s="92" t="s">
        <v>563</v>
      </c>
      <c r="C131" s="92" t="s">
        <v>564</v>
      </c>
      <c r="D131" t="s">
        <v>565</v>
      </c>
      <c r="E131" s="144">
        <v>1</v>
      </c>
      <c r="G131" t="str">
        <f>_xlfn.XLOOKUP(Table4[[#This Row],[Code]],'DB - Identities'!G:G,'DB - Identities'!B:B,"Not Used")</f>
        <v>Not Used</v>
      </c>
      <c r="H131" s="92" t="s">
        <v>566</v>
      </c>
    </row>
    <row r="132" spans="1:8" ht="17">
      <c r="A132" s="103" t="s">
        <v>596</v>
      </c>
      <c r="B132" s="92" t="s">
        <v>563</v>
      </c>
      <c r="C132" s="92" t="s">
        <v>564</v>
      </c>
      <c r="D132" t="s">
        <v>565</v>
      </c>
      <c r="E132" s="144">
        <v>1</v>
      </c>
      <c r="G132" t="str">
        <f>_xlfn.XLOOKUP(Table4[[#This Row],[Code]],'DB - Identities'!G:G,'DB - Identities'!B:B,"Not Used")</f>
        <v>Not Used</v>
      </c>
      <c r="H132" s="92" t="s">
        <v>566</v>
      </c>
    </row>
    <row r="133" spans="1:8" ht="17">
      <c r="A133" s="103" t="s">
        <v>597</v>
      </c>
      <c r="B133" s="92" t="s">
        <v>563</v>
      </c>
      <c r="C133" s="92" t="s">
        <v>564</v>
      </c>
      <c r="D133" t="s">
        <v>565</v>
      </c>
      <c r="E133" s="144">
        <v>1</v>
      </c>
      <c r="G133" t="str">
        <f>_xlfn.XLOOKUP(Table4[[#This Row],[Code]],'DB - Identities'!G:G,'DB - Identities'!B:B,"Not Used")</f>
        <v>Not Used</v>
      </c>
      <c r="H133" s="92" t="s">
        <v>566</v>
      </c>
    </row>
    <row r="134" spans="1:8" ht="17">
      <c r="A134" s="103" t="s">
        <v>598</v>
      </c>
      <c r="B134" s="92" t="s">
        <v>563</v>
      </c>
      <c r="C134" s="92" t="s">
        <v>564</v>
      </c>
      <c r="D134" t="s">
        <v>565</v>
      </c>
      <c r="E134" s="144">
        <v>1</v>
      </c>
      <c r="G134" t="str">
        <f>_xlfn.XLOOKUP(Table4[[#This Row],[Code]],'DB - Identities'!G:G,'DB - Identities'!B:B,"Not Used")</f>
        <v>Not Used</v>
      </c>
      <c r="H134" s="92" t="s">
        <v>566</v>
      </c>
    </row>
    <row r="135" spans="1:8" ht="17">
      <c r="A135" s="103" t="s">
        <v>599</v>
      </c>
      <c r="B135" s="92" t="s">
        <v>563</v>
      </c>
      <c r="C135" s="92" t="s">
        <v>564</v>
      </c>
      <c r="D135" t="s">
        <v>565</v>
      </c>
      <c r="E135" s="144">
        <v>1</v>
      </c>
      <c r="G135" t="str">
        <f>_xlfn.XLOOKUP(Table4[[#This Row],[Code]],'DB - Identities'!G:G,'DB - Identities'!B:B,"Not Used")</f>
        <v>Not Used</v>
      </c>
      <c r="H135" s="92" t="s">
        <v>566</v>
      </c>
    </row>
    <row r="136" spans="1:8" ht="17">
      <c r="A136" s="103" t="s">
        <v>600</v>
      </c>
      <c r="B136" s="92" t="s">
        <v>563</v>
      </c>
      <c r="C136" s="92" t="s">
        <v>564</v>
      </c>
      <c r="D136" t="s">
        <v>565</v>
      </c>
      <c r="E136" s="144">
        <v>1</v>
      </c>
      <c r="G136" t="str">
        <f>_xlfn.XLOOKUP(Table4[[#This Row],[Code]],'DB - Identities'!G:G,'DB - Identities'!B:B,"Not Used")</f>
        <v>Not Used</v>
      </c>
      <c r="H136" s="92" t="s">
        <v>566</v>
      </c>
    </row>
    <row r="137" spans="1:8" ht="17">
      <c r="A137" s="103" t="s">
        <v>601</v>
      </c>
      <c r="B137" s="92" t="s">
        <v>563</v>
      </c>
      <c r="C137" s="92" t="s">
        <v>564</v>
      </c>
      <c r="D137" t="s">
        <v>565</v>
      </c>
      <c r="E137" s="144">
        <v>1</v>
      </c>
      <c r="G137" t="str">
        <f>_xlfn.XLOOKUP(Table4[[#This Row],[Code]],'DB - Identities'!G:G,'DB - Identities'!B:B,"Not Used")</f>
        <v>Not Used</v>
      </c>
      <c r="H137" s="92" t="s">
        <v>566</v>
      </c>
    </row>
    <row r="138" spans="1:8" ht="17">
      <c r="A138" s="103" t="s">
        <v>602</v>
      </c>
      <c r="B138" s="92" t="s">
        <v>563</v>
      </c>
      <c r="C138" s="92" t="s">
        <v>564</v>
      </c>
      <c r="D138" t="s">
        <v>565</v>
      </c>
      <c r="E138" s="144">
        <v>1</v>
      </c>
      <c r="G138" t="str">
        <f>_xlfn.XLOOKUP(Table4[[#This Row],[Code]],'DB - Identities'!G:G,'DB - Identities'!B:B,"Not Used")</f>
        <v>Not Used</v>
      </c>
      <c r="H138" s="92" t="s">
        <v>566</v>
      </c>
    </row>
    <row r="139" spans="1:8" ht="17">
      <c r="A139" s="103" t="s">
        <v>603</v>
      </c>
      <c r="B139" s="92" t="s">
        <v>563</v>
      </c>
      <c r="C139" s="92" t="s">
        <v>564</v>
      </c>
      <c r="D139" t="s">
        <v>565</v>
      </c>
      <c r="E139" s="144">
        <v>1</v>
      </c>
      <c r="G139" t="str">
        <f>_xlfn.XLOOKUP(Table4[[#This Row],[Code]],'DB - Identities'!G:G,'DB - Identities'!B:B,"Not Used")</f>
        <v>Not Used</v>
      </c>
      <c r="H139" s="92" t="s">
        <v>566</v>
      </c>
    </row>
    <row r="140" spans="1:8" ht="17">
      <c r="A140" s="103" t="s">
        <v>604</v>
      </c>
      <c r="B140" s="92" t="s">
        <v>563</v>
      </c>
      <c r="C140" s="92" t="s">
        <v>564</v>
      </c>
      <c r="D140" t="s">
        <v>565</v>
      </c>
      <c r="E140" s="144">
        <v>1</v>
      </c>
      <c r="G140" t="str">
        <f>_xlfn.XLOOKUP(Table4[[#This Row],[Code]],'DB - Identities'!G:G,'DB - Identities'!B:B,"Not Used")</f>
        <v>Not Used</v>
      </c>
      <c r="H140" s="92" t="s">
        <v>566</v>
      </c>
    </row>
    <row r="141" spans="1:8" ht="17">
      <c r="A141" s="103" t="s">
        <v>605</v>
      </c>
      <c r="B141" s="92" t="s">
        <v>563</v>
      </c>
      <c r="C141" s="92" t="s">
        <v>564</v>
      </c>
      <c r="D141" t="s">
        <v>565</v>
      </c>
      <c r="E141" s="144">
        <v>1</v>
      </c>
      <c r="G141" t="str">
        <f>_xlfn.XLOOKUP(Table4[[#This Row],[Code]],'DB - Identities'!G:G,'DB - Identities'!B:B,"Not Used")</f>
        <v>Not Used</v>
      </c>
      <c r="H141" s="92" t="s">
        <v>566</v>
      </c>
    </row>
    <row r="142" spans="1:8" ht="17">
      <c r="A142" s="103" t="s">
        <v>606</v>
      </c>
      <c r="B142" s="92" t="s">
        <v>563</v>
      </c>
      <c r="C142" s="92" t="s">
        <v>564</v>
      </c>
      <c r="D142" t="s">
        <v>565</v>
      </c>
      <c r="E142" s="144">
        <v>1</v>
      </c>
      <c r="G142" t="str">
        <f>_xlfn.XLOOKUP(Table4[[#This Row],[Code]],'DB - Identities'!G:G,'DB - Identities'!B:B,"Not Used")</f>
        <v>Not Used</v>
      </c>
      <c r="H142" s="92" t="s">
        <v>566</v>
      </c>
    </row>
    <row r="143" spans="1:8" ht="17">
      <c r="A143" s="103" t="s">
        <v>607</v>
      </c>
      <c r="B143" s="92" t="s">
        <v>563</v>
      </c>
      <c r="C143" s="92" t="s">
        <v>564</v>
      </c>
      <c r="D143" t="s">
        <v>565</v>
      </c>
      <c r="E143" s="144">
        <v>1</v>
      </c>
      <c r="G143" t="str">
        <f>_xlfn.XLOOKUP(Table4[[#This Row],[Code]],'DB - Identities'!G:G,'DB - Identities'!B:B,"Not Used")</f>
        <v>Not Used</v>
      </c>
      <c r="H143" s="92" t="s">
        <v>566</v>
      </c>
    </row>
    <row r="144" spans="1:8" ht="17">
      <c r="A144" s="103" t="s">
        <v>608</v>
      </c>
      <c r="B144" s="92" t="s">
        <v>563</v>
      </c>
      <c r="C144" s="92" t="s">
        <v>564</v>
      </c>
      <c r="D144" t="s">
        <v>565</v>
      </c>
      <c r="E144" s="144">
        <v>1</v>
      </c>
      <c r="G144" t="str">
        <f>_xlfn.XLOOKUP(Table4[[#This Row],[Code]],'DB - Identities'!G:G,'DB - Identities'!B:B,"Not Used")</f>
        <v>Not Used</v>
      </c>
      <c r="H144" s="92" t="s">
        <v>566</v>
      </c>
    </row>
    <row r="145" spans="1:8" ht="17">
      <c r="A145" s="103" t="s">
        <v>609</v>
      </c>
      <c r="B145" s="92" t="s">
        <v>563</v>
      </c>
      <c r="C145" s="92" t="s">
        <v>564</v>
      </c>
      <c r="D145" t="s">
        <v>565</v>
      </c>
      <c r="E145" s="144">
        <v>1</v>
      </c>
      <c r="G145" t="str">
        <f>_xlfn.XLOOKUP(Table4[[#This Row],[Code]],'DB - Identities'!G:G,'DB - Identities'!B:B,"Not Used")</f>
        <v>Not Used</v>
      </c>
      <c r="H145" s="92" t="s">
        <v>566</v>
      </c>
    </row>
    <row r="146" spans="1:8" ht="17">
      <c r="A146" s="103" t="s">
        <v>610</v>
      </c>
      <c r="B146" s="92" t="s">
        <v>563</v>
      </c>
      <c r="C146" s="92" t="s">
        <v>564</v>
      </c>
      <c r="D146" t="s">
        <v>565</v>
      </c>
      <c r="E146" s="144">
        <v>1</v>
      </c>
      <c r="G146" t="str">
        <f>_xlfn.XLOOKUP(Table4[[#This Row],[Code]],'DB - Identities'!G:G,'DB - Identities'!B:B,"Not Used")</f>
        <v>Not Used</v>
      </c>
      <c r="H146" s="92" t="s">
        <v>566</v>
      </c>
    </row>
    <row r="147" spans="1:8" ht="17">
      <c r="A147" s="103" t="s">
        <v>611</v>
      </c>
      <c r="B147" s="92" t="s">
        <v>563</v>
      </c>
      <c r="C147" s="92" t="s">
        <v>564</v>
      </c>
      <c r="D147" t="s">
        <v>565</v>
      </c>
      <c r="E147" s="144">
        <v>1</v>
      </c>
      <c r="G147" t="str">
        <f>_xlfn.XLOOKUP(Table4[[#This Row],[Code]],'DB - Identities'!G:G,'DB - Identities'!B:B,"Not Used")</f>
        <v>Not Used</v>
      </c>
      <c r="H147" s="92" t="s">
        <v>566</v>
      </c>
    </row>
    <row r="148" spans="1:8" ht="17">
      <c r="A148" s="103" t="s">
        <v>612</v>
      </c>
      <c r="B148" s="92" t="s">
        <v>563</v>
      </c>
      <c r="C148" s="92" t="s">
        <v>564</v>
      </c>
      <c r="D148" t="s">
        <v>565</v>
      </c>
      <c r="E148" s="144">
        <v>1</v>
      </c>
      <c r="G148" t="str">
        <f>_xlfn.XLOOKUP(Table4[[#This Row],[Code]],'DB - Identities'!G:G,'DB - Identities'!B:B,"Not Used")</f>
        <v>Not Used</v>
      </c>
      <c r="H148" s="92" t="s">
        <v>566</v>
      </c>
    </row>
    <row r="149" spans="1:8" ht="17">
      <c r="A149" s="103" t="s">
        <v>613</v>
      </c>
      <c r="B149" s="92" t="s">
        <v>563</v>
      </c>
      <c r="C149" s="92" t="s">
        <v>564</v>
      </c>
      <c r="D149" t="s">
        <v>565</v>
      </c>
      <c r="E149" s="144">
        <v>1</v>
      </c>
      <c r="G149" t="str">
        <f>_xlfn.XLOOKUP(Table4[[#This Row],[Code]],'DB - Identities'!G:G,'DB - Identities'!B:B,"Not Used")</f>
        <v>Not Used</v>
      </c>
      <c r="H149" s="92" t="s">
        <v>566</v>
      </c>
    </row>
    <row r="150" spans="1:8" ht="17">
      <c r="A150" s="103" t="s">
        <v>614</v>
      </c>
      <c r="B150" s="92" t="s">
        <v>563</v>
      </c>
      <c r="C150" s="92" t="s">
        <v>564</v>
      </c>
      <c r="D150" t="s">
        <v>565</v>
      </c>
      <c r="E150" s="144">
        <v>1</v>
      </c>
      <c r="G150" t="str">
        <f>_xlfn.XLOOKUP(Table4[[#This Row],[Code]],'DB - Identities'!G:G,'DB - Identities'!B:B,"Not Used")</f>
        <v>Not Used</v>
      </c>
      <c r="H150" s="92" t="s">
        <v>566</v>
      </c>
    </row>
    <row r="151" spans="1:8" ht="17">
      <c r="A151" s="103" t="s">
        <v>615</v>
      </c>
      <c r="B151" s="92" t="s">
        <v>563</v>
      </c>
      <c r="C151" s="92" t="s">
        <v>564</v>
      </c>
      <c r="D151" t="s">
        <v>565</v>
      </c>
      <c r="E151" s="144">
        <v>1</v>
      </c>
      <c r="G151" t="str">
        <f>_xlfn.XLOOKUP(Table4[[#This Row],[Code]],'DB - Identities'!G:G,'DB - Identities'!B:B,"Not Used")</f>
        <v>Not Used</v>
      </c>
      <c r="H151" s="92" t="s">
        <v>566</v>
      </c>
    </row>
    <row r="152" spans="1:8" ht="17">
      <c r="A152" s="103" t="s">
        <v>562</v>
      </c>
      <c r="B152" s="92" t="s">
        <v>563</v>
      </c>
      <c r="C152" s="92" t="s">
        <v>564</v>
      </c>
      <c r="D152" t="s">
        <v>565</v>
      </c>
      <c r="E152" s="144">
        <v>1</v>
      </c>
      <c r="G152" t="str">
        <f>_xlfn.XLOOKUP(Table4[[#This Row],[Code]],'DB - Identities'!G:G,'DB - Identities'!B:B,"Not Used")</f>
        <v>Not Used</v>
      </c>
      <c r="H152" s="92" t="s">
        <v>566</v>
      </c>
    </row>
    <row r="153" spans="1:8" ht="17">
      <c r="A153" s="103" t="s">
        <v>567</v>
      </c>
      <c r="B153" s="92" t="s">
        <v>563</v>
      </c>
      <c r="C153" s="92" t="s">
        <v>564</v>
      </c>
      <c r="D153" t="s">
        <v>565</v>
      </c>
      <c r="E153" s="144">
        <v>1</v>
      </c>
      <c r="G153" t="str">
        <f>_xlfn.XLOOKUP(Table4[[#This Row],[Code]],'DB - Identities'!G:G,'DB - Identities'!B:B,"Not Used")</f>
        <v>Not Used</v>
      </c>
      <c r="H153" s="92" t="s">
        <v>566</v>
      </c>
    </row>
    <row r="154" spans="1:8" ht="17">
      <c r="A154" s="103" t="s">
        <v>616</v>
      </c>
      <c r="B154" s="92" t="s">
        <v>143</v>
      </c>
      <c r="C154" s="92" t="s">
        <v>617</v>
      </c>
      <c r="D154" s="147">
        <v>44439</v>
      </c>
      <c r="E154" s="144">
        <v>1</v>
      </c>
      <c r="F154" t="s">
        <v>618</v>
      </c>
      <c r="G154" t="str">
        <f>_xlfn.XLOOKUP(Table4[[#This Row],[Code]],'DB - Identities'!G:G,'DB - Identities'!B:B,"Not Used")</f>
        <v>Not Used</v>
      </c>
      <c r="H154" s="146" t="s">
        <v>619</v>
      </c>
    </row>
    <row r="155" spans="1:8" ht="17">
      <c r="A155" s="103" t="s">
        <v>620</v>
      </c>
      <c r="B155" s="92" t="s">
        <v>143</v>
      </c>
      <c r="C155" s="92" t="s">
        <v>617</v>
      </c>
      <c r="D155" s="147">
        <v>44439</v>
      </c>
      <c r="E155" s="144">
        <v>1</v>
      </c>
      <c r="G155" t="str">
        <f>_xlfn.XLOOKUP(Table4[[#This Row],[Code]],'DB - Identities'!G:G,'DB - Identities'!B:B,"Not Used")</f>
        <v>Not Used</v>
      </c>
      <c r="H155" s="146" t="s">
        <v>619</v>
      </c>
    </row>
    <row r="156" spans="1:8" ht="17">
      <c r="A156" s="103" t="s">
        <v>621</v>
      </c>
      <c r="B156" s="92" t="s">
        <v>143</v>
      </c>
      <c r="C156" s="92" t="s">
        <v>617</v>
      </c>
      <c r="D156" s="147">
        <v>44439</v>
      </c>
      <c r="E156" s="144">
        <v>1</v>
      </c>
      <c r="F156" t="s">
        <v>622</v>
      </c>
      <c r="G156" t="str">
        <f>_xlfn.XLOOKUP(Table4[[#This Row],[Code]],'DB - Identities'!G:G,'DB - Identities'!B:B,"Not Used")</f>
        <v>Not Used</v>
      </c>
      <c r="H156" s="146" t="s">
        <v>619</v>
      </c>
    </row>
    <row r="157" spans="1:8" ht="17">
      <c r="A157" s="103" t="s">
        <v>623</v>
      </c>
      <c r="B157" s="92" t="s">
        <v>143</v>
      </c>
      <c r="C157" s="92" t="s">
        <v>617</v>
      </c>
      <c r="D157" s="147">
        <v>44439</v>
      </c>
      <c r="E157" s="144">
        <v>1</v>
      </c>
      <c r="G157" t="str">
        <f>_xlfn.XLOOKUP(Table4[[#This Row],[Code]],'DB - Identities'!G:G,'DB - Identities'!B:B,"Not Used")</f>
        <v>Not Used</v>
      </c>
      <c r="H157" s="146" t="s">
        <v>619</v>
      </c>
    </row>
    <row r="158" spans="1:8" ht="17">
      <c r="A158" s="103" t="s">
        <v>624</v>
      </c>
      <c r="B158" s="92" t="s">
        <v>143</v>
      </c>
      <c r="C158" s="92" t="s">
        <v>617</v>
      </c>
      <c r="D158" s="147">
        <v>44439</v>
      </c>
      <c r="E158" s="144">
        <v>1</v>
      </c>
      <c r="G158" t="str">
        <f>_xlfn.XLOOKUP(Table4[[#This Row],[Code]],'DB - Identities'!G:G,'DB - Identities'!B:B,"Not Used")</f>
        <v>Not Used</v>
      </c>
      <c r="H158" s="146" t="s">
        <v>619</v>
      </c>
    </row>
    <row r="159" spans="1:8" ht="17">
      <c r="A159" s="103" t="s">
        <v>625</v>
      </c>
      <c r="B159" s="92" t="s">
        <v>143</v>
      </c>
      <c r="C159" s="92" t="s">
        <v>617</v>
      </c>
      <c r="D159" s="147">
        <v>44439</v>
      </c>
      <c r="E159" s="144">
        <v>1</v>
      </c>
      <c r="G159" t="str">
        <f>_xlfn.XLOOKUP(Table4[[#This Row],[Code]],'DB - Identities'!G:G,'DB - Identities'!B:B,"Not Used")</f>
        <v>Not Used</v>
      </c>
      <c r="H159" s="146" t="s">
        <v>619</v>
      </c>
    </row>
    <row r="160" spans="1:8" ht="17">
      <c r="A160" s="103" t="s">
        <v>626</v>
      </c>
      <c r="B160" s="92" t="s">
        <v>143</v>
      </c>
      <c r="C160" s="92" t="s">
        <v>617</v>
      </c>
      <c r="D160" s="147">
        <v>44439</v>
      </c>
      <c r="E160" s="144">
        <v>1</v>
      </c>
      <c r="G160" t="str">
        <f>_xlfn.XLOOKUP(Table4[[#This Row],[Code]],'DB - Identities'!G:G,'DB - Identities'!B:B,"Not Used")</f>
        <v>Not Used</v>
      </c>
      <c r="H160" s="146" t="s">
        <v>619</v>
      </c>
    </row>
    <row r="161" spans="1:8" ht="17">
      <c r="A161" s="103" t="s">
        <v>627</v>
      </c>
      <c r="B161" s="92" t="s">
        <v>143</v>
      </c>
      <c r="C161" s="92" t="s">
        <v>617</v>
      </c>
      <c r="D161" s="147">
        <v>44439</v>
      </c>
      <c r="E161" s="144">
        <v>1</v>
      </c>
      <c r="G161" t="str">
        <f>_xlfn.XLOOKUP(Table4[[#This Row],[Code]],'DB - Identities'!G:G,'DB - Identities'!B:B,"Not Used")</f>
        <v>Not Used</v>
      </c>
      <c r="H161" s="146" t="s">
        <v>619</v>
      </c>
    </row>
    <row r="162" spans="1:8" ht="17">
      <c r="A162" s="103" t="s">
        <v>628</v>
      </c>
      <c r="B162" s="92" t="s">
        <v>143</v>
      </c>
      <c r="C162" s="92" t="s">
        <v>617</v>
      </c>
      <c r="D162" s="147">
        <v>44439</v>
      </c>
      <c r="E162" s="144">
        <v>1</v>
      </c>
      <c r="G162" t="str">
        <f>_xlfn.XLOOKUP(Table4[[#This Row],[Code]],'DB - Identities'!G:G,'DB - Identities'!B:B,"Not Used")</f>
        <v>Not Used</v>
      </c>
      <c r="H162" s="146" t="s">
        <v>619</v>
      </c>
    </row>
    <row r="163" spans="1:8" ht="17">
      <c r="A163" s="103" t="s">
        <v>629</v>
      </c>
      <c r="B163" s="92" t="s">
        <v>143</v>
      </c>
      <c r="C163" s="92" t="s">
        <v>617</v>
      </c>
      <c r="D163" s="147">
        <v>44439</v>
      </c>
      <c r="E163" s="144">
        <v>1</v>
      </c>
      <c r="G163" t="str">
        <f>_xlfn.XLOOKUP(Table4[[#This Row],[Code]],'DB - Identities'!G:G,'DB - Identities'!B:B,"Not Used")</f>
        <v>Not Used</v>
      </c>
      <c r="H163" s="146" t="s">
        <v>619</v>
      </c>
    </row>
    <row r="164" spans="1:8" ht="17">
      <c r="A164" s="103" t="s">
        <v>630</v>
      </c>
      <c r="B164" s="92" t="s">
        <v>631</v>
      </c>
      <c r="C164" s="92" t="s">
        <v>617</v>
      </c>
      <c r="D164" s="147">
        <v>44533</v>
      </c>
      <c r="E164" s="144">
        <v>1</v>
      </c>
      <c r="G164" t="str">
        <f>_xlfn.XLOOKUP(Table4[[#This Row],[Code]],'DB - Identities'!G:G,'DB - Identities'!B:B,"Not Used")</f>
        <v>Not Used</v>
      </c>
      <c r="H164" s="146" t="s">
        <v>632</v>
      </c>
    </row>
    <row r="165" spans="1:8" ht="17">
      <c r="A165" s="103" t="s">
        <v>633</v>
      </c>
      <c r="B165" s="92" t="s">
        <v>631</v>
      </c>
      <c r="C165" s="92" t="s">
        <v>617</v>
      </c>
      <c r="D165" s="147">
        <v>44533</v>
      </c>
      <c r="E165" s="144">
        <v>1</v>
      </c>
      <c r="G165" t="str">
        <f>_xlfn.XLOOKUP(Table4[[#This Row],[Code]],'DB - Identities'!G:G,'DB - Identities'!B:B,"Not Used")</f>
        <v>Not Used</v>
      </c>
      <c r="H165" s="146" t="s">
        <v>632</v>
      </c>
    </row>
    <row r="166" spans="1:8" ht="17">
      <c r="A166" s="103" t="s">
        <v>634</v>
      </c>
      <c r="B166" s="92" t="s">
        <v>631</v>
      </c>
      <c r="C166" s="92" t="s">
        <v>617</v>
      </c>
      <c r="D166" s="147">
        <v>44533</v>
      </c>
      <c r="E166" s="144">
        <v>1</v>
      </c>
      <c r="G166" t="str">
        <f>_xlfn.XLOOKUP(Table4[[#This Row],[Code]],'DB - Identities'!G:G,'DB - Identities'!B:B,"Not Used")</f>
        <v>Not Used</v>
      </c>
      <c r="H166" s="146" t="s">
        <v>632</v>
      </c>
    </row>
    <row r="167" spans="1:8" ht="17">
      <c r="A167" s="103" t="s">
        <v>635</v>
      </c>
      <c r="B167" s="92" t="s">
        <v>631</v>
      </c>
      <c r="C167" s="92" t="s">
        <v>617</v>
      </c>
      <c r="D167" s="147">
        <v>44533</v>
      </c>
      <c r="E167" s="144">
        <v>1</v>
      </c>
      <c r="G167" t="str">
        <f>_xlfn.XLOOKUP(Table4[[#This Row],[Code]],'DB - Identities'!G:G,'DB - Identities'!B:B,"Not Used")</f>
        <v>Not Used</v>
      </c>
      <c r="H167" s="146" t="s">
        <v>632</v>
      </c>
    </row>
    <row r="168" spans="1:8" ht="17">
      <c r="A168" s="103" t="s">
        <v>636</v>
      </c>
      <c r="B168" s="92" t="s">
        <v>631</v>
      </c>
      <c r="C168" s="92" t="s">
        <v>617</v>
      </c>
      <c r="D168" s="147">
        <v>44533</v>
      </c>
      <c r="E168" s="144">
        <v>1</v>
      </c>
      <c r="G168" t="str">
        <f>_xlfn.XLOOKUP(Table4[[#This Row],[Code]],'DB - Identities'!G:G,'DB - Identities'!B:B,"Not Used")</f>
        <v>Not Used</v>
      </c>
      <c r="H168" s="146" t="s">
        <v>632</v>
      </c>
    </row>
    <row r="169" spans="1:8" ht="17">
      <c r="A169" s="103" t="s">
        <v>637</v>
      </c>
      <c r="B169" s="92" t="s">
        <v>143</v>
      </c>
      <c r="C169" s="92" t="s">
        <v>638</v>
      </c>
      <c r="D169" t="s">
        <v>446</v>
      </c>
      <c r="E169" s="144">
        <v>1</v>
      </c>
      <c r="F169" t="s">
        <v>639</v>
      </c>
      <c r="G169" t="str">
        <f>_xlfn.XLOOKUP(Table4[[#This Row],[Code]],'DB - Identities'!G:G,'DB - Identities'!B:B,"Not Used")</f>
        <v>Hangzhou Iron &amp; Steel (H.K.) Co Ltd</v>
      </c>
      <c r="H169" s="146" t="s">
        <v>640</v>
      </c>
    </row>
    <row r="170" spans="1:8" ht="17">
      <c r="A170" s="103" t="s">
        <v>641</v>
      </c>
      <c r="B170" s="92" t="s">
        <v>143</v>
      </c>
      <c r="C170" s="92" t="s">
        <v>638</v>
      </c>
      <c r="D170" t="s">
        <v>446</v>
      </c>
      <c r="E170" s="144">
        <v>1</v>
      </c>
      <c r="F170" t="s">
        <v>642</v>
      </c>
      <c r="G170" t="str">
        <f>_xlfn.XLOOKUP(Table4[[#This Row],[Code]],'DB - Identities'!G:G,'DB - Identities'!B:B,"Not Used")</f>
        <v>Not Used</v>
      </c>
      <c r="H170" s="146" t="s">
        <v>640</v>
      </c>
    </row>
    <row r="171" spans="1:8" ht="17">
      <c r="A171" s="103" t="s">
        <v>643</v>
      </c>
      <c r="B171" s="92" t="s">
        <v>143</v>
      </c>
      <c r="C171" s="92" t="s">
        <v>638</v>
      </c>
      <c r="D171" t="s">
        <v>446</v>
      </c>
      <c r="E171" s="144">
        <v>1</v>
      </c>
      <c r="F171" t="s">
        <v>644</v>
      </c>
      <c r="G171" t="str">
        <f>_xlfn.XLOOKUP(Table4[[#This Row],[Code]],'DB - Identities'!G:G,'DB - Identities'!B:B,"Not Used")</f>
        <v>Not Used</v>
      </c>
      <c r="H171" s="146" t="s">
        <v>640</v>
      </c>
    </row>
    <row r="172" spans="1:8" ht="17">
      <c r="A172" s="103" t="s">
        <v>645</v>
      </c>
      <c r="B172" s="92" t="s">
        <v>143</v>
      </c>
      <c r="C172" s="92" t="s">
        <v>638</v>
      </c>
      <c r="D172" s="147">
        <v>44439</v>
      </c>
      <c r="E172" s="144">
        <v>1</v>
      </c>
      <c r="G172" t="str">
        <f>_xlfn.XLOOKUP(Table4[[#This Row],[Code]],'DB - Identities'!G:G,'DB - Identities'!B:B,"Not Used")</f>
        <v>Not Used</v>
      </c>
      <c r="H172" s="146" t="s">
        <v>640</v>
      </c>
    </row>
    <row r="173" spans="1:8" ht="17">
      <c r="A173" s="103" t="s">
        <v>646</v>
      </c>
      <c r="B173" s="92" t="s">
        <v>143</v>
      </c>
      <c r="C173" s="92" t="s">
        <v>638</v>
      </c>
      <c r="D173" s="147">
        <v>44439</v>
      </c>
      <c r="E173" s="144">
        <v>1</v>
      </c>
      <c r="G173" t="str">
        <f>_xlfn.XLOOKUP(Table4[[#This Row],[Code]],'DB - Identities'!G:G,'DB - Identities'!B:B,"Not Used")</f>
        <v>Not Used</v>
      </c>
      <c r="H173" s="146" t="s">
        <v>640</v>
      </c>
    </row>
    <row r="174" spans="1:8" ht="17">
      <c r="A174" s="103">
        <v>3.56E+16</v>
      </c>
      <c r="B174" s="92" t="s">
        <v>143</v>
      </c>
      <c r="C174" s="92" t="s">
        <v>647</v>
      </c>
      <c r="D174" t="s">
        <v>446</v>
      </c>
      <c r="E174" s="144">
        <v>1</v>
      </c>
      <c r="F174" t="s">
        <v>648</v>
      </c>
      <c r="G174" t="str">
        <f>_xlfn.XLOOKUP(Table4[[#This Row],[Code]],'DB - Identities'!G:G,'DB - Identities'!B:B,"Not Used")</f>
        <v>Singapore Jinteng International Pte. Ltd.</v>
      </c>
      <c r="H174" s="146" t="s">
        <v>649</v>
      </c>
    </row>
    <row r="175" spans="1:8" ht="17">
      <c r="A175" s="103" t="s">
        <v>650</v>
      </c>
      <c r="B175" s="92" t="s">
        <v>143</v>
      </c>
      <c r="C175" s="92" t="s">
        <v>647</v>
      </c>
      <c r="D175" t="s">
        <v>446</v>
      </c>
      <c r="E175" s="144">
        <v>1</v>
      </c>
      <c r="F175" t="s">
        <v>651</v>
      </c>
      <c r="G175" t="str">
        <f>_xlfn.XLOOKUP(Table4[[#This Row],[Code]],'DB - Identities'!G:G,'DB - Identities'!B:B,"Not Used")</f>
        <v>Toptip Holding Pte. Ltd</v>
      </c>
      <c r="H175" s="146" t="s">
        <v>649</v>
      </c>
    </row>
    <row r="176" spans="1:8" ht="17">
      <c r="A176" s="103" t="s">
        <v>652</v>
      </c>
      <c r="B176" s="92" t="s">
        <v>143</v>
      </c>
      <c r="C176" s="92" t="s">
        <v>647</v>
      </c>
      <c r="D176" s="147">
        <v>44439</v>
      </c>
      <c r="E176" s="144">
        <v>1</v>
      </c>
      <c r="G176" t="str">
        <f>_xlfn.XLOOKUP(Table4[[#This Row],[Code]],'DB - Identities'!G:G,'DB - Identities'!B:B,"Not Used")</f>
        <v>Not Used</v>
      </c>
      <c r="H176" s="146" t="s">
        <v>649</v>
      </c>
    </row>
    <row r="177" spans="1:8" ht="17">
      <c r="A177" s="103" t="s">
        <v>653</v>
      </c>
      <c r="B177" s="92" t="s">
        <v>143</v>
      </c>
      <c r="C177" s="92" t="s">
        <v>647</v>
      </c>
      <c r="D177" s="147">
        <v>44439</v>
      </c>
      <c r="E177" s="144">
        <v>1</v>
      </c>
      <c r="G177" t="str">
        <f>_xlfn.XLOOKUP(Table4[[#This Row],[Code]],'DB - Identities'!G:G,'DB - Identities'!B:B,"Not Used")</f>
        <v>Not Used</v>
      </c>
      <c r="H177" s="146" t="s">
        <v>649</v>
      </c>
    </row>
    <row r="178" spans="1:8" ht="17">
      <c r="A178" s="103" t="s">
        <v>654</v>
      </c>
      <c r="B178" s="92" t="s">
        <v>143</v>
      </c>
      <c r="C178" s="92" t="s">
        <v>647</v>
      </c>
      <c r="D178" s="147">
        <v>44439</v>
      </c>
      <c r="E178" s="144">
        <v>1</v>
      </c>
      <c r="G178" t="str">
        <f>_xlfn.XLOOKUP(Table4[[#This Row],[Code]],'DB - Identities'!G:G,'DB - Identities'!B:B,"Not Used")</f>
        <v>Not Used</v>
      </c>
      <c r="H178" s="146" t="s">
        <v>649</v>
      </c>
    </row>
    <row r="179" spans="1:8" ht="17">
      <c r="A179" s="103" t="s">
        <v>655</v>
      </c>
      <c r="B179" s="92" t="s">
        <v>143</v>
      </c>
      <c r="C179" s="92" t="s">
        <v>656</v>
      </c>
      <c r="D179" t="s">
        <v>446</v>
      </c>
      <c r="E179" s="144">
        <v>1</v>
      </c>
      <c r="F179" t="s">
        <v>657</v>
      </c>
      <c r="G179" t="str">
        <f>_xlfn.XLOOKUP(Table4[[#This Row],[Code]],'DB - Identities'!G:G,'DB - Identities'!B:B,"Not Used")</f>
        <v>SCG Plastics Co., Ltd.</v>
      </c>
      <c r="H179" s="92" t="s">
        <v>658</v>
      </c>
    </row>
    <row r="180" spans="1:8" ht="17">
      <c r="A180" s="103" t="s">
        <v>659</v>
      </c>
      <c r="B180" s="92" t="s">
        <v>143</v>
      </c>
      <c r="C180" s="92" t="s">
        <v>656</v>
      </c>
      <c r="D180" t="s">
        <v>446</v>
      </c>
      <c r="E180" s="144">
        <v>1</v>
      </c>
      <c r="F180" t="s">
        <v>660</v>
      </c>
      <c r="G180" t="str">
        <f>_xlfn.XLOOKUP(Table4[[#This Row],[Code]],'DB - Identities'!G:G,'DB - Identities'!B:B,"Not Used")</f>
        <v>SCG Performance Chemicals Co., Ltd</v>
      </c>
      <c r="H180" s="92" t="s">
        <v>658</v>
      </c>
    </row>
    <row r="181" spans="1:8" ht="17">
      <c r="A181" s="103" t="s">
        <v>661</v>
      </c>
      <c r="B181" s="92" t="s">
        <v>143</v>
      </c>
      <c r="C181" s="92" t="s">
        <v>656</v>
      </c>
      <c r="D181" t="s">
        <v>446</v>
      </c>
      <c r="E181" s="144">
        <v>1</v>
      </c>
      <c r="F181" t="s">
        <v>662</v>
      </c>
      <c r="G181" t="str">
        <f>_xlfn.XLOOKUP(Table4[[#This Row],[Code]],'DB - Identities'!G:G,'DB - Identities'!B:B,"Not Used")</f>
        <v>Not Used</v>
      </c>
      <c r="H181" s="92" t="s">
        <v>658</v>
      </c>
    </row>
    <row r="182" spans="1:8" ht="17">
      <c r="A182" s="103" t="s">
        <v>663</v>
      </c>
      <c r="B182" s="92" t="s">
        <v>143</v>
      </c>
      <c r="C182" s="92" t="s">
        <v>656</v>
      </c>
      <c r="D182" t="s">
        <v>446</v>
      </c>
      <c r="E182" s="144">
        <v>1</v>
      </c>
      <c r="F182" t="s">
        <v>664</v>
      </c>
      <c r="G182" t="str">
        <f>_xlfn.XLOOKUP(Table4[[#This Row],[Code]],'DB - Identities'!G:G,'DB - Identities'!B:B,"Not Used")</f>
        <v>Polyplex (Thailand) Public Company Limited</v>
      </c>
      <c r="H182" s="92" t="s">
        <v>658</v>
      </c>
    </row>
    <row r="183" spans="1:8" ht="17">
      <c r="A183" s="103" t="s">
        <v>665</v>
      </c>
      <c r="B183" s="92" t="s">
        <v>143</v>
      </c>
      <c r="C183" s="92" t="s">
        <v>666</v>
      </c>
      <c r="D183" t="s">
        <v>446</v>
      </c>
      <c r="E183" s="144">
        <v>1</v>
      </c>
      <c r="F183" t="s">
        <v>667</v>
      </c>
      <c r="G183" t="str">
        <f>_xlfn.XLOOKUP(Table4[[#This Row],[Code]],'DB - Identities'!G:G,'DB - Identities'!B:B,"Not Used")</f>
        <v>Indorama Polyster Industries PCL</v>
      </c>
      <c r="H183" s="92" t="s">
        <v>658</v>
      </c>
    </row>
    <row r="184" spans="1:8" ht="17">
      <c r="A184" s="103" t="s">
        <v>668</v>
      </c>
      <c r="B184" s="92" t="s">
        <v>143</v>
      </c>
      <c r="C184" s="92" t="s">
        <v>656</v>
      </c>
      <c r="D184" t="s">
        <v>446</v>
      </c>
      <c r="E184" s="144">
        <v>1</v>
      </c>
      <c r="F184" t="s">
        <v>199</v>
      </c>
      <c r="G184" t="str">
        <f>_xlfn.XLOOKUP(Table4[[#This Row],[Code]],'DB - Identities'!G:G,'DB - Identities'!B:B,"Not Used")</f>
        <v>Metal One (Thailand) Co., Ltd</v>
      </c>
      <c r="H184" s="92" t="s">
        <v>658</v>
      </c>
    </row>
    <row r="185" spans="1:8" ht="17">
      <c r="A185" s="103" t="s">
        <v>669</v>
      </c>
      <c r="B185" s="92" t="s">
        <v>143</v>
      </c>
      <c r="C185" s="92" t="s">
        <v>656</v>
      </c>
      <c r="D185" t="s">
        <v>446</v>
      </c>
      <c r="E185" s="144">
        <v>1</v>
      </c>
      <c r="F185" t="s">
        <v>670</v>
      </c>
      <c r="G185" t="str">
        <f>_xlfn.XLOOKUP(Table4[[#This Row],[Code]],'DB - Identities'!G:G,'DB - Identities'!B:B,"Not Used")</f>
        <v>AN PHAT BIOPLASTICS JOINT STOCK COMPANY</v>
      </c>
      <c r="H185" s="92" t="s">
        <v>658</v>
      </c>
    </row>
    <row r="186" spans="1:8" ht="17">
      <c r="A186" s="103" t="s">
        <v>671</v>
      </c>
      <c r="B186" s="92" t="s">
        <v>143</v>
      </c>
      <c r="C186" s="92" t="s">
        <v>656</v>
      </c>
      <c r="D186" t="s">
        <v>446</v>
      </c>
      <c r="E186" s="144">
        <v>1</v>
      </c>
      <c r="F186" t="s">
        <v>286</v>
      </c>
      <c r="G186" t="str">
        <f>_xlfn.XLOOKUP(Table4[[#This Row],[Code]],'DB - Identities'!G:G,'DB - Identities'!B:B,"Not Used")</f>
        <v>STAVIAN CHEMICAL JOINT STOCK COMPANY</v>
      </c>
      <c r="H186" s="92" t="s">
        <v>658</v>
      </c>
    </row>
    <row r="187" spans="1:8" ht="17">
      <c r="A187" s="103" t="s">
        <v>672</v>
      </c>
      <c r="B187" s="92" t="s">
        <v>143</v>
      </c>
      <c r="C187" s="92" t="s">
        <v>656</v>
      </c>
      <c r="D187" t="s">
        <v>446</v>
      </c>
      <c r="E187" s="144">
        <v>1</v>
      </c>
      <c r="F187" t="s">
        <v>673</v>
      </c>
      <c r="G187" t="str">
        <f>_xlfn.XLOOKUP(Table4[[#This Row],[Code]],'DB - Identities'!G:G,'DB - Identities'!B:B,"Not Used")</f>
        <v>CHEMTECH CO.LTD</v>
      </c>
      <c r="H187" s="92" t="s">
        <v>658</v>
      </c>
    </row>
    <row r="188" spans="1:8" ht="17">
      <c r="A188" s="103" t="s">
        <v>674</v>
      </c>
      <c r="B188" s="92" t="s">
        <v>143</v>
      </c>
      <c r="C188" s="92" t="s">
        <v>656</v>
      </c>
      <c r="D188" t="s">
        <v>446</v>
      </c>
      <c r="E188" s="144">
        <v>1</v>
      </c>
      <c r="F188" t="s">
        <v>675</v>
      </c>
      <c r="G188" t="str">
        <f>_xlfn.XLOOKUP(Table4[[#This Row],[Code]],'DB - Identities'!G:G,'DB - Identities'!B:B,"Not Used")</f>
        <v>Thailand Anthracite Company Limited</v>
      </c>
      <c r="H188" s="92" t="s">
        <v>658</v>
      </c>
    </row>
    <row r="189" spans="1:8" ht="17">
      <c r="A189" s="103" t="s">
        <v>676</v>
      </c>
      <c r="B189" s="92" t="s">
        <v>143</v>
      </c>
      <c r="C189" s="92" t="s">
        <v>656</v>
      </c>
      <c r="D189" t="s">
        <v>677</v>
      </c>
      <c r="E189" s="144">
        <v>1</v>
      </c>
      <c r="G189" t="str">
        <f>_xlfn.XLOOKUP(Table4[[#This Row],[Code]],'DB - Identities'!G:G,'DB - Identities'!B:B,"Not Used")</f>
        <v>Not Used</v>
      </c>
      <c r="H189" s="92" t="s">
        <v>658</v>
      </c>
    </row>
    <row r="190" spans="1:8" ht="17">
      <c r="A190" s="103" t="s">
        <v>678</v>
      </c>
      <c r="B190" s="92" t="s">
        <v>143</v>
      </c>
      <c r="C190" s="92" t="s">
        <v>656</v>
      </c>
      <c r="D190" t="s">
        <v>677</v>
      </c>
      <c r="E190" s="144">
        <v>1</v>
      </c>
      <c r="G190" t="str">
        <f>_xlfn.XLOOKUP(Table4[[#This Row],[Code]],'DB - Identities'!G:G,'DB - Identities'!B:B,"Not Used")</f>
        <v>Not Used</v>
      </c>
      <c r="H190" s="92" t="s">
        <v>658</v>
      </c>
    </row>
    <row r="191" spans="1:8" ht="17">
      <c r="A191" s="103" t="s">
        <v>679</v>
      </c>
      <c r="B191" s="92" t="s">
        <v>143</v>
      </c>
      <c r="C191" s="92" t="s">
        <v>656</v>
      </c>
      <c r="D191" t="s">
        <v>677</v>
      </c>
      <c r="E191" s="144">
        <v>1</v>
      </c>
      <c r="G191" t="str">
        <f>_xlfn.XLOOKUP(Table4[[#This Row],[Code]],'DB - Identities'!G:G,'DB - Identities'!B:B,"Not Used")</f>
        <v>Not Used</v>
      </c>
      <c r="H191" s="92" t="s">
        <v>658</v>
      </c>
    </row>
    <row r="192" spans="1:8" ht="17">
      <c r="A192" s="103" t="s">
        <v>680</v>
      </c>
      <c r="B192" s="92" t="s">
        <v>143</v>
      </c>
      <c r="C192" s="92" t="s">
        <v>656</v>
      </c>
      <c r="D192" t="s">
        <v>677</v>
      </c>
      <c r="E192" s="144">
        <v>1</v>
      </c>
      <c r="G192" t="str">
        <f>_xlfn.XLOOKUP(Table4[[#This Row],[Code]],'DB - Identities'!G:G,'DB - Identities'!B:B,"Not Used")</f>
        <v>Not Used</v>
      </c>
      <c r="H192" s="92" t="s">
        <v>658</v>
      </c>
    </row>
    <row r="193" spans="1:8" ht="17">
      <c r="A193" s="103" t="s">
        <v>681</v>
      </c>
      <c r="B193" s="92" t="s">
        <v>143</v>
      </c>
      <c r="C193" s="92" t="s">
        <v>656</v>
      </c>
      <c r="D193" t="s">
        <v>677</v>
      </c>
      <c r="E193" s="144">
        <v>1</v>
      </c>
      <c r="G193" t="str">
        <f>_xlfn.XLOOKUP(Table4[[#This Row],[Code]],'DB - Identities'!G:G,'DB - Identities'!B:B,"Not Used")</f>
        <v>Not Used</v>
      </c>
      <c r="H193" s="92" t="s">
        <v>658</v>
      </c>
    </row>
    <row r="194" spans="1:8" ht="17">
      <c r="A194" s="103" t="s">
        <v>682</v>
      </c>
      <c r="B194" s="92" t="s">
        <v>143</v>
      </c>
      <c r="C194" s="92" t="s">
        <v>656</v>
      </c>
      <c r="D194" t="s">
        <v>677</v>
      </c>
      <c r="E194" s="144">
        <v>1</v>
      </c>
      <c r="G194" t="str">
        <f>_xlfn.XLOOKUP(Table4[[#This Row],[Code]],'DB - Identities'!G:G,'DB - Identities'!B:B,"Not Used")</f>
        <v>Not Used</v>
      </c>
      <c r="H194" s="92" t="s">
        <v>658</v>
      </c>
    </row>
    <row r="195" spans="1:8" ht="17">
      <c r="A195" s="103" t="s">
        <v>683</v>
      </c>
      <c r="B195" s="92" t="s">
        <v>143</v>
      </c>
      <c r="C195" s="92" t="s">
        <v>656</v>
      </c>
      <c r="D195" t="s">
        <v>677</v>
      </c>
      <c r="E195" s="144">
        <v>1</v>
      </c>
      <c r="G195" t="str">
        <f>_xlfn.XLOOKUP(Table4[[#This Row],[Code]],'DB - Identities'!G:G,'DB - Identities'!B:B,"Not Used")</f>
        <v>Not Used</v>
      </c>
      <c r="H195" s="92" t="s">
        <v>658</v>
      </c>
    </row>
    <row r="196" spans="1:8" ht="17">
      <c r="A196" s="103" t="s">
        <v>684</v>
      </c>
      <c r="B196" s="92" t="s">
        <v>143</v>
      </c>
      <c r="C196" s="92" t="s">
        <v>656</v>
      </c>
      <c r="D196" t="s">
        <v>677</v>
      </c>
      <c r="E196" s="144">
        <v>1</v>
      </c>
      <c r="G196" t="str">
        <f>_xlfn.XLOOKUP(Table4[[#This Row],[Code]],'DB - Identities'!G:G,'DB - Identities'!B:B,"Not Used")</f>
        <v>Not Used</v>
      </c>
      <c r="H196" s="92" t="s">
        <v>658</v>
      </c>
    </row>
    <row r="197" spans="1:8" ht="17">
      <c r="A197" s="103" t="s">
        <v>685</v>
      </c>
      <c r="B197" s="92" t="s">
        <v>143</v>
      </c>
      <c r="C197" s="92" t="s">
        <v>656</v>
      </c>
      <c r="D197" t="s">
        <v>677</v>
      </c>
      <c r="E197" s="144">
        <v>1</v>
      </c>
      <c r="G197" t="str">
        <f>_xlfn.XLOOKUP(Table4[[#This Row],[Code]],'DB - Identities'!G:G,'DB - Identities'!B:B,"Not Used")</f>
        <v>Not Used</v>
      </c>
      <c r="H197" s="92" t="s">
        <v>658</v>
      </c>
    </row>
    <row r="198" spans="1:8" ht="17">
      <c r="A198" s="103" t="s">
        <v>686</v>
      </c>
      <c r="B198" s="92" t="s">
        <v>143</v>
      </c>
      <c r="C198" s="92" t="s">
        <v>656</v>
      </c>
      <c r="D198" t="s">
        <v>677</v>
      </c>
      <c r="E198" s="144">
        <v>1</v>
      </c>
      <c r="G198" t="str">
        <f>_xlfn.XLOOKUP(Table4[[#This Row],[Code]],'DB - Identities'!G:G,'DB - Identities'!B:B,"Not Used")</f>
        <v>Not Used</v>
      </c>
      <c r="H198" s="92" t="s">
        <v>658</v>
      </c>
    </row>
    <row r="199" spans="1:8" ht="34">
      <c r="A199" s="103" t="s">
        <v>687</v>
      </c>
      <c r="B199" s="92" t="s">
        <v>143</v>
      </c>
      <c r="C199" s="92" t="s">
        <v>688</v>
      </c>
      <c r="D199" t="s">
        <v>446</v>
      </c>
      <c r="E199" s="144">
        <v>1</v>
      </c>
      <c r="F199" t="s">
        <v>689</v>
      </c>
      <c r="G199" t="str">
        <f>_xlfn.XLOOKUP(Table4[[#This Row],[Code]],'DB - Identities'!G:G,'DB - Identities'!B:B,"Not Used")</f>
        <v>PT Arista Latindo</v>
      </c>
      <c r="H199" s="92" t="s">
        <v>690</v>
      </c>
    </row>
    <row r="200" spans="1:8" ht="34">
      <c r="A200" s="103" t="s">
        <v>691</v>
      </c>
      <c r="B200" s="92" t="s">
        <v>143</v>
      </c>
      <c r="C200" s="92" t="s">
        <v>688</v>
      </c>
      <c r="D200" t="s">
        <v>446</v>
      </c>
      <c r="E200" s="144">
        <v>1</v>
      </c>
      <c r="F200" t="s">
        <v>330</v>
      </c>
      <c r="G200" t="str">
        <f>_xlfn.XLOOKUP(Table4[[#This Row],[Code]],'DB - Identities'!G:G,'DB - Identities'!B:B,"Not Used")</f>
        <v>PT Chandra Asri Petrochemical Tbk</v>
      </c>
      <c r="H200" s="92" t="s">
        <v>690</v>
      </c>
    </row>
    <row r="201" spans="1:8" ht="34">
      <c r="A201" s="103" t="s">
        <v>692</v>
      </c>
      <c r="B201" s="92" t="s">
        <v>143</v>
      </c>
      <c r="C201" s="92" t="s">
        <v>688</v>
      </c>
      <c r="D201" t="s">
        <v>677</v>
      </c>
      <c r="E201" s="144">
        <v>1</v>
      </c>
      <c r="G201" t="str">
        <f>_xlfn.XLOOKUP(Table4[[#This Row],[Code]],'DB - Identities'!G:G,'DB - Identities'!B:B,"Not Used")</f>
        <v>Not Used</v>
      </c>
      <c r="H201" s="92" t="s">
        <v>690</v>
      </c>
    </row>
    <row r="202" spans="1:8" ht="34">
      <c r="A202" s="103" t="s">
        <v>693</v>
      </c>
      <c r="B202" s="92" t="s">
        <v>143</v>
      </c>
      <c r="C202" s="92" t="s">
        <v>688</v>
      </c>
      <c r="D202" t="s">
        <v>677</v>
      </c>
      <c r="E202" s="144">
        <v>1</v>
      </c>
      <c r="G202" t="str">
        <f>_xlfn.XLOOKUP(Table4[[#This Row],[Code]],'DB - Identities'!G:G,'DB - Identities'!B:B,"Not Used")</f>
        <v>Not Used</v>
      </c>
      <c r="H202" s="92" t="s">
        <v>690</v>
      </c>
    </row>
    <row r="203" spans="1:8" ht="34">
      <c r="A203" s="103" t="s">
        <v>694</v>
      </c>
      <c r="B203" s="92" t="s">
        <v>143</v>
      </c>
      <c r="C203" s="92" t="s">
        <v>688</v>
      </c>
      <c r="D203" t="s">
        <v>677</v>
      </c>
      <c r="E203" s="144">
        <v>1</v>
      </c>
      <c r="G203" t="str">
        <f>_xlfn.XLOOKUP(Table4[[#This Row],[Code]],'DB - Identities'!G:G,'DB - Identities'!B:B,"Not Used")</f>
        <v>Not Used</v>
      </c>
      <c r="H203" s="92" t="s">
        <v>690</v>
      </c>
    </row>
    <row r="204" spans="1:8" ht="17">
      <c r="A204" s="103" t="s">
        <v>695</v>
      </c>
      <c r="B204" s="92" t="s">
        <v>696</v>
      </c>
      <c r="C204" s="92" t="s">
        <v>656</v>
      </c>
      <c r="D204" t="s">
        <v>446</v>
      </c>
      <c r="E204" s="144">
        <v>1</v>
      </c>
      <c r="F204" t="s">
        <v>697</v>
      </c>
      <c r="G204" t="str">
        <f>_xlfn.XLOOKUP(Table4[[#This Row],[Code]],'DB - Identities'!G:G,'DB - Identities'!B:B,"Not Used")</f>
        <v>THAI ACRYLIC FIBRE CO. LTD.</v>
      </c>
      <c r="H204" s="92" t="s">
        <v>566</v>
      </c>
    </row>
    <row r="205" spans="1:8" ht="17">
      <c r="A205" s="103" t="s">
        <v>698</v>
      </c>
      <c r="B205" s="92" t="s">
        <v>696</v>
      </c>
      <c r="C205" s="92" t="s">
        <v>656</v>
      </c>
      <c r="D205" t="s">
        <v>446</v>
      </c>
      <c r="E205" s="144">
        <v>1</v>
      </c>
      <c r="F205" t="s">
        <v>699</v>
      </c>
      <c r="G205" t="str">
        <f>_xlfn.XLOOKUP(Table4[[#This Row],[Code]],'DB - Identities'!G:G,'DB - Identities'!B:B,"Not Used")</f>
        <v>LONGTEX RUBBER INDUSTRY CO.,LTD.</v>
      </c>
      <c r="H205" s="92" t="s">
        <v>566</v>
      </c>
    </row>
    <row r="206" spans="1:8" ht="17">
      <c r="A206" s="103" t="s">
        <v>700</v>
      </c>
      <c r="B206" s="92" t="s">
        <v>696</v>
      </c>
      <c r="C206" s="92" t="s">
        <v>656</v>
      </c>
      <c r="D206" t="s">
        <v>565</v>
      </c>
      <c r="E206" s="144">
        <v>1</v>
      </c>
      <c r="G206" t="str">
        <f>_xlfn.XLOOKUP(Table4[[#This Row],[Code]],'DB - Identities'!G:G,'DB - Identities'!B:B,"Not Used")</f>
        <v>Not Used</v>
      </c>
      <c r="H206" s="92" t="s">
        <v>566</v>
      </c>
    </row>
    <row r="207" spans="1:8" ht="17">
      <c r="A207" s="103" t="s">
        <v>701</v>
      </c>
      <c r="B207" s="92" t="s">
        <v>696</v>
      </c>
      <c r="C207" s="92" t="s">
        <v>656</v>
      </c>
      <c r="D207" t="s">
        <v>565</v>
      </c>
      <c r="E207" s="144">
        <v>1</v>
      </c>
      <c r="G207" t="str">
        <f>_xlfn.XLOOKUP(Table4[[#This Row],[Code]],'DB - Identities'!G:G,'DB - Identities'!B:B,"Not Used")</f>
        <v>Not Used</v>
      </c>
      <c r="H207" s="92" t="s">
        <v>566</v>
      </c>
    </row>
    <row r="208" spans="1:8" ht="17">
      <c r="A208" s="103" t="s">
        <v>702</v>
      </c>
      <c r="B208" s="92" t="s">
        <v>696</v>
      </c>
      <c r="C208" s="92" t="s">
        <v>656</v>
      </c>
      <c r="D208" t="s">
        <v>565</v>
      </c>
      <c r="E208" s="144">
        <v>1</v>
      </c>
      <c r="G208" t="str">
        <f>_xlfn.XLOOKUP(Table4[[#This Row],[Code]],'DB - Identities'!G:G,'DB - Identities'!B:B,"Not Used")</f>
        <v>Not Used</v>
      </c>
      <c r="H208" s="92" t="s">
        <v>566</v>
      </c>
    </row>
    <row r="209" spans="1:8" ht="17">
      <c r="A209" s="103" t="s">
        <v>703</v>
      </c>
      <c r="B209" s="92" t="s">
        <v>696</v>
      </c>
      <c r="C209" s="92" t="s">
        <v>656</v>
      </c>
      <c r="D209" t="s">
        <v>565</v>
      </c>
      <c r="E209" s="144">
        <v>1</v>
      </c>
      <c r="G209" t="str">
        <f>_xlfn.XLOOKUP(Table4[[#This Row],[Code]],'DB - Identities'!G:G,'DB - Identities'!B:B,"Not Used")</f>
        <v>Not Used</v>
      </c>
      <c r="H209" s="92" t="s">
        <v>566</v>
      </c>
    </row>
    <row r="210" spans="1:8" ht="17">
      <c r="A210" s="103" t="s">
        <v>704</v>
      </c>
      <c r="B210" s="92" t="s">
        <v>696</v>
      </c>
      <c r="C210" s="92" t="s">
        <v>656</v>
      </c>
      <c r="D210" t="s">
        <v>565</v>
      </c>
      <c r="E210" s="144">
        <v>1</v>
      </c>
      <c r="G210" t="str">
        <f>_xlfn.XLOOKUP(Table4[[#This Row],[Code]],'DB - Identities'!G:G,'DB - Identities'!B:B,"Not Used")</f>
        <v>Not Used</v>
      </c>
      <c r="H210" s="92" t="s">
        <v>566</v>
      </c>
    </row>
    <row r="211" spans="1:8" ht="17">
      <c r="A211" s="103" t="s">
        <v>705</v>
      </c>
      <c r="B211" s="92" t="s">
        <v>696</v>
      </c>
      <c r="C211" s="92" t="s">
        <v>656</v>
      </c>
      <c r="D211" t="s">
        <v>565</v>
      </c>
      <c r="E211" s="144">
        <v>1</v>
      </c>
      <c r="G211" t="str">
        <f>_xlfn.XLOOKUP(Table4[[#This Row],[Code]],'DB - Identities'!G:G,'DB - Identities'!B:B,"Not Used")</f>
        <v>Not Used</v>
      </c>
      <c r="H211" s="92" t="s">
        <v>566</v>
      </c>
    </row>
    <row r="212" spans="1:8" ht="17">
      <c r="A212" s="103" t="s">
        <v>706</v>
      </c>
      <c r="B212" s="92" t="s">
        <v>696</v>
      </c>
      <c r="C212" s="92" t="s">
        <v>656</v>
      </c>
      <c r="D212" t="s">
        <v>565</v>
      </c>
      <c r="E212" s="144">
        <v>1</v>
      </c>
      <c r="G212" t="str">
        <f>_xlfn.XLOOKUP(Table4[[#This Row],[Code]],'DB - Identities'!G:G,'DB - Identities'!B:B,"Not Used")</f>
        <v>Not Used</v>
      </c>
      <c r="H212" s="92" t="s">
        <v>566</v>
      </c>
    </row>
    <row r="213" spans="1:8" ht="17">
      <c r="A213" s="103" t="s">
        <v>707</v>
      </c>
      <c r="B213" s="92" t="s">
        <v>696</v>
      </c>
      <c r="C213" s="92" t="s">
        <v>656</v>
      </c>
      <c r="D213" t="s">
        <v>565</v>
      </c>
      <c r="E213" s="144">
        <v>1</v>
      </c>
      <c r="G213" t="str">
        <f>_xlfn.XLOOKUP(Table4[[#This Row],[Code]],'DB - Identities'!G:G,'DB - Identities'!B:B,"Not Used")</f>
        <v>Not Used</v>
      </c>
      <c r="H213" s="92" t="s">
        <v>566</v>
      </c>
    </row>
    <row r="214" spans="1:8" ht="17">
      <c r="A214" s="103" t="s">
        <v>708</v>
      </c>
      <c r="B214" s="92" t="s">
        <v>696</v>
      </c>
      <c r="C214" s="92" t="s">
        <v>656</v>
      </c>
      <c r="D214" t="s">
        <v>565</v>
      </c>
      <c r="E214" s="144">
        <v>1</v>
      </c>
      <c r="G214" t="str">
        <f>_xlfn.XLOOKUP(Table4[[#This Row],[Code]],'DB - Identities'!G:G,'DB - Identities'!B:B,"Not Used")</f>
        <v>Not Used</v>
      </c>
      <c r="H214" s="92" t="s">
        <v>566</v>
      </c>
    </row>
    <row r="215" spans="1:8" ht="17">
      <c r="A215" s="103" t="s">
        <v>709</v>
      </c>
      <c r="B215" s="92" t="s">
        <v>696</v>
      </c>
      <c r="C215" s="92" t="s">
        <v>656</v>
      </c>
      <c r="D215" t="s">
        <v>565</v>
      </c>
      <c r="E215" s="144">
        <v>1</v>
      </c>
      <c r="G215" t="str">
        <f>_xlfn.XLOOKUP(Table4[[#This Row],[Code]],'DB - Identities'!G:G,'DB - Identities'!B:B,"Not Used")</f>
        <v>Not Used</v>
      </c>
      <c r="H215" s="92" t="s">
        <v>566</v>
      </c>
    </row>
    <row r="216" spans="1:8" ht="17">
      <c r="A216" s="103" t="s">
        <v>710</v>
      </c>
      <c r="B216" s="92" t="s">
        <v>696</v>
      </c>
      <c r="C216" s="92" t="s">
        <v>656</v>
      </c>
      <c r="D216" t="s">
        <v>565</v>
      </c>
      <c r="E216" s="144">
        <v>1</v>
      </c>
      <c r="G216" t="str">
        <f>_xlfn.XLOOKUP(Table4[[#This Row],[Code]],'DB - Identities'!G:G,'DB - Identities'!B:B,"Not Used")</f>
        <v>Not Used</v>
      </c>
      <c r="H216" s="92" t="s">
        <v>566</v>
      </c>
    </row>
    <row r="217" spans="1:8" ht="17">
      <c r="A217" s="103" t="s">
        <v>711</v>
      </c>
      <c r="B217" s="92" t="s">
        <v>696</v>
      </c>
      <c r="C217" s="92" t="s">
        <v>656</v>
      </c>
      <c r="D217" t="s">
        <v>565</v>
      </c>
      <c r="E217" s="144">
        <v>1</v>
      </c>
      <c r="G217" t="str">
        <f>_xlfn.XLOOKUP(Table4[[#This Row],[Code]],'DB - Identities'!G:G,'DB - Identities'!B:B,"Not Used")</f>
        <v>Not Used</v>
      </c>
      <c r="H217" s="92" t="s">
        <v>566</v>
      </c>
    </row>
    <row r="218" spans="1:8" ht="17">
      <c r="A218" s="103" t="s">
        <v>712</v>
      </c>
      <c r="B218" s="92" t="s">
        <v>696</v>
      </c>
      <c r="C218" s="92" t="s">
        <v>656</v>
      </c>
      <c r="D218" t="s">
        <v>565</v>
      </c>
      <c r="E218" s="144">
        <v>1</v>
      </c>
      <c r="G218" t="str">
        <f>_xlfn.XLOOKUP(Table4[[#This Row],[Code]],'DB - Identities'!G:G,'DB - Identities'!B:B,"Not Used")</f>
        <v>Not Used</v>
      </c>
      <c r="H218" s="92" t="s">
        <v>566</v>
      </c>
    </row>
    <row r="219" spans="1:8" ht="17">
      <c r="A219" s="103" t="s">
        <v>713</v>
      </c>
      <c r="B219" s="92" t="s">
        <v>696</v>
      </c>
      <c r="C219" s="92" t="s">
        <v>656</v>
      </c>
      <c r="D219" t="s">
        <v>565</v>
      </c>
      <c r="E219" s="144">
        <v>1</v>
      </c>
      <c r="G219" t="str">
        <f>_xlfn.XLOOKUP(Table4[[#This Row],[Code]],'DB - Identities'!G:G,'DB - Identities'!B:B,"Not Used")</f>
        <v>Not Used</v>
      </c>
      <c r="H219" s="92" t="s">
        <v>566</v>
      </c>
    </row>
    <row r="220" spans="1:8" ht="17">
      <c r="A220" s="103" t="s">
        <v>714</v>
      </c>
      <c r="B220" s="92" t="s">
        <v>696</v>
      </c>
      <c r="C220" s="92" t="s">
        <v>656</v>
      </c>
      <c r="D220" t="s">
        <v>565</v>
      </c>
      <c r="E220" s="144">
        <v>1</v>
      </c>
      <c r="G220" t="str">
        <f>_xlfn.XLOOKUP(Table4[[#This Row],[Code]],'DB - Identities'!G:G,'DB - Identities'!B:B,"Not Used")</f>
        <v>Not Used</v>
      </c>
      <c r="H220" s="92" t="s">
        <v>566</v>
      </c>
    </row>
    <row r="221" spans="1:8" ht="17">
      <c r="A221" s="103" t="s">
        <v>715</v>
      </c>
      <c r="B221" s="92" t="s">
        <v>696</v>
      </c>
      <c r="C221" s="92" t="s">
        <v>656</v>
      </c>
      <c r="D221" t="s">
        <v>565</v>
      </c>
      <c r="E221" s="144">
        <v>1</v>
      </c>
      <c r="G221" t="str">
        <f>_xlfn.XLOOKUP(Table4[[#This Row],[Code]],'DB - Identities'!G:G,'DB - Identities'!B:B,"Not Used")</f>
        <v>Not Used</v>
      </c>
      <c r="H221" s="92" t="s">
        <v>566</v>
      </c>
    </row>
    <row r="222" spans="1:8" ht="17">
      <c r="A222" s="103" t="s">
        <v>716</v>
      </c>
      <c r="B222" s="92" t="s">
        <v>696</v>
      </c>
      <c r="C222" s="92" t="s">
        <v>656</v>
      </c>
      <c r="D222" t="s">
        <v>565</v>
      </c>
      <c r="E222" s="144">
        <v>1</v>
      </c>
      <c r="G222" t="str">
        <f>_xlfn.XLOOKUP(Table4[[#This Row],[Code]],'DB - Identities'!G:G,'DB - Identities'!B:B,"Not Used")</f>
        <v>Not Used</v>
      </c>
      <c r="H222" s="92" t="s">
        <v>566</v>
      </c>
    </row>
    <row r="223" spans="1:8" ht="17">
      <c r="A223" s="103" t="s">
        <v>717</v>
      </c>
      <c r="B223" s="92" t="s">
        <v>696</v>
      </c>
      <c r="C223" s="92" t="s">
        <v>656</v>
      </c>
      <c r="D223" t="s">
        <v>565</v>
      </c>
      <c r="E223" s="144">
        <v>1</v>
      </c>
      <c r="G223" t="str">
        <f>_xlfn.XLOOKUP(Table4[[#This Row],[Code]],'DB - Identities'!G:G,'DB - Identities'!B:B,"Not Used")</f>
        <v>Not Used</v>
      </c>
      <c r="H223" s="92" t="s">
        <v>566</v>
      </c>
    </row>
    <row r="224" spans="1:8" ht="17">
      <c r="A224" s="103" t="s">
        <v>718</v>
      </c>
      <c r="B224" s="92" t="s">
        <v>143</v>
      </c>
      <c r="C224" s="92" t="s">
        <v>719</v>
      </c>
      <c r="D224" t="s">
        <v>446</v>
      </c>
      <c r="E224" s="144">
        <v>1</v>
      </c>
      <c r="F224" t="s">
        <v>720</v>
      </c>
      <c r="G224" t="str">
        <f>_xlfn.XLOOKUP(Table4[[#This Row],[Code]],'DB - Identities'!G:G,'DB - Identities'!B:B,"Not Used")</f>
        <v>Not Used</v>
      </c>
      <c r="H224" s="92" t="s">
        <v>721</v>
      </c>
    </row>
    <row r="225" spans="1:9" ht="17">
      <c r="A225" s="103" t="s">
        <v>722</v>
      </c>
      <c r="B225" s="92" t="s">
        <v>143</v>
      </c>
      <c r="C225" s="92" t="s">
        <v>719</v>
      </c>
      <c r="D225" t="s">
        <v>446</v>
      </c>
      <c r="E225" s="144">
        <v>1</v>
      </c>
      <c r="F225" t="s">
        <v>723</v>
      </c>
      <c r="G225" t="str">
        <f>_xlfn.XLOOKUP(Table4[[#This Row],[Code]],'DB - Identities'!G:G,'DB - Identities'!B:B,"Not Used")</f>
        <v>Not Used</v>
      </c>
      <c r="H225" s="92" t="s">
        <v>721</v>
      </c>
    </row>
    <row r="226" spans="1:9" ht="17">
      <c r="A226" s="103" t="s">
        <v>724</v>
      </c>
      <c r="B226" s="92" t="s">
        <v>143</v>
      </c>
      <c r="C226" s="92" t="s">
        <v>719</v>
      </c>
      <c r="D226" t="s">
        <v>446</v>
      </c>
      <c r="E226" s="144">
        <v>1</v>
      </c>
      <c r="F226" t="s">
        <v>725</v>
      </c>
      <c r="G226" t="str">
        <f>_xlfn.XLOOKUP(Table4[[#This Row],[Code]],'DB - Identities'!G:G,'DB - Identities'!B:B,"Not Used")</f>
        <v>Not Used</v>
      </c>
      <c r="H226" s="92" t="s">
        <v>721</v>
      </c>
    </row>
    <row r="227" spans="1:9" ht="17">
      <c r="A227" s="103" t="s">
        <v>726</v>
      </c>
      <c r="B227" s="92" t="s">
        <v>143</v>
      </c>
      <c r="C227" s="92" t="s">
        <v>719</v>
      </c>
      <c r="D227" t="s">
        <v>446</v>
      </c>
      <c r="E227" s="144">
        <v>1</v>
      </c>
      <c r="F227" t="s">
        <v>727</v>
      </c>
      <c r="G227" t="str">
        <f>_xlfn.XLOOKUP(Table4[[#This Row],[Code]],'DB - Identities'!G:G,'DB - Identities'!B:B,"Not Used")</f>
        <v>Not Used</v>
      </c>
      <c r="H227" s="92" t="s">
        <v>721</v>
      </c>
    </row>
    <row r="228" spans="1:9" ht="17">
      <c r="A228" s="103" t="s">
        <v>728</v>
      </c>
      <c r="B228" s="92" t="s">
        <v>143</v>
      </c>
      <c r="C228" s="92" t="s">
        <v>719</v>
      </c>
      <c r="D228" t="s">
        <v>446</v>
      </c>
      <c r="E228" s="144">
        <v>1</v>
      </c>
      <c r="F228" t="s">
        <v>729</v>
      </c>
      <c r="G228" t="str">
        <f>_xlfn.XLOOKUP(Table4[[#This Row],[Code]],'DB - Identities'!G:G,'DB - Identities'!B:B,"Not Used")</f>
        <v>Not Used</v>
      </c>
      <c r="H228" s="92" t="s">
        <v>721</v>
      </c>
    </row>
    <row r="229" spans="1:9" ht="17">
      <c r="A229" s="103" t="s">
        <v>730</v>
      </c>
      <c r="B229" s="92" t="s">
        <v>143</v>
      </c>
      <c r="C229" s="92" t="s">
        <v>731</v>
      </c>
      <c r="D229" t="s">
        <v>677</v>
      </c>
      <c r="E229" s="144">
        <v>1</v>
      </c>
      <c r="G229" t="str">
        <f>_xlfn.XLOOKUP(Table4[[#This Row],[Code]],'DB - Identities'!G:G,'DB - Identities'!B:B,"Not Used")</f>
        <v>Not Used</v>
      </c>
      <c r="H229" s="92" t="s">
        <v>732</v>
      </c>
    </row>
    <row r="230" spans="1:9" ht="17">
      <c r="A230" s="103" t="s">
        <v>733</v>
      </c>
      <c r="B230" s="92" t="s">
        <v>143</v>
      </c>
      <c r="C230" s="92" t="s">
        <v>731</v>
      </c>
      <c r="D230" t="s">
        <v>677</v>
      </c>
      <c r="E230" s="144">
        <v>1</v>
      </c>
      <c r="G230" t="str">
        <f>_xlfn.XLOOKUP(Table4[[#This Row],[Code]],'DB - Identities'!G:G,'DB - Identities'!B:B,"Not Used")</f>
        <v>Not Used</v>
      </c>
      <c r="H230" s="92" t="s">
        <v>732</v>
      </c>
    </row>
    <row r="231" spans="1:9" ht="17">
      <c r="A231" s="103" t="s">
        <v>734</v>
      </c>
      <c r="B231" s="92" t="s">
        <v>143</v>
      </c>
      <c r="C231" s="92" t="s">
        <v>731</v>
      </c>
      <c r="D231" t="s">
        <v>677</v>
      </c>
      <c r="E231" s="144">
        <v>1</v>
      </c>
      <c r="G231" t="str">
        <f>_xlfn.XLOOKUP(Table4[[#This Row],[Code]],'DB - Identities'!G:G,'DB - Identities'!B:B,"Not Used")</f>
        <v>Not Used</v>
      </c>
      <c r="H231" s="92" t="s">
        <v>732</v>
      </c>
    </row>
    <row r="232" spans="1:9" ht="17">
      <c r="A232" s="103" t="s">
        <v>735</v>
      </c>
      <c r="B232" s="92" t="s">
        <v>143</v>
      </c>
      <c r="C232" s="92" t="s">
        <v>731</v>
      </c>
      <c r="D232" t="s">
        <v>677</v>
      </c>
      <c r="E232" s="144">
        <v>1</v>
      </c>
      <c r="G232" t="str">
        <f>_xlfn.XLOOKUP(Table4[[#This Row],[Code]],'DB - Identities'!G:G,'DB - Identities'!B:B,"Not Used")</f>
        <v>Not Used</v>
      </c>
      <c r="H232" s="92" t="s">
        <v>732</v>
      </c>
    </row>
    <row r="233" spans="1:9" ht="17">
      <c r="A233" s="103" t="s">
        <v>736</v>
      </c>
      <c r="B233" s="92" t="s">
        <v>143</v>
      </c>
      <c r="C233" s="92" t="s">
        <v>731</v>
      </c>
      <c r="D233" t="s">
        <v>677</v>
      </c>
      <c r="E233" s="144">
        <v>1</v>
      </c>
      <c r="G233" t="str">
        <f>_xlfn.XLOOKUP(Table4[[#This Row],[Code]],'DB - Identities'!G:G,'DB - Identities'!B:B,"Not Used")</f>
        <v>Not Used</v>
      </c>
      <c r="H233" s="92" t="s">
        <v>732</v>
      </c>
    </row>
    <row r="234" spans="1:9" ht="17">
      <c r="A234" s="103" t="s">
        <v>737</v>
      </c>
      <c r="B234" s="92" t="s">
        <v>631</v>
      </c>
      <c r="C234" s="92" t="s">
        <v>738</v>
      </c>
      <c r="D234" t="s">
        <v>446</v>
      </c>
      <c r="E234" s="144">
        <v>1</v>
      </c>
      <c r="F234" t="s">
        <v>739</v>
      </c>
      <c r="G234" t="str">
        <f>_xlfn.XLOOKUP(Table4[[#This Row],[Code]],'DB - Identities'!G:G,'DB - Identities'!B:B,"Not Used")</f>
        <v>Not Used</v>
      </c>
      <c r="H234" s="146" t="s">
        <v>740</v>
      </c>
    </row>
    <row r="235" spans="1:9" ht="17">
      <c r="A235" s="103" t="s">
        <v>741</v>
      </c>
      <c r="B235" s="92" t="s">
        <v>631</v>
      </c>
      <c r="C235" s="92" t="s">
        <v>738</v>
      </c>
      <c r="D235" s="147">
        <v>44469</v>
      </c>
      <c r="E235" s="144">
        <v>1</v>
      </c>
      <c r="G235" t="str">
        <f>_xlfn.XLOOKUP(Table4[[#This Row],[Code]],'DB - Identities'!G:G,'DB - Identities'!B:B,"Not Used")</f>
        <v>Not Used</v>
      </c>
      <c r="H235" s="146" t="s">
        <v>740</v>
      </c>
      <c r="I235" s="146"/>
    </row>
    <row r="236" spans="1:9" ht="17">
      <c r="A236" s="103" t="s">
        <v>742</v>
      </c>
      <c r="B236" s="92" t="s">
        <v>631</v>
      </c>
      <c r="C236" s="92" t="s">
        <v>738</v>
      </c>
      <c r="D236" s="147">
        <v>44469</v>
      </c>
      <c r="E236" s="144">
        <v>1</v>
      </c>
      <c r="G236" t="str">
        <f>_xlfn.XLOOKUP(Table4[[#This Row],[Code]],'DB - Identities'!G:G,'DB - Identities'!B:B,"Not Used")</f>
        <v>Not Used</v>
      </c>
      <c r="H236" s="146" t="s">
        <v>740</v>
      </c>
      <c r="I236" s="146"/>
    </row>
    <row r="237" spans="1:9" ht="17">
      <c r="A237" s="103" t="s">
        <v>743</v>
      </c>
      <c r="B237" s="92" t="s">
        <v>631</v>
      </c>
      <c r="C237" s="92" t="s">
        <v>738</v>
      </c>
      <c r="D237" s="147">
        <v>44469</v>
      </c>
      <c r="E237" s="144">
        <v>1</v>
      </c>
      <c r="G237" t="str">
        <f>_xlfn.XLOOKUP(Table4[[#This Row],[Code]],'DB - Identities'!G:G,'DB - Identities'!B:B,"Not Used")</f>
        <v>Not Used</v>
      </c>
      <c r="H237" s="146" t="s">
        <v>740</v>
      </c>
      <c r="I237" s="146"/>
    </row>
    <row r="238" spans="1:9" ht="17">
      <c r="A238" s="103" t="s">
        <v>744</v>
      </c>
      <c r="B238" s="92" t="s">
        <v>631</v>
      </c>
      <c r="C238" s="92" t="s">
        <v>738</v>
      </c>
      <c r="D238" s="147">
        <v>44469</v>
      </c>
      <c r="E238" s="144">
        <v>1</v>
      </c>
      <c r="G238" t="str">
        <f>_xlfn.XLOOKUP(Table4[[#This Row],[Code]],'DB - Identities'!G:G,'DB - Identities'!B:B,"Not Used")</f>
        <v>Not Used</v>
      </c>
      <c r="H238" s="146" t="s">
        <v>740</v>
      </c>
      <c r="I238" s="146"/>
    </row>
    <row r="239" spans="1:9" ht="17">
      <c r="A239" s="103" t="s">
        <v>745</v>
      </c>
      <c r="B239" s="92" t="s">
        <v>631</v>
      </c>
      <c r="C239" s="92" t="s">
        <v>738</v>
      </c>
      <c r="D239" s="147">
        <v>44469</v>
      </c>
      <c r="E239" s="144">
        <v>1</v>
      </c>
      <c r="G239" t="str">
        <f>_xlfn.XLOOKUP(Table4[[#This Row],[Code]],'DB - Identities'!G:G,'DB - Identities'!B:B,"Not Used")</f>
        <v>Not Used</v>
      </c>
      <c r="H239" s="146" t="s">
        <v>740</v>
      </c>
      <c r="I239" s="146"/>
    </row>
    <row r="240" spans="1:9" ht="17">
      <c r="A240" s="103" t="s">
        <v>746</v>
      </c>
      <c r="B240" s="92" t="s">
        <v>631</v>
      </c>
      <c r="C240" s="92" t="s">
        <v>738</v>
      </c>
      <c r="D240" s="147">
        <v>44469</v>
      </c>
      <c r="E240" s="144">
        <v>1</v>
      </c>
      <c r="G240" t="str">
        <f>_xlfn.XLOOKUP(Table4[[#This Row],[Code]],'DB - Identities'!G:G,'DB - Identities'!B:B,"Not Used")</f>
        <v>Not Used</v>
      </c>
      <c r="H240" s="146" t="s">
        <v>740</v>
      </c>
      <c r="I240" s="146"/>
    </row>
    <row r="241" spans="1:9" ht="17">
      <c r="A241" s="103" t="s">
        <v>747</v>
      </c>
      <c r="B241" s="92" t="s">
        <v>631</v>
      </c>
      <c r="C241" s="92" t="s">
        <v>738</v>
      </c>
      <c r="D241" s="147">
        <v>44469</v>
      </c>
      <c r="E241" s="144">
        <v>1</v>
      </c>
      <c r="G241" t="str">
        <f>_xlfn.XLOOKUP(Table4[[#This Row],[Code]],'DB - Identities'!G:G,'DB - Identities'!B:B,"Not Used")</f>
        <v>Not Used</v>
      </c>
      <c r="H241" s="146" t="s">
        <v>740</v>
      </c>
      <c r="I241" s="146"/>
    </row>
    <row r="242" spans="1:9" ht="17">
      <c r="A242" s="103" t="s">
        <v>748</v>
      </c>
      <c r="B242" s="92" t="s">
        <v>631</v>
      </c>
      <c r="C242" s="92" t="s">
        <v>738</v>
      </c>
      <c r="D242" s="147">
        <v>44469</v>
      </c>
      <c r="E242" s="144">
        <v>1</v>
      </c>
      <c r="G242" t="str">
        <f>_xlfn.XLOOKUP(Table4[[#This Row],[Code]],'DB - Identities'!G:G,'DB - Identities'!B:B,"Not Used")</f>
        <v>Not Used</v>
      </c>
      <c r="H242" s="146" t="s">
        <v>740</v>
      </c>
      <c r="I242" s="146"/>
    </row>
    <row r="243" spans="1:9" ht="17">
      <c r="A243" s="103" t="s">
        <v>749</v>
      </c>
      <c r="B243" s="92" t="s">
        <v>631</v>
      </c>
      <c r="C243" s="92" t="s">
        <v>738</v>
      </c>
      <c r="D243" s="147">
        <v>44469</v>
      </c>
      <c r="E243" s="144">
        <v>1</v>
      </c>
      <c r="G243" t="str">
        <f>_xlfn.XLOOKUP(Table4[[#This Row],[Code]],'DB - Identities'!G:G,'DB - Identities'!B:B,"Not Used")</f>
        <v>Not Used</v>
      </c>
      <c r="H243" s="146" t="s">
        <v>740</v>
      </c>
      <c r="I243" s="146"/>
    </row>
    <row r="244" spans="1:9" ht="17">
      <c r="A244" s="103" t="s">
        <v>750</v>
      </c>
      <c r="B244" s="92" t="s">
        <v>631</v>
      </c>
      <c r="C244" s="92" t="s">
        <v>738</v>
      </c>
      <c r="D244" s="147">
        <v>44469</v>
      </c>
      <c r="E244" s="144">
        <v>1</v>
      </c>
      <c r="G244" t="str">
        <f>_xlfn.XLOOKUP(Table4[[#This Row],[Code]],'DB - Identities'!G:G,'DB - Identities'!B:B,"Not Used")</f>
        <v>Not Used</v>
      </c>
      <c r="H244" s="146" t="s">
        <v>740</v>
      </c>
      <c r="I244" s="146"/>
    </row>
    <row r="245" spans="1:9" ht="17">
      <c r="A245" s="103" t="s">
        <v>751</v>
      </c>
      <c r="B245" s="92" t="s">
        <v>631</v>
      </c>
      <c r="C245" s="92" t="s">
        <v>738</v>
      </c>
      <c r="D245" s="147">
        <v>44469</v>
      </c>
      <c r="E245" s="144">
        <v>1</v>
      </c>
      <c r="G245" t="str">
        <f>_xlfn.XLOOKUP(Table4[[#This Row],[Code]],'DB - Identities'!G:G,'DB - Identities'!B:B,"Not Used")</f>
        <v>Not Used</v>
      </c>
      <c r="H245" s="146" t="s">
        <v>740</v>
      </c>
      <c r="I245" s="146"/>
    </row>
    <row r="246" spans="1:9" ht="17">
      <c r="A246" s="103" t="s">
        <v>752</v>
      </c>
      <c r="B246" s="92" t="s">
        <v>631</v>
      </c>
      <c r="C246" s="92" t="s">
        <v>738</v>
      </c>
      <c r="D246" s="147">
        <v>44469</v>
      </c>
      <c r="E246" s="144">
        <v>1</v>
      </c>
      <c r="G246" t="str">
        <f>_xlfn.XLOOKUP(Table4[[#This Row],[Code]],'DB - Identities'!G:G,'DB - Identities'!B:B,"Not Used")</f>
        <v>Not Used</v>
      </c>
      <c r="H246" s="146" t="s">
        <v>740</v>
      </c>
      <c r="I246" s="146"/>
    </row>
    <row r="247" spans="1:9" ht="17">
      <c r="A247" s="103" t="s">
        <v>753</v>
      </c>
      <c r="B247" s="92" t="s">
        <v>631</v>
      </c>
      <c r="C247" s="92" t="s">
        <v>738</v>
      </c>
      <c r="D247" s="147">
        <v>44469</v>
      </c>
      <c r="E247" s="144">
        <v>1</v>
      </c>
      <c r="G247" t="str">
        <f>_xlfn.XLOOKUP(Table4[[#This Row],[Code]],'DB - Identities'!G:G,'DB - Identities'!B:B,"Not Used")</f>
        <v>Not Used</v>
      </c>
      <c r="H247" s="146" t="s">
        <v>740</v>
      </c>
      <c r="I247" s="146"/>
    </row>
    <row r="248" spans="1:9" ht="17">
      <c r="A248" s="103" t="s">
        <v>754</v>
      </c>
      <c r="B248" s="92" t="s">
        <v>631</v>
      </c>
      <c r="C248" s="92" t="s">
        <v>738</v>
      </c>
      <c r="D248" s="147">
        <v>44469</v>
      </c>
      <c r="E248" s="144">
        <v>1</v>
      </c>
      <c r="G248" t="str">
        <f>_xlfn.XLOOKUP(Table4[[#This Row],[Code]],'DB - Identities'!G:G,'DB - Identities'!B:B,"Not Used")</f>
        <v>Not Used</v>
      </c>
      <c r="H248" s="146" t="s">
        <v>740</v>
      </c>
      <c r="I248" s="146"/>
    </row>
    <row r="249" spans="1:9" ht="17">
      <c r="A249" s="103" t="s">
        <v>755</v>
      </c>
      <c r="B249" s="92" t="s">
        <v>631</v>
      </c>
      <c r="C249" s="92" t="s">
        <v>738</v>
      </c>
      <c r="D249" s="147">
        <v>44469</v>
      </c>
      <c r="E249" s="144">
        <v>1</v>
      </c>
      <c r="G249" t="str">
        <f>_xlfn.XLOOKUP(Table4[[#This Row],[Code]],'DB - Identities'!G:G,'DB - Identities'!B:B,"Not Used")</f>
        <v>Not Used</v>
      </c>
      <c r="H249" s="146" t="s">
        <v>740</v>
      </c>
      <c r="I249" s="146"/>
    </row>
    <row r="250" spans="1:9" ht="17">
      <c r="A250" s="103" t="s">
        <v>756</v>
      </c>
      <c r="B250" s="92" t="s">
        <v>631</v>
      </c>
      <c r="C250" s="92" t="s">
        <v>738</v>
      </c>
      <c r="D250" s="147">
        <v>44469</v>
      </c>
      <c r="E250" s="144">
        <v>1</v>
      </c>
      <c r="G250" t="str">
        <f>_xlfn.XLOOKUP(Table4[[#This Row],[Code]],'DB - Identities'!G:G,'DB - Identities'!B:B,"Not Used")</f>
        <v>Not Used</v>
      </c>
      <c r="H250" s="146" t="s">
        <v>740</v>
      </c>
      <c r="I250" s="146"/>
    </row>
    <row r="251" spans="1:9" ht="17">
      <c r="A251" s="103" t="s">
        <v>757</v>
      </c>
      <c r="B251" s="92" t="s">
        <v>631</v>
      </c>
      <c r="C251" s="92" t="s">
        <v>738</v>
      </c>
      <c r="D251" s="147">
        <v>44469</v>
      </c>
      <c r="E251" s="144">
        <v>1</v>
      </c>
      <c r="G251" t="str">
        <f>_xlfn.XLOOKUP(Table4[[#This Row],[Code]],'DB - Identities'!G:G,'DB - Identities'!B:B,"Not Used")</f>
        <v>Not Used</v>
      </c>
      <c r="H251" s="146" t="s">
        <v>740</v>
      </c>
      <c r="I251" s="146"/>
    </row>
    <row r="252" spans="1:9" ht="17">
      <c r="A252" s="103" t="s">
        <v>758</v>
      </c>
      <c r="B252" s="92" t="s">
        <v>631</v>
      </c>
      <c r="C252" s="92" t="s">
        <v>738</v>
      </c>
      <c r="D252" s="147">
        <v>44469</v>
      </c>
      <c r="E252" s="144">
        <v>1</v>
      </c>
      <c r="G252" t="str">
        <f>_xlfn.XLOOKUP(Table4[[#This Row],[Code]],'DB - Identities'!G:G,'DB - Identities'!B:B,"Not Used")</f>
        <v>Not Used</v>
      </c>
      <c r="H252" s="146" t="s">
        <v>740</v>
      </c>
      <c r="I252" s="146"/>
    </row>
    <row r="253" spans="1:9" ht="17">
      <c r="A253" s="103" t="s">
        <v>759</v>
      </c>
      <c r="B253" s="92" t="s">
        <v>631</v>
      </c>
      <c r="C253" s="92" t="s">
        <v>738</v>
      </c>
      <c r="D253" s="147">
        <v>44469</v>
      </c>
      <c r="E253" s="144">
        <v>1</v>
      </c>
      <c r="G253" t="str">
        <f>_xlfn.XLOOKUP(Table4[[#This Row],[Code]],'DB - Identities'!G:G,'DB - Identities'!B:B,"Not Used")</f>
        <v>Not Used</v>
      </c>
      <c r="H253" s="146" t="s">
        <v>740</v>
      </c>
      <c r="I253" s="146"/>
    </row>
    <row r="254" spans="1:9" ht="17">
      <c r="A254" s="103" t="s">
        <v>760</v>
      </c>
      <c r="B254" s="92" t="s">
        <v>143</v>
      </c>
      <c r="C254" s="92" t="s">
        <v>761</v>
      </c>
      <c r="D254" t="s">
        <v>762</v>
      </c>
      <c r="E254" s="144">
        <v>1</v>
      </c>
      <c r="G254" t="str">
        <f>_xlfn.XLOOKUP(Table4[[#This Row],[Code]],'DB - Identities'!G:G,'DB - Identities'!B:B,"Not Used")</f>
        <v>Not Used</v>
      </c>
      <c r="H254" s="92" t="s">
        <v>763</v>
      </c>
    </row>
    <row r="255" spans="1:9" ht="17">
      <c r="A255" s="103" t="s">
        <v>764</v>
      </c>
      <c r="B255" s="92" t="s">
        <v>143</v>
      </c>
      <c r="C255" s="92" t="s">
        <v>761</v>
      </c>
      <c r="D255" t="s">
        <v>762</v>
      </c>
      <c r="E255" s="144">
        <v>1</v>
      </c>
      <c r="G255" t="str">
        <f>_xlfn.XLOOKUP(Table4[[#This Row],[Code]],'DB - Identities'!G:G,'DB - Identities'!B:B,"Not Used")</f>
        <v>Not Used</v>
      </c>
      <c r="H255" s="92" t="s">
        <v>763</v>
      </c>
    </row>
    <row r="256" spans="1:9" ht="17">
      <c r="A256" s="103" t="s">
        <v>765</v>
      </c>
      <c r="B256" s="92" t="s">
        <v>143</v>
      </c>
      <c r="C256" s="92" t="s">
        <v>761</v>
      </c>
      <c r="D256" t="s">
        <v>762</v>
      </c>
      <c r="E256" s="144">
        <v>1</v>
      </c>
      <c r="G256" t="str">
        <f>_xlfn.XLOOKUP(Table4[[#This Row],[Code]],'DB - Identities'!G:G,'DB - Identities'!B:B,"Not Used")</f>
        <v>Not Used</v>
      </c>
      <c r="H256" s="92" t="s">
        <v>763</v>
      </c>
    </row>
    <row r="257" spans="1:8" ht="17">
      <c r="A257" s="103" t="s">
        <v>766</v>
      </c>
      <c r="B257" s="92" t="s">
        <v>143</v>
      </c>
      <c r="C257" s="92" t="s">
        <v>761</v>
      </c>
      <c r="D257" t="s">
        <v>762</v>
      </c>
      <c r="E257" s="144">
        <v>1</v>
      </c>
      <c r="G257" t="str">
        <f>_xlfn.XLOOKUP(Table4[[#This Row],[Code]],'DB - Identities'!G:G,'DB - Identities'!B:B,"Not Used")</f>
        <v>Not Used</v>
      </c>
      <c r="H257" s="92" t="s">
        <v>763</v>
      </c>
    </row>
    <row r="258" spans="1:8" ht="17">
      <c r="A258" s="103" t="s">
        <v>767</v>
      </c>
      <c r="B258" s="92" t="s">
        <v>143</v>
      </c>
      <c r="C258" s="92" t="s">
        <v>761</v>
      </c>
      <c r="D258" t="s">
        <v>762</v>
      </c>
      <c r="E258" s="144">
        <v>1</v>
      </c>
      <c r="G258" t="str">
        <f>_xlfn.XLOOKUP(Table4[[#This Row],[Code]],'DB - Identities'!G:G,'DB - Identities'!B:B,"Not Used")</f>
        <v>Not Used</v>
      </c>
      <c r="H258" s="92" t="s">
        <v>763</v>
      </c>
    </row>
    <row r="259" spans="1:8" ht="17">
      <c r="A259" s="103">
        <v>7.2999999999999997E+65</v>
      </c>
      <c r="B259" s="92" t="s">
        <v>143</v>
      </c>
      <c r="C259" s="92" t="s">
        <v>761</v>
      </c>
      <c r="D259" t="s">
        <v>762</v>
      </c>
      <c r="E259" s="144">
        <v>1</v>
      </c>
      <c r="G259" t="str">
        <f>_xlfn.XLOOKUP(Table4[[#This Row],[Code]],'DB - Identities'!G:G,'DB - Identities'!B:B,"Not Used")</f>
        <v>Not Used</v>
      </c>
      <c r="H259" s="148">
        <v>44535</v>
      </c>
    </row>
    <row r="260" spans="1:8" ht="17">
      <c r="A260" s="103" t="s">
        <v>768</v>
      </c>
      <c r="B260" s="92" t="s">
        <v>143</v>
      </c>
      <c r="C260" s="92" t="s">
        <v>761</v>
      </c>
      <c r="D260" t="s">
        <v>762</v>
      </c>
      <c r="E260" s="144">
        <v>1</v>
      </c>
      <c r="G260" t="str">
        <f>_xlfn.XLOOKUP(Table4[[#This Row],[Code]],'DB - Identities'!G:G,'DB - Identities'!B:B,"Not Used")</f>
        <v>Not Used</v>
      </c>
      <c r="H260" s="148">
        <v>44535</v>
      </c>
    </row>
    <row r="261" spans="1:8" ht="17">
      <c r="A261" s="103" t="s">
        <v>769</v>
      </c>
      <c r="B261" s="92" t="s">
        <v>143</v>
      </c>
      <c r="C261" s="92" t="s">
        <v>761</v>
      </c>
      <c r="D261" t="s">
        <v>762</v>
      </c>
      <c r="E261" s="144">
        <v>1</v>
      </c>
      <c r="G261" t="str">
        <f>_xlfn.XLOOKUP(Table4[[#This Row],[Code]],'DB - Identities'!G:G,'DB - Identities'!B:B,"Not Used")</f>
        <v>Not Used</v>
      </c>
      <c r="H261" s="148">
        <v>44535</v>
      </c>
    </row>
    <row r="262" spans="1:8" ht="17">
      <c r="A262" s="103" t="s">
        <v>770</v>
      </c>
      <c r="B262" s="92" t="s">
        <v>143</v>
      </c>
      <c r="C262" s="92" t="s">
        <v>761</v>
      </c>
      <c r="D262" t="s">
        <v>762</v>
      </c>
      <c r="E262" s="144">
        <v>1</v>
      </c>
      <c r="G262" t="str">
        <f>_xlfn.XLOOKUP(Table4[[#This Row],[Code]],'DB - Identities'!G:G,'DB - Identities'!B:B,"Not Used")</f>
        <v>Not Used</v>
      </c>
      <c r="H262" s="148">
        <v>44535</v>
      </c>
    </row>
    <row r="263" spans="1:8" ht="17">
      <c r="A263" s="103" t="s">
        <v>771</v>
      </c>
      <c r="B263" s="92" t="s">
        <v>143</v>
      </c>
      <c r="C263" s="92" t="s">
        <v>761</v>
      </c>
      <c r="D263" t="s">
        <v>762</v>
      </c>
      <c r="E263" s="144">
        <v>1</v>
      </c>
      <c r="G263" t="str">
        <f>_xlfn.XLOOKUP(Table4[[#This Row],[Code]],'DB - Identities'!G:G,'DB - Identities'!B:B,"Not Used")</f>
        <v>Not Used</v>
      </c>
      <c r="H263" s="148">
        <v>44535</v>
      </c>
    </row>
    <row r="264" spans="1:8" ht="17">
      <c r="A264" s="103" t="s">
        <v>772</v>
      </c>
      <c r="B264" s="92" t="s">
        <v>143</v>
      </c>
      <c r="C264" s="92" t="s">
        <v>761</v>
      </c>
      <c r="D264" t="s">
        <v>762</v>
      </c>
      <c r="E264" s="144">
        <v>1</v>
      </c>
      <c r="G264" t="str">
        <f>_xlfn.XLOOKUP(Table4[[#This Row],[Code]],'DB - Identities'!G:G,'DB - Identities'!B:B,"Not Used")</f>
        <v>Not Used</v>
      </c>
      <c r="H264" s="92" t="s">
        <v>773</v>
      </c>
    </row>
    <row r="265" spans="1:8" ht="17">
      <c r="A265" s="103" t="s">
        <v>774</v>
      </c>
      <c r="B265" s="92" t="s">
        <v>143</v>
      </c>
      <c r="C265" s="92" t="s">
        <v>761</v>
      </c>
      <c r="D265" t="s">
        <v>762</v>
      </c>
      <c r="E265" s="144">
        <v>1</v>
      </c>
      <c r="G265" t="str">
        <f>_xlfn.XLOOKUP(Table4[[#This Row],[Code]],'DB - Identities'!G:G,'DB - Identities'!B:B,"Not Used")</f>
        <v>Not Used</v>
      </c>
      <c r="H265" s="92" t="s">
        <v>773</v>
      </c>
    </row>
    <row r="266" spans="1:8" ht="17">
      <c r="A266" s="103" t="s">
        <v>775</v>
      </c>
      <c r="B266" s="92" t="s">
        <v>143</v>
      </c>
      <c r="C266" s="92" t="s">
        <v>761</v>
      </c>
      <c r="D266" t="s">
        <v>762</v>
      </c>
      <c r="E266" s="144">
        <v>1</v>
      </c>
      <c r="G266" t="str">
        <f>_xlfn.XLOOKUP(Table4[[#This Row],[Code]],'DB - Identities'!G:G,'DB - Identities'!B:B,"Not Used")</f>
        <v>Not Used</v>
      </c>
      <c r="H266" s="92" t="s">
        <v>773</v>
      </c>
    </row>
    <row r="267" spans="1:8" ht="17">
      <c r="A267" s="103" t="s">
        <v>776</v>
      </c>
      <c r="B267" s="92" t="s">
        <v>143</v>
      </c>
      <c r="C267" s="92" t="s">
        <v>761</v>
      </c>
      <c r="D267" t="s">
        <v>762</v>
      </c>
      <c r="E267" s="144">
        <v>1</v>
      </c>
      <c r="G267" t="str">
        <f>_xlfn.XLOOKUP(Table4[[#This Row],[Code]],'DB - Identities'!G:G,'DB - Identities'!B:B,"Not Used")</f>
        <v>Not Used</v>
      </c>
      <c r="H267" s="92" t="s">
        <v>773</v>
      </c>
    </row>
    <row r="268" spans="1:8" ht="17">
      <c r="A268" s="103" t="s">
        <v>777</v>
      </c>
      <c r="B268" s="92" t="s">
        <v>143</v>
      </c>
      <c r="C268" s="92" t="s">
        <v>761</v>
      </c>
      <c r="D268" t="s">
        <v>762</v>
      </c>
      <c r="E268" s="144">
        <v>1</v>
      </c>
      <c r="G268" t="str">
        <f>_xlfn.XLOOKUP(Table4[[#This Row],[Code]],'DB - Identities'!G:G,'DB - Identities'!B:B,"Not Used")</f>
        <v>Not Used</v>
      </c>
      <c r="H268" s="92" t="s">
        <v>773</v>
      </c>
    </row>
    <row r="269" spans="1:8" ht="17">
      <c r="A269" s="103" t="s">
        <v>778</v>
      </c>
      <c r="B269" s="92" t="s">
        <v>143</v>
      </c>
      <c r="C269" s="92" t="s">
        <v>761</v>
      </c>
      <c r="D269" t="s">
        <v>446</v>
      </c>
      <c r="E269" s="144">
        <v>1</v>
      </c>
      <c r="F269" t="s">
        <v>779</v>
      </c>
      <c r="G269" t="str">
        <f>_xlfn.XLOOKUP(Table4[[#This Row],[Code]],'DB - Identities'!G:G,'DB - Identities'!B:B,"Not Used")</f>
        <v xml:space="preserve">Chandra Asri Trading Company Pte. Ltd. </v>
      </c>
      <c r="H269" s="92" t="s">
        <v>780</v>
      </c>
    </row>
    <row r="270" spans="1:8" ht="17">
      <c r="A270" s="103" t="s">
        <v>781</v>
      </c>
      <c r="B270" s="92" t="s">
        <v>143</v>
      </c>
      <c r="C270" s="92" t="s">
        <v>761</v>
      </c>
      <c r="D270" t="s">
        <v>446</v>
      </c>
      <c r="E270" s="144">
        <v>1</v>
      </c>
      <c r="F270" t="s">
        <v>782</v>
      </c>
      <c r="G270" t="str">
        <f>_xlfn.XLOOKUP(Table4[[#This Row],[Code]],'DB - Identities'!G:G,'DB - Identities'!B:B,"Not Used")</f>
        <v>Singapore (Cogeneration) Steel Pte Ltd</v>
      </c>
      <c r="H270" s="92" t="s">
        <v>780</v>
      </c>
    </row>
    <row r="271" spans="1:8" ht="17">
      <c r="A271" s="103">
        <v>6.6100000000000003E+59</v>
      </c>
      <c r="B271" s="92" t="s">
        <v>143</v>
      </c>
      <c r="C271" s="92" t="s">
        <v>761</v>
      </c>
      <c r="D271" t="s">
        <v>783</v>
      </c>
      <c r="E271" s="144">
        <v>1</v>
      </c>
      <c r="G271" t="str">
        <f>_xlfn.XLOOKUP(Table4[[#This Row],[Code]],'DB - Identities'!G:G,'DB - Identities'!B:B,"Not Used")</f>
        <v>Not Used</v>
      </c>
      <c r="H271" s="92" t="s">
        <v>780</v>
      </c>
    </row>
    <row r="272" spans="1:8" ht="17">
      <c r="A272" s="103" t="s">
        <v>784</v>
      </c>
      <c r="B272" s="92" t="s">
        <v>143</v>
      </c>
      <c r="C272" s="92" t="s">
        <v>761</v>
      </c>
      <c r="D272" t="s">
        <v>783</v>
      </c>
      <c r="E272" s="144">
        <v>1</v>
      </c>
      <c r="G272" t="str">
        <f>_xlfn.XLOOKUP(Table4[[#This Row],[Code]],'DB - Identities'!G:G,'DB - Identities'!B:B,"Not Used")</f>
        <v>Not Used</v>
      </c>
      <c r="H272" s="92" t="s">
        <v>780</v>
      </c>
    </row>
    <row r="273" spans="1:8" ht="17">
      <c r="A273" s="103" t="s">
        <v>785</v>
      </c>
      <c r="B273" s="92" t="s">
        <v>143</v>
      </c>
      <c r="C273" s="92" t="s">
        <v>761</v>
      </c>
      <c r="D273" t="s">
        <v>783</v>
      </c>
      <c r="E273" s="144">
        <v>1</v>
      </c>
      <c r="G273" t="str">
        <f>_xlfn.XLOOKUP(Table4[[#This Row],[Code]],'DB - Identities'!G:G,'DB - Identities'!B:B,"Not Used")</f>
        <v>Not Used</v>
      </c>
      <c r="H273" s="92" t="s">
        <v>780</v>
      </c>
    </row>
    <row r="274" spans="1:8" ht="17">
      <c r="A274" s="103" t="s">
        <v>786</v>
      </c>
      <c r="B274" s="92" t="s">
        <v>143</v>
      </c>
      <c r="C274" s="92" t="s">
        <v>787</v>
      </c>
      <c r="D274" t="s">
        <v>446</v>
      </c>
      <c r="E274" s="144">
        <v>1</v>
      </c>
      <c r="F274" t="s">
        <v>372</v>
      </c>
      <c r="G274" t="str">
        <f>_xlfn.XLOOKUP(Table4[[#This Row],[Code]],'DB - Identities'!G:G,'DB - Identities'!B:B,"Not Used")</f>
        <v>Jidong Development (HK) International Limited</v>
      </c>
      <c r="H274" s="92"/>
    </row>
    <row r="275" spans="1:8" ht="17">
      <c r="A275" s="103" t="s">
        <v>788</v>
      </c>
      <c r="B275" s="92" t="s">
        <v>143</v>
      </c>
      <c r="C275" s="92" t="s">
        <v>787</v>
      </c>
      <c r="E275" s="144">
        <v>1</v>
      </c>
      <c r="G275" t="str">
        <f>_xlfn.XLOOKUP(Table4[[#This Row],[Code]],'DB - Identities'!G:G,'DB - Identities'!B:B,"Not Used")</f>
        <v>Not Used</v>
      </c>
      <c r="H275" s="92"/>
    </row>
    <row r="276" spans="1:8" ht="17">
      <c r="A276" s="103" t="s">
        <v>789</v>
      </c>
      <c r="B276" s="92" t="s">
        <v>143</v>
      </c>
      <c r="C276" s="92" t="s">
        <v>787</v>
      </c>
      <c r="E276" s="144">
        <v>1</v>
      </c>
      <c r="G276" t="str">
        <f>_xlfn.XLOOKUP(Table4[[#This Row],[Code]],'DB - Identities'!G:G,'DB - Identities'!B:B,"Not Used")</f>
        <v>Not Used</v>
      </c>
      <c r="H276" s="92"/>
    </row>
    <row r="277" spans="1:8" ht="17">
      <c r="A277" s="103" t="s">
        <v>790</v>
      </c>
      <c r="B277" s="92" t="s">
        <v>143</v>
      </c>
      <c r="C277" s="92" t="s">
        <v>787</v>
      </c>
      <c r="E277" s="144">
        <v>1</v>
      </c>
      <c r="G277" t="str">
        <f>_xlfn.XLOOKUP(Table4[[#This Row],[Code]],'DB - Identities'!G:G,'DB - Identities'!B:B,"Not Used")</f>
        <v>Not Used</v>
      </c>
      <c r="H277" s="92"/>
    </row>
    <row r="278" spans="1:8" ht="17">
      <c r="A278" s="103" t="s">
        <v>791</v>
      </c>
      <c r="B278" s="92" t="s">
        <v>143</v>
      </c>
      <c r="C278" s="92" t="s">
        <v>787</v>
      </c>
      <c r="E278" s="144">
        <v>1</v>
      </c>
      <c r="G278" t="str">
        <f>_xlfn.XLOOKUP(Table4[[#This Row],[Code]],'DB - Identities'!G:G,'DB - Identities'!B:B,"Not Used")</f>
        <v>Not Used</v>
      </c>
      <c r="H278" s="92"/>
    </row>
    <row r="279" spans="1:8" ht="17">
      <c r="A279" s="103" t="s">
        <v>792</v>
      </c>
      <c r="B279" s="92"/>
      <c r="C279" s="92" t="s">
        <v>793</v>
      </c>
      <c r="E279" s="144">
        <v>1</v>
      </c>
      <c r="G279" t="str">
        <f>_xlfn.XLOOKUP(Table4[[#This Row],[Code]],'DB - Identities'!G:G,'DB - Identities'!B:B,"Not Used")</f>
        <v>Not Used</v>
      </c>
      <c r="H279" s="92" t="s">
        <v>780</v>
      </c>
    </row>
    <row r="280" spans="1:8" ht="17">
      <c r="A280" s="103" t="s">
        <v>794</v>
      </c>
      <c r="B280" s="92"/>
      <c r="C280" s="92" t="s">
        <v>793</v>
      </c>
      <c r="E280" s="144">
        <v>1</v>
      </c>
      <c r="G280" t="str">
        <f>_xlfn.XLOOKUP(Table4[[#This Row],[Code]],'DB - Identities'!G:G,'DB - Identities'!B:B,"Not Used")</f>
        <v>Not Used</v>
      </c>
      <c r="H280" s="92" t="s">
        <v>780</v>
      </c>
    </row>
    <row r="281" spans="1:8" ht="17">
      <c r="A281" s="103" t="s">
        <v>795</v>
      </c>
      <c r="B281" s="92"/>
      <c r="C281" s="92" t="s">
        <v>793</v>
      </c>
      <c r="E281" s="144">
        <v>1</v>
      </c>
      <c r="G281" t="str">
        <f>_xlfn.XLOOKUP(Table4[[#This Row],[Code]],'DB - Identities'!G:G,'DB - Identities'!B:B,"Not Used")</f>
        <v>Not Used</v>
      </c>
      <c r="H281" s="92" t="s">
        <v>780</v>
      </c>
    </row>
    <row r="282" spans="1:8" ht="17">
      <c r="A282" s="103" t="s">
        <v>796</v>
      </c>
      <c r="B282" s="92"/>
      <c r="C282" s="92" t="s">
        <v>793</v>
      </c>
      <c r="E282" s="144">
        <v>1</v>
      </c>
      <c r="G282" t="str">
        <f>_xlfn.XLOOKUP(Table4[[#This Row],[Code]],'DB - Identities'!G:G,'DB - Identities'!B:B,"Not Used")</f>
        <v>Not Used</v>
      </c>
      <c r="H282" s="92" t="s">
        <v>780</v>
      </c>
    </row>
    <row r="283" spans="1:8" ht="17">
      <c r="A283" s="103" t="s">
        <v>797</v>
      </c>
      <c r="B283" s="92"/>
      <c r="C283" s="92" t="s">
        <v>793</v>
      </c>
      <c r="E283" s="144">
        <v>1</v>
      </c>
      <c r="G283" t="str">
        <f>_xlfn.XLOOKUP(Table4[[#This Row],[Code]],'DB - Identities'!G:G,'DB - Identities'!B:B,"Not Used")</f>
        <v>Not Used</v>
      </c>
      <c r="H283" s="92" t="s">
        <v>780</v>
      </c>
    </row>
    <row r="284" spans="1:8" ht="17">
      <c r="A284" s="103" t="s">
        <v>798</v>
      </c>
      <c r="B284" s="92" t="s">
        <v>631</v>
      </c>
      <c r="C284" s="92" t="s">
        <v>799</v>
      </c>
      <c r="D284" t="s">
        <v>446</v>
      </c>
      <c r="E284" s="144">
        <v>1</v>
      </c>
      <c r="F284" t="s">
        <v>800</v>
      </c>
      <c r="G284" t="s">
        <v>800</v>
      </c>
      <c r="H284" s="146">
        <v>44358</v>
      </c>
    </row>
    <row r="285" spans="1:8" ht="17">
      <c r="A285" s="103" t="s">
        <v>801</v>
      </c>
      <c r="B285" s="92" t="s">
        <v>631</v>
      </c>
      <c r="C285" s="92" t="s">
        <v>799</v>
      </c>
      <c r="D285" t="s">
        <v>446</v>
      </c>
      <c r="E285" s="144">
        <v>1</v>
      </c>
      <c r="F285" t="s">
        <v>802</v>
      </c>
      <c r="G285" t="s">
        <v>802</v>
      </c>
      <c r="H285" s="146">
        <v>44358</v>
      </c>
    </row>
    <row r="286" spans="1:8" ht="17">
      <c r="A286" s="103" t="s">
        <v>803</v>
      </c>
      <c r="B286" s="92" t="s">
        <v>631</v>
      </c>
      <c r="C286" s="92" t="s">
        <v>799</v>
      </c>
      <c r="D286" s="147">
        <v>44484</v>
      </c>
      <c r="E286" s="144">
        <v>1</v>
      </c>
      <c r="G286" t="str">
        <f>_xlfn.XLOOKUP(Table4[[#This Row],[Code]],'DB - Identities'!G:G,'DB - Identities'!B:B,"Not Used")</f>
        <v>Not Used</v>
      </c>
      <c r="H286" s="146">
        <v>44358</v>
      </c>
    </row>
    <row r="287" spans="1:8" ht="17">
      <c r="A287" s="103" t="s">
        <v>804</v>
      </c>
      <c r="B287" s="92" t="s">
        <v>631</v>
      </c>
      <c r="C287" s="92" t="s">
        <v>799</v>
      </c>
      <c r="D287" s="147">
        <v>44484</v>
      </c>
      <c r="E287" s="144">
        <v>1</v>
      </c>
      <c r="G287" t="str">
        <f>_xlfn.XLOOKUP(Table4[[#This Row],[Code]],'DB - Identities'!G:G,'DB - Identities'!B:B,"Not Used")</f>
        <v>Not Used</v>
      </c>
      <c r="H287" s="146">
        <v>44358</v>
      </c>
    </row>
    <row r="288" spans="1:8" ht="17">
      <c r="A288" s="103" t="s">
        <v>805</v>
      </c>
      <c r="B288" s="92" t="s">
        <v>631</v>
      </c>
      <c r="C288" s="92" t="s">
        <v>799</v>
      </c>
      <c r="D288" s="147">
        <v>44484</v>
      </c>
      <c r="E288" s="144">
        <v>1</v>
      </c>
      <c r="G288" t="str">
        <f>_xlfn.XLOOKUP(Table4[[#This Row],[Code]],'DB - Identities'!G:G,'DB - Identities'!B:B,"Not Used")</f>
        <v>Not Used</v>
      </c>
      <c r="H288" s="146">
        <v>44358</v>
      </c>
    </row>
    <row r="289" spans="1:8" ht="17">
      <c r="A289" s="103" t="s">
        <v>806</v>
      </c>
      <c r="B289" s="92" t="s">
        <v>631</v>
      </c>
      <c r="C289" s="92" t="s">
        <v>799</v>
      </c>
      <c r="D289" s="147">
        <v>44484</v>
      </c>
      <c r="E289" s="144">
        <v>1</v>
      </c>
      <c r="G289" t="str">
        <f>_xlfn.XLOOKUP(Table4[[#This Row],[Code]],'DB - Identities'!G:G,'DB - Identities'!B:B,"Not Used")</f>
        <v>Not Used</v>
      </c>
      <c r="H289" s="146">
        <v>44358</v>
      </c>
    </row>
    <row r="290" spans="1:8" ht="17">
      <c r="A290" s="103" t="s">
        <v>807</v>
      </c>
      <c r="B290" s="92" t="s">
        <v>631</v>
      </c>
      <c r="C290" s="92" t="s">
        <v>799</v>
      </c>
      <c r="D290" s="147">
        <v>44484</v>
      </c>
      <c r="E290" s="144">
        <v>1</v>
      </c>
      <c r="G290" t="str">
        <f>_xlfn.XLOOKUP(Table4[[#This Row],[Code]],'DB - Identities'!G:G,'DB - Identities'!B:B,"Not Used")</f>
        <v>Not Used</v>
      </c>
      <c r="H290" s="146">
        <v>44358</v>
      </c>
    </row>
    <row r="291" spans="1:8" ht="17">
      <c r="A291" s="103" t="s">
        <v>808</v>
      </c>
      <c r="B291" s="92" t="s">
        <v>631</v>
      </c>
      <c r="C291" s="92" t="s">
        <v>799</v>
      </c>
      <c r="D291" s="147">
        <v>44484</v>
      </c>
      <c r="E291" s="144">
        <v>1</v>
      </c>
      <c r="G291" t="str">
        <f>_xlfn.XLOOKUP(Table4[[#This Row],[Code]],'DB - Identities'!G:G,'DB - Identities'!B:B,"Not Used")</f>
        <v>Not Used</v>
      </c>
      <c r="H291" s="146">
        <v>44358</v>
      </c>
    </row>
    <row r="292" spans="1:8" ht="17">
      <c r="A292" s="103" t="s">
        <v>809</v>
      </c>
      <c r="B292" s="92" t="s">
        <v>631</v>
      </c>
      <c r="C292" s="92" t="s">
        <v>799</v>
      </c>
      <c r="D292" s="147">
        <v>44484</v>
      </c>
      <c r="E292" s="144">
        <v>1</v>
      </c>
      <c r="G292" t="str">
        <f>_xlfn.XLOOKUP(Table4[[#This Row],[Code]],'DB - Identities'!G:G,'DB - Identities'!B:B,"Not Used")</f>
        <v>Not Used</v>
      </c>
      <c r="H292" s="146">
        <v>44358</v>
      </c>
    </row>
    <row r="293" spans="1:8" ht="17">
      <c r="A293" s="103" t="s">
        <v>810</v>
      </c>
      <c r="B293" s="92" t="s">
        <v>631</v>
      </c>
      <c r="C293" s="92" t="s">
        <v>799</v>
      </c>
      <c r="D293" s="147">
        <v>44484</v>
      </c>
      <c r="E293" s="144">
        <v>1</v>
      </c>
      <c r="G293" t="str">
        <f>_xlfn.XLOOKUP(Table4[[#This Row],[Code]],'DB - Identities'!G:G,'DB - Identities'!B:B,"Not Used")</f>
        <v>Not Used</v>
      </c>
      <c r="H293" s="146">
        <v>44358</v>
      </c>
    </row>
    <row r="294" spans="1:8" ht="17">
      <c r="A294" s="103" t="s">
        <v>811</v>
      </c>
      <c r="B294" s="92" t="s">
        <v>631</v>
      </c>
      <c r="C294" s="92" t="s">
        <v>799</v>
      </c>
      <c r="D294" s="147">
        <v>44484</v>
      </c>
      <c r="E294" s="144">
        <v>1</v>
      </c>
      <c r="G294" t="str">
        <f>_xlfn.XLOOKUP(Table4[[#This Row],[Code]],'DB - Identities'!G:G,'DB - Identities'!B:B,"Not Used")</f>
        <v>Not Used</v>
      </c>
      <c r="H294" s="146">
        <v>44358</v>
      </c>
    </row>
    <row r="295" spans="1:8" ht="17">
      <c r="A295" s="103">
        <v>3.7400000000000003E+38</v>
      </c>
      <c r="B295" s="92" t="s">
        <v>631</v>
      </c>
      <c r="C295" s="92" t="s">
        <v>799</v>
      </c>
      <c r="D295" s="147">
        <v>44484</v>
      </c>
      <c r="E295" s="144">
        <v>1</v>
      </c>
      <c r="G295" t="str">
        <f>_xlfn.XLOOKUP(Table4[[#This Row],[Code]],'DB - Identities'!G:G,'DB - Identities'!B:B,"Not Used")</f>
        <v>Not Used</v>
      </c>
      <c r="H295" s="146">
        <v>44358</v>
      </c>
    </row>
    <row r="296" spans="1:8" ht="17">
      <c r="A296" s="103" t="s">
        <v>812</v>
      </c>
      <c r="B296" s="92" t="s">
        <v>631</v>
      </c>
      <c r="C296" s="92" t="s">
        <v>799</v>
      </c>
      <c r="D296" s="147">
        <v>44484</v>
      </c>
      <c r="E296" s="144">
        <v>1</v>
      </c>
      <c r="G296" t="str">
        <f>_xlfn.XLOOKUP(Table4[[#This Row],[Code]],'DB - Identities'!G:G,'DB - Identities'!B:B,"Not Used")</f>
        <v>Not Used</v>
      </c>
      <c r="H296" s="146">
        <v>44358</v>
      </c>
    </row>
    <row r="297" spans="1:8" ht="17">
      <c r="A297" s="103" t="s">
        <v>813</v>
      </c>
      <c r="B297" s="92" t="s">
        <v>631</v>
      </c>
      <c r="C297" s="92" t="s">
        <v>799</v>
      </c>
      <c r="D297" s="147">
        <v>44484</v>
      </c>
      <c r="E297" s="144">
        <v>1</v>
      </c>
      <c r="G297" t="str">
        <f>_xlfn.XLOOKUP(Table4[[#This Row],[Code]],'DB - Identities'!G:G,'DB - Identities'!B:B,"Not Used")</f>
        <v>Not Used</v>
      </c>
      <c r="H297" s="146">
        <v>44358</v>
      </c>
    </row>
    <row r="298" spans="1:8" ht="17">
      <c r="A298" s="103" t="s">
        <v>814</v>
      </c>
      <c r="B298" s="92" t="s">
        <v>631</v>
      </c>
      <c r="C298" s="92" t="s">
        <v>799</v>
      </c>
      <c r="D298" s="147">
        <v>44484</v>
      </c>
      <c r="E298" s="144">
        <v>1</v>
      </c>
      <c r="G298" t="str">
        <f>_xlfn.XLOOKUP(Table4[[#This Row],[Code]],'DB - Identities'!G:G,'DB - Identities'!B:B,"Not Used")</f>
        <v>Not Used</v>
      </c>
      <c r="H298" s="146">
        <v>44358</v>
      </c>
    </row>
    <row r="299" spans="1:8" ht="17">
      <c r="A299" s="103" t="s">
        <v>815</v>
      </c>
      <c r="B299" s="92"/>
      <c r="C299" s="92"/>
      <c r="E299" s="144">
        <v>1</v>
      </c>
      <c r="G299" t="str">
        <f>_xlfn.XLOOKUP(Table4[[#This Row],[Code]],'DB - Identities'!G:G,'DB - Identities'!B:B,"Not Used")</f>
        <v>Not Used</v>
      </c>
      <c r="H299" s="92"/>
    </row>
    <row r="300" spans="1:8" ht="17">
      <c r="A300" s="103" t="s">
        <v>816</v>
      </c>
      <c r="B300" s="92"/>
      <c r="C300" s="92"/>
      <c r="E300" s="144">
        <v>1</v>
      </c>
      <c r="G300" t="str">
        <f>_xlfn.XLOOKUP(Table4[[#This Row],[Code]],'DB - Identities'!G:G,'DB - Identities'!B:B,"Not Used")</f>
        <v>Not Used</v>
      </c>
      <c r="H300" s="92"/>
    </row>
    <row r="301" spans="1:8" ht="17">
      <c r="A301" s="103" t="s">
        <v>817</v>
      </c>
      <c r="B301" s="92"/>
      <c r="C301" s="92"/>
      <c r="E301" s="144">
        <v>1</v>
      </c>
      <c r="G301" t="str">
        <f>_xlfn.XLOOKUP(Table4[[#This Row],[Code]],'DB - Identities'!G:G,'DB - Identities'!B:B,"Not Used")</f>
        <v>Not Used</v>
      </c>
      <c r="H301" s="92"/>
    </row>
    <row r="302" spans="1:8" ht="17">
      <c r="A302" s="103" t="s">
        <v>818</v>
      </c>
      <c r="B302" s="92"/>
      <c r="C302" s="92"/>
      <c r="G302" t="str">
        <f>_xlfn.XLOOKUP(Table4[[#This Row],[Code]],'DB - Identities'!G:G,'DB - Identities'!B:B,"Not Used")</f>
        <v>Not Used</v>
      </c>
      <c r="H302" s="92"/>
    </row>
    <row r="303" spans="1:8" ht="17">
      <c r="A303" s="103" t="s">
        <v>819</v>
      </c>
      <c r="B303" s="92"/>
      <c r="C303" s="92"/>
      <c r="G303" t="str">
        <f>_xlfn.XLOOKUP(Table4[[#This Row],[Code]],'DB - Identities'!G:G,'DB - Identities'!B:B,"Not Used")</f>
        <v>Not Used</v>
      </c>
      <c r="H303" s="92"/>
    </row>
    <row r="304" spans="1:8" ht="17">
      <c r="A304" s="103" t="s">
        <v>820</v>
      </c>
      <c r="B304" s="92" t="s">
        <v>821</v>
      </c>
      <c r="C304" s="92" t="s">
        <v>822</v>
      </c>
      <c r="F304" t="s">
        <v>823</v>
      </c>
      <c r="G304" t="str">
        <f>_xlfn.XLOOKUP(Table4[[#This Row],[Code]],'DB - Identities'!G:G,'DB - Identities'!B:B,"Not Used")</f>
        <v>Not Used</v>
      </c>
      <c r="H304" s="92"/>
    </row>
    <row r="305" spans="1:8" ht="17">
      <c r="A305" s="103" t="s">
        <v>824</v>
      </c>
      <c r="B305" s="92" t="s">
        <v>821</v>
      </c>
      <c r="C305" s="92" t="s">
        <v>822</v>
      </c>
      <c r="F305" t="s">
        <v>825</v>
      </c>
      <c r="G305" t="str">
        <f>_xlfn.XLOOKUP(Table4[[#This Row],[Code]],'DB - Identities'!G:G,'DB - Identities'!B:B,"Not Used")</f>
        <v>Not Used</v>
      </c>
      <c r="H305" s="92"/>
    </row>
    <row r="306" spans="1:8" ht="17">
      <c r="A306" s="103" t="s">
        <v>826</v>
      </c>
      <c r="B306" s="92" t="s">
        <v>821</v>
      </c>
      <c r="C306" s="92" t="s">
        <v>822</v>
      </c>
      <c r="F306" t="s">
        <v>827</v>
      </c>
      <c r="G306" t="str">
        <f>_xlfn.XLOOKUP(Table4[[#This Row],[Code]],'DB - Identities'!G:G,'DB - Identities'!B:B,"Not Used")</f>
        <v>Not Used</v>
      </c>
      <c r="H306" s="92"/>
    </row>
    <row r="307" spans="1:8" ht="17">
      <c r="A307" s="103" t="s">
        <v>828</v>
      </c>
      <c r="B307" s="92" t="s">
        <v>821</v>
      </c>
      <c r="C307" s="92" t="s">
        <v>822</v>
      </c>
      <c r="F307" t="s">
        <v>829</v>
      </c>
      <c r="G307" t="str">
        <f>_xlfn.XLOOKUP(Table4[[#This Row],[Code]],'DB - Identities'!G:G,'DB - Identities'!B:B,"Not Used")</f>
        <v>Not Used</v>
      </c>
      <c r="H307" s="92"/>
    </row>
    <row r="308" spans="1:8" ht="17">
      <c r="A308" s="103" t="s">
        <v>830</v>
      </c>
      <c r="B308" s="92" t="s">
        <v>821</v>
      </c>
      <c r="C308" s="92" t="s">
        <v>822</v>
      </c>
      <c r="F308" t="s">
        <v>831</v>
      </c>
      <c r="G308" t="str">
        <f>_xlfn.XLOOKUP(Table4[[#This Row],[Code]],'DB - Identities'!G:G,'DB - Identities'!B:B,"Not Used")</f>
        <v>Not Used</v>
      </c>
      <c r="H308" s="92"/>
    </row>
    <row r="309" spans="1:8" ht="17">
      <c r="A309" s="103" t="s">
        <v>832</v>
      </c>
      <c r="B309" s="92" t="s">
        <v>821</v>
      </c>
      <c r="C309" s="92" t="s">
        <v>822</v>
      </c>
      <c r="F309" t="s">
        <v>833</v>
      </c>
      <c r="G309" t="str">
        <f>_xlfn.XLOOKUP(Table4[[#This Row],[Code]],'DB - Identities'!G:G,'DB - Identities'!B:B,"Not Used")</f>
        <v>Not Used</v>
      </c>
      <c r="H309" s="92"/>
    </row>
    <row r="310" spans="1:8" ht="17">
      <c r="A310" s="103" t="s">
        <v>834</v>
      </c>
      <c r="B310" s="92" t="s">
        <v>821</v>
      </c>
      <c r="C310" s="92" t="s">
        <v>835</v>
      </c>
      <c r="D310" t="s">
        <v>446</v>
      </c>
      <c r="E310" s="144">
        <v>1</v>
      </c>
      <c r="F310" t="s">
        <v>425</v>
      </c>
      <c r="G310" t="str">
        <f>_xlfn.XLOOKUP(Table4[[#This Row],[Code]],'DB - Identities'!G:G,'DB - Identities'!B:B,"Not Used")</f>
        <v>Epyllion Knitwears Ltd</v>
      </c>
      <c r="H310" s="92"/>
    </row>
    <row r="311" spans="1:8" ht="17">
      <c r="A311" s="103" t="s">
        <v>836</v>
      </c>
      <c r="B311" s="92" t="s">
        <v>821</v>
      </c>
      <c r="C311" s="92" t="s">
        <v>822</v>
      </c>
      <c r="D311" t="s">
        <v>446</v>
      </c>
      <c r="E311" s="144">
        <v>1</v>
      </c>
      <c r="F311" t="s">
        <v>837</v>
      </c>
      <c r="G311" t="str">
        <f>_xlfn.XLOOKUP(Table4[[#This Row],[Code]],'DB - Identities'!G:G,'DB - Identities'!B:B,"Not Used")</f>
        <v>Not Used</v>
      </c>
      <c r="H311" s="92"/>
    </row>
    <row r="312" spans="1:8" ht="17">
      <c r="A312" s="103" t="s">
        <v>838</v>
      </c>
      <c r="B312" s="92" t="s">
        <v>821</v>
      </c>
      <c r="C312" s="92" t="s">
        <v>445</v>
      </c>
      <c r="F312" t="s">
        <v>839</v>
      </c>
      <c r="G312" t="str">
        <f>_xlfn.XLOOKUP(Table4[[#This Row],[Code]],'DB - Identities'!G:G,'DB - Identities'!B:B,"Not Used")</f>
        <v>Not Used</v>
      </c>
      <c r="H312" s="92"/>
    </row>
    <row r="313" spans="1:8" ht="17">
      <c r="A313" s="103" t="s">
        <v>840</v>
      </c>
      <c r="B313" s="92" t="s">
        <v>821</v>
      </c>
      <c r="C313" s="92" t="s">
        <v>841</v>
      </c>
      <c r="F313" t="s">
        <v>842</v>
      </c>
      <c r="G313" t="str">
        <f>_xlfn.XLOOKUP(Table4[[#This Row],[Code]],'DB - Identities'!G:G,'DB - Identities'!B:B,"Not Used")</f>
        <v>Not Used</v>
      </c>
      <c r="H313" s="92"/>
    </row>
    <row r="314" spans="1:8" ht="17">
      <c r="A314" s="103" t="s">
        <v>843</v>
      </c>
      <c r="B314" s="92" t="s">
        <v>821</v>
      </c>
      <c r="C314" s="92" t="s">
        <v>841</v>
      </c>
      <c r="F314" t="s">
        <v>844</v>
      </c>
      <c r="G314" t="str">
        <f>_xlfn.XLOOKUP(Table4[[#This Row],[Code]],'DB - Identities'!G:G,'DB - Identities'!B:B,"Not Used")</f>
        <v>Not Used</v>
      </c>
      <c r="H314" s="92"/>
    </row>
    <row r="315" spans="1:8" ht="17">
      <c r="A315" s="103" t="s">
        <v>845</v>
      </c>
      <c r="B315" s="92" t="s">
        <v>821</v>
      </c>
      <c r="C315" s="92" t="s">
        <v>445</v>
      </c>
      <c r="F315" t="s">
        <v>846</v>
      </c>
      <c r="G315" t="str">
        <f>_xlfn.XLOOKUP(Table4[[#This Row],[Code]],'DB - Identities'!G:G,'DB - Identities'!B:B,"Not Used")</f>
        <v>Not Used</v>
      </c>
      <c r="H315" s="92"/>
    </row>
    <row r="316" spans="1:8" ht="17">
      <c r="A316" s="103" t="s">
        <v>847</v>
      </c>
      <c r="B316" s="92" t="s">
        <v>821</v>
      </c>
      <c r="C316" s="92" t="s">
        <v>445</v>
      </c>
      <c r="F316" t="s">
        <v>848</v>
      </c>
      <c r="G316" t="str">
        <f>_xlfn.XLOOKUP(Table4[[#This Row],[Code]],'DB - Identities'!G:G,'DB - Identities'!B:B,"Not Used")</f>
        <v>Not Used</v>
      </c>
      <c r="H316" s="92"/>
    </row>
    <row r="317" spans="1:8" ht="17">
      <c r="A317" s="103" t="s">
        <v>849</v>
      </c>
      <c r="B317" s="92" t="s">
        <v>821</v>
      </c>
      <c r="C317" s="92" t="s">
        <v>445</v>
      </c>
      <c r="F317" t="s">
        <v>850</v>
      </c>
      <c r="G317" t="str">
        <f>_xlfn.XLOOKUP(Table4[[#This Row],[Code]],'DB - Identities'!G:G,'DB - Identities'!B:B,"Not Used")</f>
        <v>Not Used</v>
      </c>
      <c r="H317" s="92"/>
    </row>
    <row r="318" spans="1:8" ht="17">
      <c r="A318" s="186" t="s">
        <v>851</v>
      </c>
      <c r="B318" s="92" t="s">
        <v>821</v>
      </c>
      <c r="C318" s="92" t="s">
        <v>445</v>
      </c>
      <c r="F318" t="s">
        <v>852</v>
      </c>
      <c r="G318" t="str">
        <f>_xlfn.XLOOKUP(Table4[[#This Row],[Code]],'DB - Identities'!G:G,'DB - Identities'!B:B,"Not Used")</f>
        <v>Not Used</v>
      </c>
      <c r="H318" s="92"/>
    </row>
    <row r="319" spans="1:8" ht="17">
      <c r="A319" s="186" t="s">
        <v>853</v>
      </c>
      <c r="B319" s="92" t="s">
        <v>821</v>
      </c>
      <c r="C319" s="92" t="s">
        <v>445</v>
      </c>
      <c r="F319" t="s">
        <v>854</v>
      </c>
      <c r="G319" t="str">
        <f>_xlfn.XLOOKUP(Table4[[#This Row],[Code]],'DB - Identities'!G:G,'DB - Identities'!B:B,"Not Used")</f>
        <v>Not Used</v>
      </c>
      <c r="H319" s="92"/>
    </row>
    <row r="320" spans="1:8" ht="17">
      <c r="A320" s="103" t="s">
        <v>855</v>
      </c>
      <c r="B320" s="92" t="s">
        <v>821</v>
      </c>
      <c r="C320" s="92" t="s">
        <v>856</v>
      </c>
      <c r="D320" t="s">
        <v>446</v>
      </c>
      <c r="E320" s="144">
        <v>1</v>
      </c>
      <c r="F320" t="s">
        <v>857</v>
      </c>
      <c r="G320" t="s">
        <v>857</v>
      </c>
      <c r="H320" s="92"/>
    </row>
    <row r="321" spans="1:8" ht="17">
      <c r="A321" s="103" t="s">
        <v>858</v>
      </c>
      <c r="B321" s="92" t="s">
        <v>821</v>
      </c>
      <c r="C321" s="92" t="s">
        <v>859</v>
      </c>
      <c r="D321" t="s">
        <v>446</v>
      </c>
      <c r="E321" s="144">
        <v>1</v>
      </c>
      <c r="F321" t="s">
        <v>860</v>
      </c>
      <c r="G321" t="s">
        <v>860</v>
      </c>
      <c r="H321" s="92"/>
    </row>
    <row r="322" spans="1:8" ht="17">
      <c r="A322" s="103" t="s">
        <v>861</v>
      </c>
      <c r="B322" s="92" t="s">
        <v>821</v>
      </c>
      <c r="C322" s="92" t="s">
        <v>859</v>
      </c>
      <c r="D322" t="s">
        <v>446</v>
      </c>
      <c r="E322" s="144">
        <v>1</v>
      </c>
      <c r="F322" t="s">
        <v>862</v>
      </c>
      <c r="G322" t="s">
        <v>862</v>
      </c>
      <c r="H322" s="92"/>
    </row>
    <row r="323" spans="1:8" ht="17">
      <c r="A323" s="103" t="s">
        <v>863</v>
      </c>
      <c r="B323" s="92" t="s">
        <v>821</v>
      </c>
      <c r="C323" s="92" t="s">
        <v>835</v>
      </c>
      <c r="D323" t="s">
        <v>446</v>
      </c>
      <c r="E323" s="144">
        <v>1</v>
      </c>
      <c r="F323" t="s">
        <v>864</v>
      </c>
      <c r="G323" t="str">
        <f>_xlfn.XLOOKUP(Table4[[#This Row],[Code]],'DB - Identities'!G:G,'DB - Identities'!B:B,"Not Used")</f>
        <v>Not Used</v>
      </c>
      <c r="H323" s="92"/>
    </row>
    <row r="324" spans="1:8" ht="17">
      <c r="A324" s="103" t="s">
        <v>865</v>
      </c>
      <c r="B324" s="92" t="s">
        <v>821</v>
      </c>
      <c r="C324" s="92" t="s">
        <v>835</v>
      </c>
      <c r="D324" t="s">
        <v>446</v>
      </c>
      <c r="E324" s="144">
        <v>1</v>
      </c>
      <c r="F324" t="s">
        <v>866</v>
      </c>
      <c r="G324" t="str">
        <f>_xlfn.XLOOKUP(Table4[[#This Row],[Code]],'DB - Identities'!G:G,'DB - Identities'!B:B,"Not Used")</f>
        <v>Not Used</v>
      </c>
      <c r="H324" s="92"/>
    </row>
    <row r="325" spans="1:8" ht="17">
      <c r="A325" s="103" t="s">
        <v>867</v>
      </c>
      <c r="B325" s="92" t="s">
        <v>821</v>
      </c>
      <c r="C325" s="92" t="s">
        <v>617</v>
      </c>
      <c r="F325" t="s">
        <v>868</v>
      </c>
      <c r="G325" t="str">
        <f>_xlfn.XLOOKUP(Table4[[#This Row],[Code]],'DB - Identities'!G:G,'DB - Identities'!B:B,"Not Used")</f>
        <v>Not Used</v>
      </c>
      <c r="H325" s="92"/>
    </row>
    <row r="326" spans="1:8" ht="17">
      <c r="A326" s="103" t="s">
        <v>869</v>
      </c>
      <c r="B326" s="92" t="s">
        <v>821</v>
      </c>
      <c r="C326" s="92" t="s">
        <v>617</v>
      </c>
      <c r="F326" t="s">
        <v>870</v>
      </c>
      <c r="G326" t="str">
        <f>_xlfn.XLOOKUP(Table4[[#This Row],[Code]],'DB - Identities'!G:G,'DB - Identities'!B:B,"Not Used")</f>
        <v>Not Used</v>
      </c>
      <c r="H326" s="92"/>
    </row>
    <row r="327" spans="1:8" ht="17">
      <c r="A327" s="103" t="s">
        <v>871</v>
      </c>
      <c r="B327" s="92" t="s">
        <v>821</v>
      </c>
      <c r="C327" s="92" t="s">
        <v>841</v>
      </c>
      <c r="D327" t="s">
        <v>446</v>
      </c>
      <c r="E327" s="144">
        <v>1</v>
      </c>
      <c r="F327" t="s">
        <v>872</v>
      </c>
      <c r="G327" t="s">
        <v>872</v>
      </c>
      <c r="H327" s="92"/>
    </row>
    <row r="328" spans="1:8" ht="17">
      <c r="A328" s="103" t="s">
        <v>873</v>
      </c>
      <c r="B328" s="92" t="s">
        <v>821</v>
      </c>
      <c r="C328" s="92" t="s">
        <v>841</v>
      </c>
      <c r="D328" t="s">
        <v>446</v>
      </c>
      <c r="E328" s="144">
        <v>1</v>
      </c>
      <c r="F328" t="s">
        <v>874</v>
      </c>
      <c r="G328" t="s">
        <v>874</v>
      </c>
      <c r="H328" s="92"/>
    </row>
    <row r="329" spans="1:8" ht="17">
      <c r="A329" s="103" t="s">
        <v>875</v>
      </c>
      <c r="B329" s="92" t="s">
        <v>821</v>
      </c>
      <c r="C329" s="92" t="s">
        <v>841</v>
      </c>
      <c r="D329" t="s">
        <v>446</v>
      </c>
      <c r="E329" s="144">
        <v>1</v>
      </c>
      <c r="F329" t="s">
        <v>876</v>
      </c>
      <c r="G329" t="s">
        <v>876</v>
      </c>
      <c r="H329" s="92"/>
    </row>
    <row r="330" spans="1:8" ht="17">
      <c r="A330" s="103" t="s">
        <v>877</v>
      </c>
      <c r="B330" s="92" t="s">
        <v>821</v>
      </c>
      <c r="C330" s="92" t="s">
        <v>841</v>
      </c>
      <c r="F330" s="92" t="s">
        <v>878</v>
      </c>
      <c r="G330" t="str">
        <f>_xlfn.XLOOKUP(Table4[[#This Row],[Code]],'DB - Identities'!G:G,'DB - Identities'!B:B,"Not Used")</f>
        <v>Not Used</v>
      </c>
      <c r="H330" s="92"/>
    </row>
    <row r="331" spans="1:8" ht="17">
      <c r="A331" s="103" t="s">
        <v>879</v>
      </c>
      <c r="B331" s="92" t="s">
        <v>821</v>
      </c>
      <c r="C331" s="92" t="s">
        <v>841</v>
      </c>
      <c r="F331" s="92" t="s">
        <v>880</v>
      </c>
      <c r="G331" t="str">
        <f>_xlfn.XLOOKUP(Table4[[#This Row],[Code]],'DB - Identities'!G:G,'DB - Identities'!B:B,"Not Used")</f>
        <v>Not Used</v>
      </c>
      <c r="H331" s="92"/>
    </row>
    <row r="332" spans="1:8" ht="17">
      <c r="A332" s="103" t="s">
        <v>881</v>
      </c>
      <c r="B332" s="92" t="s">
        <v>821</v>
      </c>
      <c r="C332" s="92" t="s">
        <v>841</v>
      </c>
      <c r="F332" s="92" t="s">
        <v>882</v>
      </c>
      <c r="G332" t="str">
        <f>_xlfn.XLOOKUP(Table4[[#This Row],[Code]],'DB - Identities'!G:G,'DB - Identities'!B:B,"Not Used")</f>
        <v>Not Used</v>
      </c>
      <c r="H332" s="92"/>
    </row>
    <row r="333" spans="1:8" ht="17">
      <c r="A333" s="103" t="s">
        <v>883</v>
      </c>
      <c r="B333" s="92" t="s">
        <v>821</v>
      </c>
      <c r="C333" s="92" t="s">
        <v>841</v>
      </c>
      <c r="F333" s="92" t="s">
        <v>884</v>
      </c>
      <c r="G333" t="str">
        <f>_xlfn.XLOOKUP(Table4[[#This Row],[Code]],'DB - Identities'!G:G,'DB - Identities'!B:B,"Not Used")</f>
        <v>Not Used</v>
      </c>
      <c r="H333" s="92"/>
    </row>
    <row r="334" spans="1:8" ht="17">
      <c r="A334" s="103" t="s">
        <v>885</v>
      </c>
      <c r="B334" s="92" t="s">
        <v>821</v>
      </c>
      <c r="C334" s="92" t="s">
        <v>841</v>
      </c>
      <c r="F334" s="92" t="s">
        <v>886</v>
      </c>
      <c r="G334" t="str">
        <f>_xlfn.XLOOKUP(Table4[[#This Row],[Code]],'DB - Identities'!G:G,'DB - Identities'!B:B,"Not Used")</f>
        <v>Not Used</v>
      </c>
      <c r="H334" s="92"/>
    </row>
    <row r="335" spans="1:8" ht="17">
      <c r="A335" s="103" t="s">
        <v>887</v>
      </c>
      <c r="B335" s="92" t="s">
        <v>821</v>
      </c>
      <c r="C335" s="92" t="s">
        <v>445</v>
      </c>
      <c r="F335" s="92" t="s">
        <v>888</v>
      </c>
      <c r="G335" t="str">
        <f>_xlfn.XLOOKUP(Table4[[#This Row],[Code]],'DB - Identities'!G:G,'DB - Identities'!B:B,"Not Used")</f>
        <v>Not Used</v>
      </c>
      <c r="H335" s="92"/>
    </row>
    <row r="336" spans="1:8" ht="17">
      <c r="A336" s="103" t="s">
        <v>889</v>
      </c>
      <c r="B336" s="92" t="s">
        <v>821</v>
      </c>
      <c r="C336" s="92" t="s">
        <v>890</v>
      </c>
      <c r="F336" s="92" t="s">
        <v>891</v>
      </c>
      <c r="G336" t="str">
        <f>_xlfn.XLOOKUP(Table4[[#This Row],[Code]],'DB - Identities'!G:G,'DB - Identities'!B:B,"Not Used")</f>
        <v>Not Used</v>
      </c>
      <c r="H336" s="92"/>
    </row>
    <row r="337" spans="1:8" ht="17">
      <c r="A337" s="103" t="s">
        <v>892</v>
      </c>
      <c r="B337" s="92" t="s">
        <v>821</v>
      </c>
      <c r="C337" s="92" t="s">
        <v>445</v>
      </c>
      <c r="F337" s="92" t="s">
        <v>893</v>
      </c>
      <c r="G337" t="str">
        <f>_xlfn.XLOOKUP(Table4[[#This Row],[Code]],'DB - Identities'!G:G,'DB - Identities'!B:B,"Not Used")</f>
        <v>Not Used</v>
      </c>
      <c r="H337" s="92"/>
    </row>
    <row r="338" spans="1:8" ht="17">
      <c r="A338" s="103" t="s">
        <v>894</v>
      </c>
      <c r="B338" s="92" t="s">
        <v>821</v>
      </c>
      <c r="C338" s="92" t="s">
        <v>445</v>
      </c>
      <c r="F338" s="92" t="s">
        <v>895</v>
      </c>
      <c r="G338" t="str">
        <f>_xlfn.XLOOKUP(Table4[[#This Row],[Code]],'DB - Identities'!G:G,'DB - Identities'!B:B,"Not Used")</f>
        <v>Not Used</v>
      </c>
      <c r="H338" s="92"/>
    </row>
    <row r="339" spans="1:8" ht="17">
      <c r="A339" s="103" t="s">
        <v>896</v>
      </c>
      <c r="B339" s="92" t="s">
        <v>821</v>
      </c>
      <c r="C339" s="92" t="s">
        <v>445</v>
      </c>
      <c r="F339" s="92" t="s">
        <v>897</v>
      </c>
      <c r="G339" t="str">
        <f>_xlfn.XLOOKUP(Table4[[#This Row],[Code]],'DB - Identities'!G:G,'DB - Identities'!B:B,"Not Used")</f>
        <v>Not Used</v>
      </c>
      <c r="H339" s="92"/>
    </row>
    <row r="340" spans="1:8" ht="17">
      <c r="A340" s="103" t="s">
        <v>898</v>
      </c>
      <c r="B340" s="92" t="s">
        <v>821</v>
      </c>
      <c r="C340" s="92" t="s">
        <v>445</v>
      </c>
      <c r="F340" s="92" t="s">
        <v>899</v>
      </c>
      <c r="G340" t="str">
        <f>_xlfn.XLOOKUP(Table4[[#This Row],[Code]],'DB - Identities'!G:G,'DB - Identities'!B:B,"Not Used")</f>
        <v>Not Used</v>
      </c>
      <c r="H340" s="92"/>
    </row>
    <row r="341" spans="1:8" ht="17">
      <c r="A341" s="103" t="s">
        <v>900</v>
      </c>
      <c r="B341" s="92" t="s">
        <v>821</v>
      </c>
      <c r="C341" s="92" t="s">
        <v>445</v>
      </c>
      <c r="F341" s="92" t="s">
        <v>901</v>
      </c>
      <c r="G341" t="str">
        <f>_xlfn.XLOOKUP(Table4[[#This Row],[Code]],'DB - Identities'!G:G,'DB - Identities'!B:B,"Not Used")</f>
        <v>Not Used</v>
      </c>
      <c r="H341" s="92"/>
    </row>
    <row r="342" spans="1:8" ht="17">
      <c r="A342" s="103" t="s">
        <v>902</v>
      </c>
      <c r="B342" s="92" t="s">
        <v>821</v>
      </c>
      <c r="C342" s="92" t="s">
        <v>445</v>
      </c>
      <c r="F342" s="92" t="s">
        <v>903</v>
      </c>
      <c r="G342" t="str">
        <f>_xlfn.XLOOKUP(Table4[[#This Row],[Code]],'DB - Identities'!G:G,'DB - Identities'!B:B,"Not Used")</f>
        <v>Not Used</v>
      </c>
      <c r="H342" s="92"/>
    </row>
    <row r="343" spans="1:8" ht="17">
      <c r="A343" s="103" t="s">
        <v>904</v>
      </c>
      <c r="B343" s="92" t="s">
        <v>821</v>
      </c>
      <c r="C343" s="92" t="s">
        <v>445</v>
      </c>
      <c r="F343" s="92" t="s">
        <v>905</v>
      </c>
      <c r="G343" t="str">
        <f>_xlfn.XLOOKUP(Table4[[#This Row],[Code]],'DB - Identities'!G:G,'DB - Identities'!B:B,"Not Used")</f>
        <v>Not Used</v>
      </c>
      <c r="H343" s="92"/>
    </row>
    <row r="344" spans="1:8" ht="17">
      <c r="A344" s="103" t="s">
        <v>906</v>
      </c>
      <c r="B344" s="92" t="s">
        <v>821</v>
      </c>
      <c r="C344" s="92" t="s">
        <v>445</v>
      </c>
      <c r="F344" s="92" t="s">
        <v>907</v>
      </c>
      <c r="G344" t="str">
        <f>_xlfn.XLOOKUP(Table4[[#This Row],[Code]],'DB - Identities'!G:G,'DB - Identities'!B:B,"Not Used")</f>
        <v>Not Used</v>
      </c>
      <c r="H344" s="92"/>
    </row>
    <row r="345" spans="1:8" ht="17">
      <c r="A345" s="103">
        <v>5.0799999999999998E+43</v>
      </c>
      <c r="B345" s="92" t="s">
        <v>821</v>
      </c>
      <c r="C345" s="92" t="s">
        <v>445</v>
      </c>
      <c r="F345" s="92" t="s">
        <v>908</v>
      </c>
      <c r="G345" t="str">
        <f>_xlfn.XLOOKUP(Table4[[#This Row],[Code]],'DB - Identities'!G:G,'DB - Identities'!B:B,"Not Used")</f>
        <v>Not Used</v>
      </c>
      <c r="H345" s="92"/>
    </row>
    <row r="346" spans="1:8" ht="17">
      <c r="A346" s="103" t="s">
        <v>909</v>
      </c>
      <c r="B346" s="92" t="s">
        <v>821</v>
      </c>
      <c r="C346" s="92" t="s">
        <v>445</v>
      </c>
      <c r="F346" s="92" t="s">
        <v>910</v>
      </c>
      <c r="G346" t="str">
        <f>_xlfn.XLOOKUP(Table4[[#This Row],[Code]],'DB - Identities'!G:G,'DB - Identities'!B:B,"Not Used")</f>
        <v>Not Used</v>
      </c>
      <c r="H346" s="92"/>
    </row>
    <row r="347" spans="1:8" ht="17">
      <c r="A347" s="103" t="s">
        <v>911</v>
      </c>
      <c r="B347" s="92" t="s">
        <v>821</v>
      </c>
      <c r="C347" s="92" t="s">
        <v>445</v>
      </c>
      <c r="F347" s="92" t="s">
        <v>912</v>
      </c>
      <c r="G347" t="str">
        <f>_xlfn.XLOOKUP(Table4[[#This Row],[Code]],'DB - Identities'!G:G,'DB - Identities'!B:B,"Not Used")</f>
        <v>Not Used</v>
      </c>
      <c r="H347" s="92"/>
    </row>
    <row r="348" spans="1:8" ht="17">
      <c r="A348" s="103" t="s">
        <v>913</v>
      </c>
      <c r="B348" s="92" t="s">
        <v>821</v>
      </c>
      <c r="C348" s="92" t="s">
        <v>445</v>
      </c>
      <c r="F348" s="92" t="s">
        <v>914</v>
      </c>
      <c r="G348" t="str">
        <f>_xlfn.XLOOKUP(Table4[[#This Row],[Code]],'DB - Identities'!G:G,'DB - Identities'!B:B,"Not Used")</f>
        <v>Not Used</v>
      </c>
      <c r="H348" s="92"/>
    </row>
    <row r="349" spans="1:8" ht="17">
      <c r="A349" s="103" t="s">
        <v>915</v>
      </c>
      <c r="B349" s="92" t="s">
        <v>821</v>
      </c>
      <c r="C349" s="92" t="s">
        <v>617</v>
      </c>
      <c r="F349" s="92" t="s">
        <v>916</v>
      </c>
      <c r="G349" t="str">
        <f>_xlfn.XLOOKUP(Table4[[#This Row],[Code]],'DB - Identities'!G:G,'DB - Identities'!B:B,"Not Used")</f>
        <v>Not Used</v>
      </c>
      <c r="H349" s="92"/>
    </row>
    <row r="350" spans="1:8" ht="17">
      <c r="A350" s="103" t="s">
        <v>917</v>
      </c>
      <c r="B350" s="92" t="s">
        <v>821</v>
      </c>
      <c r="C350" s="92" t="s">
        <v>617</v>
      </c>
      <c r="F350" s="92" t="s">
        <v>918</v>
      </c>
      <c r="G350" t="str">
        <f>_xlfn.XLOOKUP(Table4[[#This Row],[Code]],'DB - Identities'!G:G,'DB - Identities'!B:B,"Not Used")</f>
        <v>Not Used</v>
      </c>
      <c r="H350" s="92"/>
    </row>
    <row r="351" spans="1:8" ht="17">
      <c r="A351" s="103" t="s">
        <v>919</v>
      </c>
      <c r="B351" s="92" t="s">
        <v>821</v>
      </c>
      <c r="C351" s="92" t="s">
        <v>445</v>
      </c>
      <c r="F351" s="92" t="s">
        <v>920</v>
      </c>
      <c r="G351" t="str">
        <f>_xlfn.XLOOKUP(Table4[[#This Row],[Code]],'DB - Identities'!G:G,'DB - Identities'!B:B,"Not Used")</f>
        <v>Not Used</v>
      </c>
      <c r="H351" s="92"/>
    </row>
    <row r="352" spans="1:8" ht="17">
      <c r="A352" s="103" t="s">
        <v>921</v>
      </c>
      <c r="B352" s="92" t="s">
        <v>821</v>
      </c>
      <c r="C352" s="92" t="s">
        <v>617</v>
      </c>
      <c r="F352" s="92" t="s">
        <v>922</v>
      </c>
      <c r="G352" t="str">
        <f>_xlfn.XLOOKUP(Table4[[#This Row],[Code]],'DB - Identities'!G:G,'DB - Identities'!B:B,"Not Used")</f>
        <v>Not Used</v>
      </c>
      <c r="H352" s="92"/>
    </row>
    <row r="353" spans="1:8" ht="17">
      <c r="A353" s="103" t="s">
        <v>923</v>
      </c>
      <c r="B353" s="92" t="s">
        <v>821</v>
      </c>
      <c r="C353" s="92" t="s">
        <v>445</v>
      </c>
      <c r="F353" s="92" t="s">
        <v>924</v>
      </c>
      <c r="G353" t="str">
        <f>_xlfn.XLOOKUP(Table4[[#This Row],[Code]],'DB - Identities'!G:G,'DB - Identities'!B:B,"Not Used")</f>
        <v>Not Used</v>
      </c>
      <c r="H353" s="92"/>
    </row>
    <row r="354" spans="1:8" ht="17">
      <c r="A354" s="103" t="s">
        <v>925</v>
      </c>
      <c r="B354" s="92" t="s">
        <v>821</v>
      </c>
      <c r="C354" s="92" t="s">
        <v>617</v>
      </c>
      <c r="F354" s="92" t="s">
        <v>926</v>
      </c>
      <c r="G354" t="str">
        <f>_xlfn.XLOOKUP(Table4[[#This Row],[Code]],'DB - Identities'!G:G,'DB - Identities'!B:B,"Not Used")</f>
        <v>Not Used</v>
      </c>
      <c r="H354" s="92"/>
    </row>
    <row r="355" spans="1:8" ht="17">
      <c r="A355" s="103" t="s">
        <v>927</v>
      </c>
      <c r="B355" s="92" t="s">
        <v>821</v>
      </c>
      <c r="C355" s="92" t="s">
        <v>822</v>
      </c>
      <c r="F355" s="92" t="s">
        <v>928</v>
      </c>
      <c r="G355" t="str">
        <f>_xlfn.XLOOKUP(Table4[[#This Row],[Code]],'DB - Identities'!G:G,'DB - Identities'!B:B,"Not Used")</f>
        <v>Not Used</v>
      </c>
      <c r="H355" s="92"/>
    </row>
    <row r="356" spans="1:8" ht="17">
      <c r="A356" s="103" t="s">
        <v>929</v>
      </c>
      <c r="B356" s="92" t="s">
        <v>821</v>
      </c>
      <c r="C356" s="92" t="s">
        <v>617</v>
      </c>
      <c r="F356" s="92" t="s">
        <v>930</v>
      </c>
      <c r="G356" t="str">
        <f>_xlfn.XLOOKUP(Table4[[#This Row],[Code]],'DB - Identities'!G:G,'DB - Identities'!B:B,"Not Used")</f>
        <v>Not Used</v>
      </c>
      <c r="H356" s="92"/>
    </row>
    <row r="357" spans="1:8" ht="17">
      <c r="A357" s="103" t="s">
        <v>931</v>
      </c>
      <c r="B357" s="92" t="s">
        <v>821</v>
      </c>
      <c r="C357" s="92" t="s">
        <v>617</v>
      </c>
      <c r="F357" s="92" t="s">
        <v>932</v>
      </c>
      <c r="G357" t="str">
        <f>_xlfn.XLOOKUP(Table4[[#This Row],[Code]],'DB - Identities'!G:G,'DB - Identities'!B:B,"Not Used")</f>
        <v>Not Used</v>
      </c>
      <c r="H357" s="92"/>
    </row>
    <row r="358" spans="1:8" ht="17">
      <c r="A358" s="103" t="s">
        <v>933</v>
      </c>
      <c r="B358" s="92" t="s">
        <v>821</v>
      </c>
      <c r="C358" s="92" t="s">
        <v>617</v>
      </c>
      <c r="F358" s="92" t="s">
        <v>934</v>
      </c>
      <c r="G358" t="str">
        <f>_xlfn.XLOOKUP(Table4[[#This Row],[Code]],'DB - Identities'!G:G,'DB - Identities'!B:B,"Not Used")</f>
        <v>Not Used</v>
      </c>
      <c r="H358" s="92"/>
    </row>
    <row r="359" spans="1:8" ht="17">
      <c r="A359" s="103" t="s">
        <v>935</v>
      </c>
      <c r="B359" s="92" t="s">
        <v>821</v>
      </c>
      <c r="C359" s="92" t="s">
        <v>617</v>
      </c>
      <c r="F359" s="92" t="s">
        <v>936</v>
      </c>
      <c r="G359" t="str">
        <f>_xlfn.XLOOKUP(Table4[[#This Row],[Code]],'DB - Identities'!G:G,'DB - Identities'!B:B,"Not Used")</f>
        <v>Not Used</v>
      </c>
      <c r="H359" s="92"/>
    </row>
    <row r="360" spans="1:8" ht="17">
      <c r="A360" s="103" t="s">
        <v>937</v>
      </c>
      <c r="B360" s="92" t="s">
        <v>821</v>
      </c>
      <c r="C360" s="92" t="s">
        <v>617</v>
      </c>
      <c r="F360" s="92" t="s">
        <v>938</v>
      </c>
      <c r="G360" t="str">
        <f>_xlfn.XLOOKUP(Table4[[#This Row],[Code]],'DB - Identities'!G:G,'DB - Identities'!B:B,"Not Used")</f>
        <v>Not Used</v>
      </c>
      <c r="H360" s="92"/>
    </row>
    <row r="361" spans="1:8" ht="17">
      <c r="A361" s="103" t="s">
        <v>939</v>
      </c>
      <c r="B361" s="92" t="s">
        <v>821</v>
      </c>
      <c r="C361" s="92" t="s">
        <v>617</v>
      </c>
      <c r="F361" s="92" t="s">
        <v>940</v>
      </c>
      <c r="G361" t="str">
        <f>_xlfn.XLOOKUP(Table4[[#This Row],[Code]],'DB - Identities'!G:G,'DB - Identities'!B:B,"Not Used")</f>
        <v>Not Used</v>
      </c>
      <c r="H361" s="92"/>
    </row>
    <row r="362" spans="1:8" ht="17">
      <c r="A362" s="103" t="s">
        <v>941</v>
      </c>
      <c r="B362" s="92" t="s">
        <v>821</v>
      </c>
      <c r="C362" s="92" t="s">
        <v>617</v>
      </c>
      <c r="F362" s="92" t="s">
        <v>942</v>
      </c>
      <c r="G362" t="str">
        <f>_xlfn.XLOOKUP(Table4[[#This Row],[Code]],'DB - Identities'!G:G,'DB - Identities'!B:B,"Not Used")</f>
        <v>Not Used</v>
      </c>
      <c r="H362" s="92"/>
    </row>
    <row r="363" spans="1:8" ht="17">
      <c r="A363" s="103">
        <v>5.8600000000000003E+41</v>
      </c>
      <c r="B363" s="92" t="s">
        <v>821</v>
      </c>
      <c r="C363" s="92" t="s">
        <v>617</v>
      </c>
      <c r="F363" s="92" t="s">
        <v>943</v>
      </c>
      <c r="G363" t="str">
        <f>_xlfn.XLOOKUP(Table4[[#This Row],[Code]],'DB - Identities'!G:G,'DB - Identities'!B:B,"Not Used")</f>
        <v>Not Used</v>
      </c>
      <c r="H363" s="92"/>
    </row>
    <row r="364" spans="1:8" ht="17">
      <c r="A364" s="103" t="s">
        <v>944</v>
      </c>
      <c r="B364" s="92" t="s">
        <v>821</v>
      </c>
      <c r="C364" s="92" t="s">
        <v>617</v>
      </c>
      <c r="F364" s="92" t="s">
        <v>945</v>
      </c>
      <c r="G364" t="str">
        <f>_xlfn.XLOOKUP(Table4[[#This Row],[Code]],'DB - Identities'!G:G,'DB - Identities'!B:B,"Not Used")</f>
        <v>Not Used</v>
      </c>
      <c r="H364" s="92"/>
    </row>
    <row r="365" spans="1:8" ht="17">
      <c r="A365" s="103" t="s">
        <v>946</v>
      </c>
      <c r="B365" s="92" t="s">
        <v>821</v>
      </c>
      <c r="C365" s="92" t="s">
        <v>617</v>
      </c>
      <c r="F365" s="92" t="s">
        <v>947</v>
      </c>
      <c r="G365" t="str">
        <f>_xlfn.XLOOKUP(Table4[[#This Row],[Code]],'DB - Identities'!G:G,'DB - Identities'!B:B,"Not Used")</f>
        <v>Not Used</v>
      </c>
      <c r="H365" s="92"/>
    </row>
    <row r="366" spans="1:8" ht="17">
      <c r="A366" s="103" t="s">
        <v>948</v>
      </c>
      <c r="B366" s="92" t="s">
        <v>821</v>
      </c>
      <c r="C366" s="92" t="s">
        <v>617</v>
      </c>
      <c r="F366" s="92" t="s">
        <v>949</v>
      </c>
      <c r="G366" t="str">
        <f>_xlfn.XLOOKUP(Table4[[#This Row],[Code]],'DB - Identities'!G:G,'DB - Identities'!B:B,"Not Used")</f>
        <v>Not Used</v>
      </c>
      <c r="H366" s="92"/>
    </row>
    <row r="367" spans="1:8" ht="17">
      <c r="A367" s="103" t="s">
        <v>950</v>
      </c>
      <c r="B367" s="92" t="s">
        <v>821</v>
      </c>
      <c r="C367" s="92" t="s">
        <v>617</v>
      </c>
      <c r="F367" s="92" t="s">
        <v>951</v>
      </c>
      <c r="G367" t="str">
        <f>_xlfn.XLOOKUP(Table4[[#This Row],[Code]],'DB - Identities'!G:G,'DB - Identities'!B:B,"Not Used")</f>
        <v>Not Used</v>
      </c>
      <c r="H367" s="92"/>
    </row>
    <row r="368" spans="1:8" ht="17">
      <c r="A368" s="103" t="s">
        <v>952</v>
      </c>
      <c r="B368" s="92" t="s">
        <v>821</v>
      </c>
      <c r="C368" s="92" t="s">
        <v>617</v>
      </c>
      <c r="F368" s="92" t="s">
        <v>953</v>
      </c>
      <c r="G368" t="str">
        <f>_xlfn.XLOOKUP(Table4[[#This Row],[Code]],'DB - Identities'!G:G,'DB - Identities'!B:B,"Not Used")</f>
        <v>Not Used</v>
      </c>
      <c r="H368" s="92"/>
    </row>
    <row r="369" spans="1:8" ht="17">
      <c r="A369" s="103" t="s">
        <v>954</v>
      </c>
      <c r="B369" s="92" t="s">
        <v>821</v>
      </c>
      <c r="C369" s="92" t="s">
        <v>617</v>
      </c>
      <c r="F369" s="92" t="s">
        <v>955</v>
      </c>
      <c r="G369" t="str">
        <f>_xlfn.XLOOKUP(Table4[[#This Row],[Code]],'DB - Identities'!G:G,'DB - Identities'!B:B,"Not Used")</f>
        <v>Not Used</v>
      </c>
      <c r="H369" s="92"/>
    </row>
    <row r="370" spans="1:8" ht="17">
      <c r="A370" s="103" t="s">
        <v>956</v>
      </c>
      <c r="B370" s="92" t="s">
        <v>821</v>
      </c>
      <c r="C370" s="92" t="s">
        <v>890</v>
      </c>
      <c r="F370" s="92" t="s">
        <v>957</v>
      </c>
      <c r="G370" t="str">
        <f>_xlfn.XLOOKUP(Table4[[#This Row],[Code]],'DB - Identities'!G:G,'DB - Identities'!B:B,"Not Used")</f>
        <v>Not Used</v>
      </c>
      <c r="H370" s="92"/>
    </row>
    <row r="371" spans="1:8" ht="17">
      <c r="A371" s="103" t="s">
        <v>958</v>
      </c>
      <c r="B371" s="92" t="s">
        <v>821</v>
      </c>
      <c r="C371" s="92" t="s">
        <v>890</v>
      </c>
      <c r="F371" s="92" t="s">
        <v>959</v>
      </c>
      <c r="G371" t="str">
        <f>_xlfn.XLOOKUP(Table4[[#This Row],[Code]],'DB - Identities'!G:G,'DB - Identities'!B:B,"Not Used")</f>
        <v>Not Used</v>
      </c>
      <c r="H371" s="92"/>
    </row>
    <row r="372" spans="1:8" ht="17">
      <c r="A372" s="103" t="s">
        <v>960</v>
      </c>
      <c r="B372" s="92" t="s">
        <v>821</v>
      </c>
      <c r="C372" s="92" t="s">
        <v>890</v>
      </c>
      <c r="F372" s="92" t="s">
        <v>961</v>
      </c>
      <c r="G372" t="str">
        <f>_xlfn.XLOOKUP(Table4[[#This Row],[Code]],'DB - Identities'!G:G,'DB - Identities'!B:B,"Not Used")</f>
        <v>Not Used</v>
      </c>
      <c r="H372" s="92"/>
    </row>
    <row r="373" spans="1:8" ht="17">
      <c r="A373" s="103" t="s">
        <v>962</v>
      </c>
      <c r="B373" s="92" t="s">
        <v>821</v>
      </c>
      <c r="C373" s="92" t="s">
        <v>890</v>
      </c>
      <c r="F373" s="92" t="s">
        <v>963</v>
      </c>
      <c r="G373" t="str">
        <f>_xlfn.XLOOKUP(Table4[[#This Row],[Code]],'DB - Identities'!G:G,'DB - Identities'!B:B,"Not Used")</f>
        <v>Not Used</v>
      </c>
      <c r="H373" s="92"/>
    </row>
    <row r="374" spans="1:8" ht="17">
      <c r="A374" s="103" t="s">
        <v>964</v>
      </c>
      <c r="B374" s="92" t="s">
        <v>821</v>
      </c>
      <c r="C374" s="92" t="s">
        <v>890</v>
      </c>
      <c r="F374" s="92" t="s">
        <v>965</v>
      </c>
      <c r="G374" t="str">
        <f>_xlfn.XLOOKUP(Table4[[#This Row],[Code]],'DB - Identities'!G:G,'DB - Identities'!B:B,"Not Used")</f>
        <v>Not Used</v>
      </c>
      <c r="H374" s="92"/>
    </row>
    <row r="375" spans="1:8" ht="17">
      <c r="A375" s="103" t="s">
        <v>966</v>
      </c>
      <c r="B375" s="92" t="s">
        <v>821</v>
      </c>
      <c r="C375" s="92" t="s">
        <v>890</v>
      </c>
      <c r="F375" s="92" t="s">
        <v>967</v>
      </c>
      <c r="G375" t="str">
        <f>_xlfn.XLOOKUP(Table4[[#This Row],[Code]],'DB - Identities'!G:G,'DB - Identities'!B:B,"Not Used")</f>
        <v>Not Used</v>
      </c>
      <c r="H375" s="92"/>
    </row>
    <row r="376" spans="1:8" ht="17">
      <c r="A376" s="103" t="s">
        <v>968</v>
      </c>
      <c r="B376" s="92" t="s">
        <v>821</v>
      </c>
      <c r="C376" s="92" t="s">
        <v>890</v>
      </c>
      <c r="F376" s="92" t="s">
        <v>969</v>
      </c>
      <c r="G376" t="str">
        <f>_xlfn.XLOOKUP(Table4[[#This Row],[Code]],'DB - Identities'!G:G,'DB - Identities'!B:B,"Not Used")</f>
        <v>Not Used</v>
      </c>
      <c r="H376" s="92"/>
    </row>
    <row r="377" spans="1:8" ht="17">
      <c r="A377" s="103" t="s">
        <v>970</v>
      </c>
      <c r="B377" s="92" t="s">
        <v>821</v>
      </c>
      <c r="C377" s="92" t="s">
        <v>890</v>
      </c>
      <c r="F377" s="92" t="s">
        <v>971</v>
      </c>
      <c r="G377" t="str">
        <f>_xlfn.XLOOKUP(Table4[[#This Row],[Code]],'DB - Identities'!G:G,'DB - Identities'!B:B,"Not Used")</f>
        <v>Not Used</v>
      </c>
      <c r="H377" s="92"/>
    </row>
    <row r="378" spans="1:8" ht="17">
      <c r="A378" s="103" t="s">
        <v>972</v>
      </c>
      <c r="B378" s="92" t="s">
        <v>821</v>
      </c>
      <c r="C378" s="92" t="s">
        <v>973</v>
      </c>
      <c r="D378" t="s">
        <v>446</v>
      </c>
      <c r="E378" s="144">
        <v>1</v>
      </c>
      <c r="F378" t="s">
        <v>974</v>
      </c>
      <c r="G378" t="s">
        <v>975</v>
      </c>
      <c r="H378" s="92"/>
    </row>
    <row r="379" spans="1:8" ht="17">
      <c r="A379" s="103" t="s">
        <v>976</v>
      </c>
      <c r="B379" s="92" t="s">
        <v>821</v>
      </c>
      <c r="C379" s="92" t="s">
        <v>445</v>
      </c>
      <c r="D379" t="s">
        <v>446</v>
      </c>
      <c r="E379" s="144">
        <v>1</v>
      </c>
      <c r="F379" t="s">
        <v>977</v>
      </c>
      <c r="G379" t="s">
        <v>977</v>
      </c>
      <c r="H379" s="92"/>
    </row>
    <row r="380" spans="1:8" ht="17">
      <c r="A380" s="103" t="s">
        <v>978</v>
      </c>
      <c r="B380" s="92" t="s">
        <v>821</v>
      </c>
      <c r="C380" s="92" t="s">
        <v>445</v>
      </c>
      <c r="D380" t="s">
        <v>446</v>
      </c>
      <c r="E380" s="144">
        <v>1</v>
      </c>
      <c r="F380" t="s">
        <v>979</v>
      </c>
      <c r="G380" t="s">
        <v>979</v>
      </c>
      <c r="H380" s="92"/>
    </row>
    <row r="381" spans="1:8" ht="17">
      <c r="A381" s="103" t="s">
        <v>980</v>
      </c>
      <c r="B381" s="92"/>
      <c r="C381" s="92" t="s">
        <v>821</v>
      </c>
      <c r="G381" t="str">
        <f>_xlfn.XLOOKUP(Table4[[#This Row],[Code]],'DB - Identities'!G:G,'DB - Identities'!B:B,"Not Used")</f>
        <v>Not Used</v>
      </c>
      <c r="H381" s="92"/>
    </row>
    <row r="382" spans="1:8" ht="17">
      <c r="A382" s="103">
        <v>5.8599999999999997E+42</v>
      </c>
      <c r="B382" s="92"/>
      <c r="C382" s="92" t="s">
        <v>821</v>
      </c>
      <c r="G382" t="str">
        <f>_xlfn.XLOOKUP(Table4[[#This Row],[Code]],'DB - Identities'!G:G,'DB - Identities'!B:B,"Not Used")</f>
        <v>Not Used</v>
      </c>
      <c r="H382" s="92"/>
    </row>
    <row r="383" spans="1:8" ht="17">
      <c r="A383" s="103" t="s">
        <v>981</v>
      </c>
      <c r="B383" s="92"/>
      <c r="C383" s="92" t="s">
        <v>821</v>
      </c>
      <c r="G383" t="str">
        <f>_xlfn.XLOOKUP(Table4[[#This Row],[Code]],'DB - Identities'!G:G,'DB - Identities'!B:B,"Not Used")</f>
        <v>Not Used</v>
      </c>
      <c r="H383" s="92"/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F06A-E26C-9444-98C3-F0A48C9DCE88}">
  <sheetPr codeName="Sheet2">
    <tabColor theme="4" tint="0.59999389629810485"/>
  </sheetPr>
  <dimension ref="A1:AY97"/>
  <sheetViews>
    <sheetView zoomScaleNormal="100" workbookViewId="0">
      <pane xSplit="3" ySplit="1" topLeftCell="U2" activePane="bottomRight" state="frozen"/>
      <selection pane="topRight" activeCell="D1" sqref="D1"/>
      <selection pane="bottomLeft" activeCell="A2" sqref="A2"/>
      <selection pane="bottomRight" activeCell="M8" sqref="M8"/>
    </sheetView>
  </sheetViews>
  <sheetFormatPr baseColWidth="10" defaultColWidth="10.5" defaultRowHeight="19"/>
  <cols>
    <col min="1" max="1" width="17.5" style="112" bestFit="1" customWidth="1"/>
    <col min="2" max="2" width="62.5" style="14" customWidth="1"/>
    <col min="3" max="3" width="16.83203125" style="112" customWidth="1"/>
    <col min="4" max="4" width="20.5" style="14" customWidth="1"/>
    <col min="5" max="5" width="17" style="14" customWidth="1"/>
    <col min="6" max="6" width="16" style="14" customWidth="1"/>
    <col min="7" max="7" width="17" style="14" customWidth="1"/>
    <col min="8" max="8" width="21" style="114" customWidth="1"/>
    <col min="9" max="9" width="70.5" style="114" bestFit="1" customWidth="1"/>
    <col min="10" max="10" width="78.5" style="114" bestFit="1" customWidth="1"/>
    <col min="11" max="11" width="23.5" style="114" customWidth="1"/>
    <col min="12" max="12" width="31.1640625" style="14" customWidth="1"/>
    <col min="13" max="13" width="42" style="14" customWidth="1"/>
    <col min="14" max="14" width="63.33203125" style="14" customWidth="1"/>
    <col min="15" max="15" width="27.5" style="14" customWidth="1"/>
    <col min="16" max="16" width="22.5" style="14" customWidth="1"/>
    <col min="17" max="17" width="15.5" style="14" customWidth="1"/>
    <col min="18" max="18" width="17" style="14" bestFit="1" customWidth="1"/>
    <col min="19" max="19" width="16.33203125" style="14" customWidth="1"/>
    <col min="20" max="20" width="125.5" style="14" bestFit="1" customWidth="1"/>
    <col min="21" max="21" width="126.83203125" style="14" bestFit="1" customWidth="1"/>
    <col min="22" max="22" width="20.5" style="14" customWidth="1"/>
    <col min="23" max="23" width="19" style="14" customWidth="1"/>
    <col min="24" max="24" width="21" style="14" customWidth="1"/>
    <col min="25" max="25" width="21.5" style="112" bestFit="1" customWidth="1"/>
    <col min="26" max="26" width="19.5" style="14" bestFit="1" customWidth="1"/>
    <col min="27" max="28" width="19.5" style="14" customWidth="1"/>
    <col min="29" max="29" width="32" style="14" customWidth="1"/>
    <col min="30" max="30" width="19.83203125" style="14" customWidth="1"/>
    <col min="31" max="16384" width="10.5" style="14"/>
  </cols>
  <sheetData>
    <row r="1" spans="1:30" s="236" customFormat="1" ht="41" customHeight="1">
      <c r="A1" s="250" t="s">
        <v>0</v>
      </c>
      <c r="B1" s="252" t="s">
        <v>982</v>
      </c>
      <c r="C1" s="252" t="s">
        <v>2167</v>
      </c>
      <c r="D1" s="252" t="s">
        <v>2</v>
      </c>
      <c r="E1" s="252" t="s">
        <v>983</v>
      </c>
      <c r="F1" s="250" t="s">
        <v>984</v>
      </c>
      <c r="G1" s="250" t="s">
        <v>985</v>
      </c>
      <c r="H1" s="251" t="s">
        <v>436</v>
      </c>
      <c r="I1" s="250" t="s">
        <v>986</v>
      </c>
      <c r="J1" s="250" t="s">
        <v>987</v>
      </c>
      <c r="K1" s="250" t="s">
        <v>988</v>
      </c>
      <c r="L1" s="250" t="s">
        <v>989</v>
      </c>
      <c r="M1" s="250" t="s">
        <v>990</v>
      </c>
      <c r="N1" s="254" t="s">
        <v>991</v>
      </c>
      <c r="O1" s="250" t="s">
        <v>992</v>
      </c>
      <c r="P1" s="250" t="s">
        <v>993</v>
      </c>
      <c r="Q1" s="250" t="s">
        <v>994</v>
      </c>
      <c r="R1" s="250" t="s">
        <v>442</v>
      </c>
      <c r="S1" s="250" t="s">
        <v>16</v>
      </c>
      <c r="T1" s="250" t="s">
        <v>995</v>
      </c>
      <c r="U1" s="252" t="s">
        <v>996</v>
      </c>
      <c r="V1" s="252" t="s">
        <v>997</v>
      </c>
      <c r="W1" s="252" t="s">
        <v>998</v>
      </c>
      <c r="X1" s="252" t="s">
        <v>999</v>
      </c>
      <c r="Y1" s="252" t="s">
        <v>18</v>
      </c>
      <c r="Z1" s="252" t="s">
        <v>1000</v>
      </c>
      <c r="AA1" s="252" t="s">
        <v>1001</v>
      </c>
      <c r="AB1" s="252" t="s">
        <v>1002</v>
      </c>
      <c r="AC1" s="252" t="s">
        <v>1003</v>
      </c>
      <c r="AD1" s="253" t="s">
        <v>117</v>
      </c>
    </row>
    <row r="2" spans="1:30">
      <c r="A2" s="83">
        <v>1</v>
      </c>
      <c r="B2" s="36" t="str">
        <f>_xlfn.XLOOKUP(identities_t[[#This Row],[Subscription ID]],'DB - Subscriptions'!A:A,'DB - Subscriptions'!c_parties,"ERROR")</f>
        <v>HSBC Global Services (Hong Kong) Limited</v>
      </c>
      <c r="C2" s="83">
        <f ca="1">_xlfn.XLOOKUP(identities_t[[#This Row],[Subscription ID]],'DB - Subscriptions'!A:A,'DB - Subscriptions'!Q:Q)</f>
        <v>113</v>
      </c>
      <c r="D2" s="36" t="str">
        <f>_xlfn.XLOOKUP(identities_t[[#This Row],[Contracting Party]],c_parties,'DB - Contracting Parties'!C:C)</f>
        <v>Bank</v>
      </c>
      <c r="E2" s="36" t="b">
        <f>IF(identities_t[[#This Row],[Contracting Party]]="Contour Pte. Ltd.", TRUE, FALSE)</f>
        <v>0</v>
      </c>
      <c r="F2" s="36" t="s">
        <v>1004</v>
      </c>
      <c r="G2" s="36"/>
      <c r="H2" s="113">
        <f>_xlfn.XLOOKUP(identities_t[[#This Row],[Initiative Code]],Codes!A:A,Codes!B:B,"N/A")</f>
        <v>0</v>
      </c>
      <c r="I2" s="36" t="s">
        <v>1005</v>
      </c>
      <c r="J2" s="36" t="s">
        <v>1006</v>
      </c>
      <c r="K2" s="198" t="s">
        <v>1007</v>
      </c>
      <c r="L2" s="113"/>
      <c r="M2" s="198" t="s">
        <v>1008</v>
      </c>
      <c r="N2" s="36" t="str">
        <f>identities_t[[#This Row],[Identity Legal Entity Name (O)]]</f>
        <v>The Hongkong and Shanghai Banking Corporation Limited</v>
      </c>
      <c r="O2" s="36" t="s">
        <v>1009</v>
      </c>
      <c r="P2" s="36" t="s">
        <v>1010</v>
      </c>
      <c r="Q2" s="36" t="s">
        <v>1011</v>
      </c>
      <c r="R2" s="110">
        <v>44225</v>
      </c>
      <c r="S2" s="36" t="s">
        <v>39</v>
      </c>
      <c r="T2" t="s">
        <v>1012</v>
      </c>
      <c r="U2" s="36" t="str">
        <f>LOWER("OU="&amp;'DB - Identities'!$O2&amp;", O="&amp;'DB - Identities'!$N2&amp;", L="&amp;'DB - Identities'!$P2&amp;", C="&amp;'DB - Identities'!$Q2)</f>
        <v>ou=global trade and receivables finance production, o=the hongkong and shanghai banking corporation limited, l=mumbai, c=in</v>
      </c>
      <c r="V2" s="83" t="str">
        <f>_xlfn.XLOOKUP(identities_t[[#This Row],[Full X500]],'Input 3 - BNO Members'!A:A,'Input 3 - BNO Members'!C:C,"ERROR")</f>
        <v>Active</v>
      </c>
      <c r="W2" s="83">
        <f>_xlfn.XLOOKUP(identities_t[[#This Row],[Full X500]],'Input 3 - BNO Members'!A:A,'Input 3 - BNO Members'!B:B,"ERROR")</f>
        <v>878938163</v>
      </c>
      <c r="X2" s="83">
        <f>_xlfn.XLOOKUP(U:U,'Input 3 - BNO Members'!A:A,'Input 3 - BNO Members'!E:E)</f>
        <v>60100</v>
      </c>
      <c r="Y2" s="83" t="str">
        <f>IF(_xlfn.XLOOKUP(identities_t[[#This Row],[Full X500]],'CNF Sponsorship'!B:B,'CNF Sponsorship'!A:A,"ERROR")&lt;&gt;"ERROR","OK","ERROR")</f>
        <v>OK</v>
      </c>
      <c r="Z2" s="83" t="str">
        <f>_xlfn.XLOOKUP(identities_t[[#This Row],[BNO ID]],'Input 1 - Billing Run'!A:A,'Input 1 - Billing Run'!C:C,"NOT FOUND")</f>
        <v>SUCCESS</v>
      </c>
      <c r="AA2" s="37">
        <f>COUNTIF('Input 2 - Transactions'!C:C,identities_t[[#This Row],[BNO ID]])</f>
        <v>0</v>
      </c>
      <c r="AB2" s="37">
        <f>_xlfn.IFNA(_xlfn.XLOOKUP(identities_t[[#This Row],[BNO ID]],'Input 1 - Billing Run'!A:A,'Input 1 - Billing Run'!F:F),0)</f>
        <v>2</v>
      </c>
      <c r="AC2" s="83" t="str">
        <f>IF(_xlfn.XLOOKUP(identities_t[[#This Row],[Full X500]],'BNO Recon'!B:B,'BNO Recon'!AC:AC,"ERROR")&lt;&gt;"ERROR","OK","ERROR")</f>
        <v>OK</v>
      </c>
      <c r="AD2" s="183"/>
    </row>
    <row r="3" spans="1:30">
      <c r="A3" s="83">
        <v>1</v>
      </c>
      <c r="B3" s="36" t="str">
        <f>_xlfn.XLOOKUP(identities_t[[#This Row],[Subscription ID]],'DB - Subscriptions'!A:A,'DB - Subscriptions'!c_parties,"ERROR")</f>
        <v>HSBC Global Services (Hong Kong) Limited</v>
      </c>
      <c r="C3" s="83">
        <f ca="1">_xlfn.XLOOKUP(identities_t[[#This Row],[Subscription ID]],'DB - Subscriptions'!A:A,'DB - Subscriptions'!Q:Q)</f>
        <v>113</v>
      </c>
      <c r="D3" s="36" t="str">
        <f>_xlfn.XLOOKUP(identities_t[[#This Row],[Contracting Party]],c_parties,'DB - Contracting Parties'!C:C)</f>
        <v>Bank</v>
      </c>
      <c r="E3" s="36" t="b">
        <f>IF(identities_t[[#This Row],[Contracting Party]]="Contour Pte. Ltd.", TRUE, FALSE)</f>
        <v>0</v>
      </c>
      <c r="F3" s="36" t="s">
        <v>1013</v>
      </c>
      <c r="G3" s="36"/>
      <c r="H3" s="113">
        <f>_xlfn.XLOOKUP(identities_t[[#This Row],[Initiative Code]],Codes!A:A,Codes!B:B,"N/A")</f>
        <v>0</v>
      </c>
      <c r="I3" s="36" t="s">
        <v>1014</v>
      </c>
      <c r="J3" s="36" t="s">
        <v>30</v>
      </c>
      <c r="K3" s="198" t="s">
        <v>1015</v>
      </c>
      <c r="L3" s="198" t="s">
        <v>1016</v>
      </c>
      <c r="M3" s="198">
        <v>263876</v>
      </c>
      <c r="N3" s="185" t="s">
        <v>1006</v>
      </c>
      <c r="O3" s="36" t="s">
        <v>1017</v>
      </c>
      <c r="P3" s="36" t="s">
        <v>1018</v>
      </c>
      <c r="Q3" s="36" t="s">
        <v>1019</v>
      </c>
      <c r="R3" s="110">
        <v>44225</v>
      </c>
      <c r="S3" s="36" t="s">
        <v>39</v>
      </c>
      <c r="T3" t="s">
        <v>1012</v>
      </c>
      <c r="U3" s="36" t="str">
        <f>LOWER("OU="&amp;'DB - Identities'!$O3&amp;", O="&amp;'DB - Identities'!$N3&amp;", L="&amp;'DB - Identities'!$P3&amp;", C="&amp;'DB - Identities'!$Q3)</f>
        <v>ou=gtrf production, o=the hongkong and shanghai banking corporation limited, l=central district, c=hk</v>
      </c>
      <c r="V3" s="83" t="str">
        <f>_xlfn.XLOOKUP(identities_t[[#This Row],[Full X500]],'Input 3 - BNO Members'!A:A,'Input 3 - BNO Members'!C:C,"ERROR")</f>
        <v>Active</v>
      </c>
      <c r="W3" s="83">
        <f>_xlfn.XLOOKUP(identities_t[[#This Row],[Full X500]],'Input 3 - BNO Members'!A:A,'Input 3 - BNO Members'!B:B,"ERROR")</f>
        <v>711592122</v>
      </c>
      <c r="X3" s="83">
        <f>_xlfn.XLOOKUP(U:U,'Input 3 - BNO Members'!A:A,'Input 3 - BNO Members'!E:E)</f>
        <v>60100</v>
      </c>
      <c r="Y3" s="83" t="str">
        <f>IF(_xlfn.XLOOKUP(identities_t[[#This Row],[Full X500]],'CNF Sponsorship'!B:B,'CNF Sponsorship'!A:A,"ERROR")&lt;&gt;"ERROR","OK","ERROR")</f>
        <v>OK</v>
      </c>
      <c r="Z3" s="83" t="str">
        <f>_xlfn.XLOOKUP(identities_t[[#This Row],[BNO ID]],'Input 1 - Billing Run'!A:A,'Input 1 - Billing Run'!C:C,"NOT FOUND")</f>
        <v>SUCCESS</v>
      </c>
      <c r="AA3" s="37">
        <f>COUNTIF('Input 2 - Transactions'!C:C,identities_t[[#This Row],[BNO ID]])</f>
        <v>0</v>
      </c>
      <c r="AB3" s="37">
        <f>_xlfn.IFNA(_xlfn.XLOOKUP(identities_t[[#This Row],[BNO ID]],'Input 1 - Billing Run'!A:A,'Input 1 - Billing Run'!F:F),0)</f>
        <v>2</v>
      </c>
      <c r="AC3" s="83" t="str">
        <f>IF(_xlfn.XLOOKUP(identities_t[[#This Row],[Full X500]],'BNO Recon'!B:B,'BNO Recon'!AC:AC,"ERROR")&lt;&gt;"ERROR","OK","ERROR")</f>
        <v>OK</v>
      </c>
      <c r="AD3" s="171"/>
    </row>
    <row r="4" spans="1:30">
      <c r="A4" s="83">
        <v>2</v>
      </c>
      <c r="B4" s="36" t="str">
        <f>_xlfn.XLOOKUP(identities_t[[#This Row],[Subscription ID]],'DB - Subscriptions'!A:A,'DB - Subscriptions'!c_parties,"ERROR")</f>
        <v>Standard Chartered Bank (Singapore) Limited</v>
      </c>
      <c r="C4" s="83">
        <f ca="1">_xlfn.XLOOKUP(identities_t[[#This Row],[Subscription ID]],'DB - Subscriptions'!A:A,'DB - Subscriptions'!Q:Q)</f>
        <v>113</v>
      </c>
      <c r="D4" s="36" t="str">
        <f>_xlfn.XLOOKUP(identities_t[[#This Row],[Contracting Party]],c_parties,'DB - Contracting Parties'!C:C)</f>
        <v>Bank</v>
      </c>
      <c r="E4" s="36" t="b">
        <f>IF(identities_t[[#This Row],[Contracting Party]]="Contour Pte. Ltd.", TRUE, FALSE)</f>
        <v>0</v>
      </c>
      <c r="F4" s="36" t="s">
        <v>1020</v>
      </c>
      <c r="G4" s="36"/>
      <c r="H4" s="113">
        <f>_xlfn.XLOOKUP(identities_t[[#This Row],[Initiative Code]],Codes!A:A,Codes!B:B,"N/A")</f>
        <v>0</v>
      </c>
      <c r="I4" s="36" t="s">
        <v>1021</v>
      </c>
      <c r="J4" s="36" t="s">
        <v>41</v>
      </c>
      <c r="K4" s="199" t="s">
        <v>1022</v>
      </c>
      <c r="L4" s="202" t="s">
        <v>43</v>
      </c>
      <c r="M4" s="198" t="s">
        <v>42</v>
      </c>
      <c r="N4" s="36" t="str">
        <f>identities_t[[#This Row],[Identity Legal Entity Name (O)]]</f>
        <v>Standard Chartered Bank (Singapore) Limited</v>
      </c>
      <c r="O4" s="36" t="s">
        <v>1023</v>
      </c>
      <c r="P4" s="36" t="s">
        <v>1024</v>
      </c>
      <c r="Q4" s="36" t="s">
        <v>1025</v>
      </c>
      <c r="R4" s="110">
        <v>44228</v>
      </c>
      <c r="S4" s="36" t="s">
        <v>39</v>
      </c>
      <c r="T4" t="s">
        <v>1026</v>
      </c>
      <c r="U4" s="36" t="str">
        <f>LOWER("OU="&amp;'DB - Identities'!$O4&amp;", O="&amp;'DB - Identities'!$N4&amp;", L="&amp;'DB - Identities'!$P4&amp;", C="&amp;'DB - Identities'!$Q4)</f>
        <v>ou=cib ito-corda, o=standard chartered bank (singapore) limited, l=singapore, c=sg</v>
      </c>
      <c r="V4" s="83" t="str">
        <f>_xlfn.XLOOKUP(identities_t[[#This Row],[Full X500]],'Input 3 - BNO Members'!A:A,'Input 3 - BNO Members'!C:C,"ERROR")</f>
        <v>Active</v>
      </c>
      <c r="W4" s="83">
        <f>_xlfn.XLOOKUP(identities_t[[#This Row],[Full X500]],'Input 3 - BNO Members'!A:A,'Input 3 - BNO Members'!B:B,"ERROR")</f>
        <v>197542693</v>
      </c>
      <c r="X4" s="83">
        <f>_xlfn.XLOOKUP(U:U,'Input 3 - BNO Members'!A:A,'Input 3 - BNO Members'!E:E)</f>
        <v>60000</v>
      </c>
      <c r="Y4" s="83" t="str">
        <f>IF(_xlfn.XLOOKUP(identities_t[[#This Row],[Full X500]],'CNF Sponsorship'!B:B,'CNF Sponsorship'!A:A,"ERROR")&lt;&gt;"ERROR","OK","ERROR")</f>
        <v>OK</v>
      </c>
      <c r="Z4" s="83" t="str">
        <f>_xlfn.XLOOKUP(identities_t[[#This Row],[BNO ID]],'Input 1 - Billing Run'!A:A,'Input 1 - Billing Run'!C:C,"NOT FOUND")</f>
        <v>SUCCESS</v>
      </c>
      <c r="AA4" s="37">
        <f>COUNTIF('Input 2 - Transactions'!C:C,identities_t[[#This Row],[BNO ID]])</f>
        <v>0</v>
      </c>
      <c r="AB4" s="37">
        <f>_xlfn.IFNA(_xlfn.XLOOKUP(identities_t[[#This Row],[BNO ID]],'Input 1 - Billing Run'!A:A,'Input 1 - Billing Run'!F:F),0)</f>
        <v>0</v>
      </c>
      <c r="AC4" s="83" t="str">
        <f>IF(_xlfn.XLOOKUP(identities_t[[#This Row],[Full X500]],'BNO Recon'!B:B,'BNO Recon'!AC:AC,"ERROR")&lt;&gt;"ERROR","OK","ERROR")</f>
        <v>OK</v>
      </c>
      <c r="AD4" s="171"/>
    </row>
    <row r="5" spans="1:30">
      <c r="A5" s="83">
        <v>3</v>
      </c>
      <c r="B5" s="36" t="str">
        <f>_xlfn.XLOOKUP(identities_t[[#This Row],[Subscription ID]],'DB - Subscriptions'!A:A,'DB - Subscriptions'!c_parties,"ERROR")</f>
        <v>Standard Chartered Bank, Bangladesh Branch</v>
      </c>
      <c r="C5" s="83">
        <f ca="1">_xlfn.XLOOKUP(identities_t[[#This Row],[Subscription ID]],'DB - Subscriptions'!A:A,'DB - Subscriptions'!Q:Q)</f>
        <v>113</v>
      </c>
      <c r="D5" s="36" t="str">
        <f>_xlfn.XLOOKUP(identities_t[[#This Row],[Contracting Party]],c_parties,'DB - Contracting Parties'!C:C)</f>
        <v>Bank</v>
      </c>
      <c r="E5" s="36" t="b">
        <f>IF(identities_t[[#This Row],[Contracting Party]]="Contour Pte. Ltd.", TRUE, FALSE)</f>
        <v>0</v>
      </c>
      <c r="F5" s="36" t="s">
        <v>1027</v>
      </c>
      <c r="G5" s="36"/>
      <c r="H5" s="113">
        <f>_xlfn.XLOOKUP(identities_t[[#This Row],[Initiative Code]],Codes!A:A,Codes!B:B,"N/A")</f>
        <v>0</v>
      </c>
      <c r="I5" s="36" t="s">
        <v>1028</v>
      </c>
      <c r="J5" s="36" t="s">
        <v>1028</v>
      </c>
      <c r="K5" s="199" t="s">
        <v>1029</v>
      </c>
      <c r="L5" s="113"/>
      <c r="M5" s="198" t="s">
        <v>51</v>
      </c>
      <c r="N5" s="36" t="str">
        <f>identities_t[[#This Row],[Identity Legal Entity Name (O)]]</f>
        <v>Standard Chartered Bank Bangladesh Branch Limited</v>
      </c>
      <c r="O5" s="36" t="s">
        <v>1023</v>
      </c>
      <c r="P5" s="36" t="s">
        <v>1030</v>
      </c>
      <c r="Q5" s="36" t="s">
        <v>1031</v>
      </c>
      <c r="R5" s="110">
        <v>44228</v>
      </c>
      <c r="S5" s="36" t="s">
        <v>39</v>
      </c>
      <c r="T5" t="s">
        <v>1026</v>
      </c>
      <c r="U5" s="36" t="str">
        <f>LOWER("OU="&amp;'DB - Identities'!$O5&amp;", O="&amp;'DB - Identities'!$N5&amp;", L="&amp;'DB - Identities'!$P5&amp;", C="&amp;'DB - Identities'!$Q5)</f>
        <v>ou=cib ito-corda, o=standard chartered bank bangladesh branch limited, l=dhaka, c=bd</v>
      </c>
      <c r="V5" s="83" t="str">
        <f>_xlfn.XLOOKUP(identities_t[[#This Row],[Full X500]],'Input 3 - BNO Members'!A:A,'Input 3 - BNO Members'!C:C,"ERROR")</f>
        <v>Active</v>
      </c>
      <c r="W5" s="83">
        <f>_xlfn.XLOOKUP(identities_t[[#This Row],[Full X500]],'Input 3 - BNO Members'!A:A,'Input 3 - BNO Members'!B:B,"ERROR")</f>
        <v>460503030</v>
      </c>
      <c r="X5" s="83">
        <f>_xlfn.XLOOKUP(U:U,'Input 3 - BNO Members'!A:A,'Input 3 - BNO Members'!E:E)</f>
        <v>60000</v>
      </c>
      <c r="Y5" s="83" t="str">
        <f>IF(_xlfn.XLOOKUP(identities_t[[#This Row],[Full X500]],'CNF Sponsorship'!B:B,'CNF Sponsorship'!A:A,"ERROR")&lt;&gt;"ERROR","OK","ERROR")</f>
        <v>OK</v>
      </c>
      <c r="Z5" s="83" t="str">
        <f>_xlfn.XLOOKUP(identities_t[[#This Row],[BNO ID]],'Input 1 - Billing Run'!A:A,'Input 1 - Billing Run'!C:C,"NOT FOUND")</f>
        <v>SUCCESS</v>
      </c>
      <c r="AA5" s="37">
        <f>COUNTIF('Input 2 - Transactions'!C:C,identities_t[[#This Row],[BNO ID]])</f>
        <v>0</v>
      </c>
      <c r="AB5" s="37">
        <f>_xlfn.IFNA(_xlfn.XLOOKUP(identities_t[[#This Row],[BNO ID]],'Input 1 - Billing Run'!A:A,'Input 1 - Billing Run'!F:F),0)</f>
        <v>0</v>
      </c>
      <c r="AC5" s="83" t="str">
        <f>IF(_xlfn.XLOOKUP(identities_t[[#This Row],[Full X500]],'BNO Recon'!B:B,'BNO Recon'!AC:AC,"ERROR")&lt;&gt;"ERROR","OK","ERROR")</f>
        <v>OK</v>
      </c>
      <c r="AD5" s="171"/>
    </row>
    <row r="6" spans="1:30">
      <c r="A6" s="83">
        <v>1</v>
      </c>
      <c r="B6" s="36" t="str">
        <f>_xlfn.XLOOKUP(identities_t[[#This Row],[Subscription ID]],'DB - Subscriptions'!A:A,'DB - Subscriptions'!c_parties,"ERROR")</f>
        <v>HSBC Global Services (Hong Kong) Limited</v>
      </c>
      <c r="C6" s="83">
        <f ca="1">_xlfn.XLOOKUP(identities_t[[#This Row],[Subscription ID]],'DB - Subscriptions'!A:A,'DB - Subscriptions'!Q:Q)</f>
        <v>113</v>
      </c>
      <c r="D6" s="36" t="str">
        <f>_xlfn.XLOOKUP(identities_t[[#This Row],[Contracting Party]],c_parties,'DB - Contracting Parties'!C:C)</f>
        <v>Bank</v>
      </c>
      <c r="E6" s="36" t="b">
        <f>IF(identities_t[[#This Row],[Contracting Party]]="Contour Pte. Ltd.", TRUE, FALSE)</f>
        <v>0</v>
      </c>
      <c r="F6" s="26" t="s">
        <v>1172</v>
      </c>
      <c r="G6" s="36"/>
      <c r="H6" s="113">
        <f>_xlfn.XLOOKUP(identities_t[[#This Row],[Initiative Code]],Codes!A:A,Codes!B:B,"N/A")</f>
        <v>0</v>
      </c>
      <c r="I6" s="36" t="s">
        <v>564</v>
      </c>
      <c r="J6" s="36" t="s">
        <v>1032</v>
      </c>
      <c r="K6" s="198" t="s">
        <v>1033</v>
      </c>
      <c r="L6" s="202" t="s">
        <v>1034</v>
      </c>
      <c r="M6" s="198">
        <v>2199</v>
      </c>
      <c r="N6" s="36" t="str">
        <f>identities_t[[#This Row],[Identity Legal Entity Name (O)]]</f>
        <v>HSBC Bank Middle East Ltd</v>
      </c>
      <c r="O6" s="36" t="s">
        <v>1017</v>
      </c>
      <c r="P6" s="36" t="s">
        <v>1035</v>
      </c>
      <c r="Q6" s="36" t="s">
        <v>1036</v>
      </c>
      <c r="R6" s="110">
        <v>44407</v>
      </c>
      <c r="S6" s="36" t="s">
        <v>39</v>
      </c>
      <c r="T6" t="s">
        <v>1012</v>
      </c>
      <c r="U6" s="36" t="str">
        <f>LOWER("OU="&amp;'DB - Identities'!$O6&amp;", O="&amp;'DB - Identities'!$N6&amp;", L="&amp;'DB - Identities'!$P6&amp;", C="&amp;'DB - Identities'!$Q6)</f>
        <v>ou=gtrf production, o=hsbc bank middle east ltd, l=dubai, c=ae</v>
      </c>
      <c r="V6" s="83" t="str">
        <f>_xlfn.XLOOKUP(identities_t[[#This Row],[Full X500]],'Input 3 - BNO Members'!A:A,'Input 3 - BNO Members'!C:C,"ERROR")</f>
        <v>Active</v>
      </c>
      <c r="W6" s="83">
        <f>_xlfn.XLOOKUP(identities_t[[#This Row],[Full X500]],'Input 3 - BNO Members'!A:A,'Input 3 - BNO Members'!B:B,"ERROR")</f>
        <v>479280980</v>
      </c>
      <c r="X6" s="83">
        <f>_xlfn.XLOOKUP(U:U,'Input 3 - BNO Members'!A:A,'Input 3 - BNO Members'!E:E)</f>
        <v>60100</v>
      </c>
      <c r="Y6" s="83" t="str">
        <f>IF(_xlfn.XLOOKUP(identities_t[[#This Row],[Full X500]],'CNF Sponsorship'!B:B,'CNF Sponsorship'!A:A,"ERROR")&lt;&gt;"ERROR","OK","ERROR")</f>
        <v>ERROR</v>
      </c>
      <c r="Z6" s="83" t="str">
        <f>_xlfn.XLOOKUP(identities_t[[#This Row],[BNO ID]],'Input 1 - Billing Run'!A:A,'Input 1 - Billing Run'!C:C,"NOT FOUND")</f>
        <v>SUCCESS</v>
      </c>
      <c r="AA6" s="37">
        <f>COUNTIF('Input 2 - Transactions'!C:C,identities_t[[#This Row],[BNO ID]])</f>
        <v>1</v>
      </c>
      <c r="AB6" s="37">
        <f>_xlfn.IFNA(_xlfn.XLOOKUP(identities_t[[#This Row],[BNO ID]],'Input 1 - Billing Run'!A:A,'Input 1 - Billing Run'!F:F),0)</f>
        <v>1</v>
      </c>
      <c r="AC6" s="83" t="str">
        <f>IF(_xlfn.XLOOKUP(identities_t[[#This Row],[Full X500]],'BNO Recon'!B:B,'BNO Recon'!AC:AC,"ERROR")&lt;&gt;"ERROR","OK","ERROR")</f>
        <v>OK</v>
      </c>
      <c r="AD6" s="171"/>
    </row>
    <row r="7" spans="1:30">
      <c r="A7" s="83">
        <v>1</v>
      </c>
      <c r="B7" s="36" t="str">
        <f>_xlfn.XLOOKUP(identities_t[[#This Row],[Subscription ID]],'DB - Subscriptions'!A:A,'DB - Subscriptions'!c_parties,"ERROR")</f>
        <v>HSBC Global Services (Hong Kong) Limited</v>
      </c>
      <c r="C7" s="83">
        <f ca="1">_xlfn.XLOOKUP(identities_t[[#This Row],[Subscription ID]],'DB - Subscriptions'!A:A,'DB - Subscriptions'!Q:Q)</f>
        <v>113</v>
      </c>
      <c r="D7" s="36" t="str">
        <f>_xlfn.XLOOKUP(identities_t[[#This Row],[Contracting Party]],c_parties,'DB - Contracting Parties'!C:C)</f>
        <v>Bank</v>
      </c>
      <c r="E7" s="36" t="b">
        <f>IF(identities_t[[#This Row],[Contracting Party]]="Contour Pte. Ltd.", TRUE, FALSE)</f>
        <v>0</v>
      </c>
      <c r="F7" s="36" t="s">
        <v>1037</v>
      </c>
      <c r="G7" s="36"/>
      <c r="H7" s="113">
        <f>_xlfn.XLOOKUP(identities_t[[#This Row],[Initiative Code]],Codes!A:A,Codes!B:B,"N/A")</f>
        <v>0</v>
      </c>
      <c r="I7" s="36" t="s">
        <v>1038</v>
      </c>
      <c r="J7" s="36" t="s">
        <v>1006</v>
      </c>
      <c r="K7" s="198" t="s">
        <v>1039</v>
      </c>
      <c r="L7" s="113"/>
      <c r="M7" s="198" t="s">
        <v>1040</v>
      </c>
      <c r="N7" s="36" t="str">
        <f>identities_t[[#This Row],[Identity Legal Entity Name (O)]]</f>
        <v>The Hongkong and Shanghai Banking Corporation Limited</v>
      </c>
      <c r="O7" s="36" t="s">
        <v>1009</v>
      </c>
      <c r="P7" s="36" t="s">
        <v>1024</v>
      </c>
      <c r="Q7" s="36" t="s">
        <v>1025</v>
      </c>
      <c r="R7" s="110">
        <v>44238</v>
      </c>
      <c r="S7" s="36" t="s">
        <v>39</v>
      </c>
      <c r="T7" t="s">
        <v>1012</v>
      </c>
      <c r="U7" s="36" t="str">
        <f>LOWER("OU="&amp;'DB - Identities'!$O7&amp;", O="&amp;'DB - Identities'!$N7&amp;", L="&amp;'DB - Identities'!$P7&amp;", C="&amp;'DB - Identities'!$Q7)</f>
        <v>ou=global trade and receivables finance production, o=the hongkong and shanghai banking corporation limited, l=singapore, c=sg</v>
      </c>
      <c r="V7" s="83" t="str">
        <f>_xlfn.XLOOKUP(identities_t[[#This Row],[Full X500]],'Input 3 - BNO Members'!A:A,'Input 3 - BNO Members'!C:C,"ERROR")</f>
        <v>Active</v>
      </c>
      <c r="W7" s="83">
        <f>_xlfn.XLOOKUP(identities_t[[#This Row],[Full X500]],'Input 3 - BNO Members'!A:A,'Input 3 - BNO Members'!B:B,"ERROR")</f>
        <v>330856180</v>
      </c>
      <c r="X7" s="83">
        <f>_xlfn.XLOOKUP(U:U,'Input 3 - BNO Members'!A:A,'Input 3 - BNO Members'!E:E)</f>
        <v>60100</v>
      </c>
      <c r="Y7" s="83" t="str">
        <f>IF(_xlfn.XLOOKUP(identities_t[[#This Row],[Full X500]],'CNF Sponsorship'!B:B,'CNF Sponsorship'!A:A,"ERROR")&lt;&gt;"ERROR","OK","ERROR")</f>
        <v>OK</v>
      </c>
      <c r="Z7" s="83" t="str">
        <f>_xlfn.XLOOKUP(identities_t[[#This Row],[BNO ID]],'Input 1 - Billing Run'!A:A,'Input 1 - Billing Run'!C:C,"NOT FOUND")</f>
        <v>SUCCESS</v>
      </c>
      <c r="AA7" s="37">
        <f>COUNTIF('Input 2 - Transactions'!C:C,identities_t[[#This Row],[BNO ID]])</f>
        <v>2</v>
      </c>
      <c r="AB7" s="37">
        <f>_xlfn.IFNA(_xlfn.XLOOKUP(identities_t[[#This Row],[BNO ID]],'Input 1 - Billing Run'!A:A,'Input 1 - Billing Run'!F:F),0)</f>
        <v>4</v>
      </c>
      <c r="AC7" s="83" t="str">
        <f>IF(_xlfn.XLOOKUP(identities_t[[#This Row],[Full X500]],'BNO Recon'!B:B,'BNO Recon'!AC:AC,"ERROR")&lt;&gt;"ERROR","OK","ERROR")</f>
        <v>OK</v>
      </c>
      <c r="AD7" s="171"/>
    </row>
    <row r="8" spans="1:30">
      <c r="A8" s="83">
        <v>1</v>
      </c>
      <c r="B8" s="36" t="str">
        <f>_xlfn.XLOOKUP(identities_t[[#This Row],[Subscription ID]],'DB - Subscriptions'!A:A,'DB - Subscriptions'!c_parties,"ERROR")</f>
        <v>HSBC Global Services (Hong Kong) Limited</v>
      </c>
      <c r="C8" s="83">
        <f ca="1">_xlfn.XLOOKUP(identities_t[[#This Row],[Subscription ID]],'DB - Subscriptions'!A:A,'DB - Subscriptions'!Q:Q)</f>
        <v>113</v>
      </c>
      <c r="D8" s="36" t="str">
        <f>_xlfn.XLOOKUP(identities_t[[#This Row],[Contracting Party]],c_parties,'DB - Contracting Parties'!C:C)</f>
        <v>Bank</v>
      </c>
      <c r="E8" s="36" t="b">
        <f>IF(identities_t[[#This Row],[Contracting Party]]="Contour Pte. Ltd.", TRUE, FALSE)</f>
        <v>0</v>
      </c>
      <c r="F8" s="36" t="s">
        <v>1041</v>
      </c>
      <c r="G8" s="36"/>
      <c r="H8" s="113">
        <f>_xlfn.XLOOKUP(identities_t[[#This Row],[Initiative Code]],Codes!A:A,Codes!B:B,"N/A")</f>
        <v>0</v>
      </c>
      <c r="I8" s="36" t="s">
        <v>1042</v>
      </c>
      <c r="J8" s="36" t="s">
        <v>1006</v>
      </c>
      <c r="K8" s="198" t="s">
        <v>1043</v>
      </c>
      <c r="L8" s="113"/>
      <c r="M8" s="198" t="s">
        <v>1044</v>
      </c>
      <c r="N8" s="36" t="str">
        <f>identities_t[[#This Row],[Identity Legal Entity Name (O)]]</f>
        <v>The Hongkong and Shanghai Banking Corporation Limited</v>
      </c>
      <c r="O8" s="36" t="s">
        <v>1009</v>
      </c>
      <c r="P8" s="36" t="s">
        <v>1030</v>
      </c>
      <c r="Q8" s="36" t="s">
        <v>1031</v>
      </c>
      <c r="R8" s="110">
        <v>44253</v>
      </c>
      <c r="S8" s="36" t="s">
        <v>39</v>
      </c>
      <c r="T8" t="s">
        <v>1012</v>
      </c>
      <c r="U8" s="36" t="str">
        <f>LOWER("OU="&amp;'DB - Identities'!$O8&amp;", O="&amp;'DB - Identities'!$N8&amp;", L="&amp;'DB - Identities'!$P8&amp;", C="&amp;'DB - Identities'!$Q8)</f>
        <v>ou=global trade and receivables finance production, o=the hongkong and shanghai banking corporation limited, l=dhaka, c=bd</v>
      </c>
      <c r="V8" s="83" t="str">
        <f>_xlfn.XLOOKUP(identities_t[[#This Row],[Full X500]],'Input 3 - BNO Members'!A:A,'Input 3 - BNO Members'!C:C,"ERROR")</f>
        <v>Active</v>
      </c>
      <c r="W8" s="83">
        <f>_xlfn.XLOOKUP(identities_t[[#This Row],[Full X500]],'Input 3 - BNO Members'!A:A,'Input 3 - BNO Members'!B:B,"ERROR")</f>
        <v>852857632</v>
      </c>
      <c r="X8" s="83">
        <f>_xlfn.XLOOKUP(U:U,'Input 3 - BNO Members'!A:A,'Input 3 - BNO Members'!E:E)</f>
        <v>60100</v>
      </c>
      <c r="Y8" s="83" t="str">
        <f>IF(_xlfn.XLOOKUP(identities_t[[#This Row],[Full X500]],'CNF Sponsorship'!B:B,'CNF Sponsorship'!A:A,"ERROR")&lt;&gt;"ERROR","OK","ERROR")</f>
        <v>OK</v>
      </c>
      <c r="Z8" s="83" t="str">
        <f>_xlfn.XLOOKUP(identities_t[[#This Row],[BNO ID]],'Input 1 - Billing Run'!A:A,'Input 1 - Billing Run'!C:C,"NOT FOUND")</f>
        <v>SUCCESS</v>
      </c>
      <c r="AA8" s="37">
        <f>COUNTIF('Input 2 - Transactions'!C:C,identities_t[[#This Row],[BNO ID]])</f>
        <v>2</v>
      </c>
      <c r="AB8" s="37">
        <f>_xlfn.IFNA(_xlfn.XLOOKUP(identities_t[[#This Row],[BNO ID]],'Input 1 - Billing Run'!A:A,'Input 1 - Billing Run'!F:F),0)</f>
        <v>2</v>
      </c>
      <c r="AC8" s="83" t="str">
        <f>IF(_xlfn.XLOOKUP(identities_t[[#This Row],[Full X500]],'BNO Recon'!B:B,'BNO Recon'!AC:AC,"ERROR")&lt;&gt;"ERROR","OK","ERROR")</f>
        <v>OK</v>
      </c>
      <c r="AD8" s="171"/>
    </row>
    <row r="9" spans="1:30">
      <c r="A9" s="83">
        <v>1</v>
      </c>
      <c r="B9" s="36" t="str">
        <f>_xlfn.XLOOKUP(identities_t[[#This Row],[Subscription ID]],'DB - Subscriptions'!A:A,'DB - Subscriptions'!c_parties,"ERROR")</f>
        <v>HSBC Global Services (Hong Kong) Limited</v>
      </c>
      <c r="C9" s="83">
        <f ca="1">_xlfn.XLOOKUP(identities_t[[#This Row],[Subscription ID]],'DB - Subscriptions'!A:A,'DB - Subscriptions'!Q:Q)</f>
        <v>113</v>
      </c>
      <c r="D9" s="36" t="str">
        <f>_xlfn.XLOOKUP(identities_t[[#This Row],[Contracting Party]],c_parties,'DB - Contracting Parties'!C:C)</f>
        <v>Bank</v>
      </c>
      <c r="E9" s="36" t="b">
        <f>IF(identities_t[[#This Row],[Contracting Party]]="Contour Pte. Ltd.", TRUE, FALSE)</f>
        <v>0</v>
      </c>
      <c r="F9" s="36" t="s">
        <v>1045</v>
      </c>
      <c r="G9" s="36"/>
      <c r="H9" s="113">
        <f>_xlfn.XLOOKUP(identities_t[[#This Row],[Initiative Code]],Codes!A:A,Codes!B:B,"N/A")</f>
        <v>0</v>
      </c>
      <c r="I9" s="36" t="s">
        <v>1046</v>
      </c>
      <c r="J9" s="36" t="s">
        <v>1047</v>
      </c>
      <c r="K9" s="198" t="s">
        <v>1048</v>
      </c>
      <c r="L9" s="202" t="s">
        <v>1049</v>
      </c>
      <c r="M9" s="198" t="s">
        <v>1050</v>
      </c>
      <c r="N9" s="36" t="str">
        <f>identities_t[[#This Row],[Identity Legal Entity Name (O)]]</f>
        <v>HSBC Bank Malaysia Berhad</v>
      </c>
      <c r="O9" s="36" t="s">
        <v>1017</v>
      </c>
      <c r="P9" s="36" t="s">
        <v>1051</v>
      </c>
      <c r="Q9" s="36" t="s">
        <v>1052</v>
      </c>
      <c r="R9" s="110">
        <v>44407</v>
      </c>
      <c r="S9" s="36" t="s">
        <v>39</v>
      </c>
      <c r="T9" t="s">
        <v>1012</v>
      </c>
      <c r="U9" s="36" t="str">
        <f>LOWER("OU="&amp;'DB - Identities'!$O9&amp;", O="&amp;'DB - Identities'!$N9&amp;", L="&amp;'DB - Identities'!$P9&amp;", C="&amp;'DB - Identities'!$Q9)</f>
        <v>ou=gtrf production, o=hsbc bank malaysia berhad, l=kuala lumpur, c=my</v>
      </c>
      <c r="V9" s="83" t="str">
        <f>_xlfn.XLOOKUP(identities_t[[#This Row],[Full X500]],'Input 3 - BNO Members'!A:A,'Input 3 - BNO Members'!C:C,"ERROR")</f>
        <v>Active</v>
      </c>
      <c r="W9" s="83">
        <f>_xlfn.XLOOKUP(identities_t[[#This Row],[Full X500]],'Input 3 - BNO Members'!A:A,'Input 3 - BNO Members'!B:B,"ERROR")</f>
        <v>509447106</v>
      </c>
      <c r="X9" s="83">
        <f>_xlfn.XLOOKUP(U:U,'Input 3 - BNO Members'!A:A,'Input 3 - BNO Members'!E:E)</f>
        <v>60100</v>
      </c>
      <c r="Y9" s="83" t="str">
        <f>IF(_xlfn.XLOOKUP(identities_t[[#This Row],[Full X500]],'CNF Sponsorship'!B:B,'CNF Sponsorship'!A:A,"ERROR")&lt;&gt;"ERROR","OK","ERROR")</f>
        <v>ERROR</v>
      </c>
      <c r="Z9" s="83" t="str">
        <f>_xlfn.XLOOKUP(identities_t[[#This Row],[BNO ID]],'Input 1 - Billing Run'!A:A,'Input 1 - Billing Run'!C:C,"NOT FOUND")</f>
        <v>SUCCESS</v>
      </c>
      <c r="AA9" s="37">
        <f>COUNTIF('Input 2 - Transactions'!C:C,identities_t[[#This Row],[BNO ID]])</f>
        <v>0</v>
      </c>
      <c r="AB9" s="37">
        <f>_xlfn.IFNA(_xlfn.XLOOKUP(identities_t[[#This Row],[BNO ID]],'Input 1 - Billing Run'!A:A,'Input 1 - Billing Run'!F:F),0)</f>
        <v>0</v>
      </c>
      <c r="AC9" s="83" t="str">
        <f>IF(_xlfn.XLOOKUP(identities_t[[#This Row],[Full X500]],'BNO Recon'!B:B,'BNO Recon'!AC:AC,"ERROR")&lt;&gt;"ERROR","OK","ERROR")</f>
        <v>OK</v>
      </c>
      <c r="AD9" s="171"/>
    </row>
    <row r="10" spans="1:30">
      <c r="A10" s="83">
        <v>10</v>
      </c>
      <c r="B10" s="36" t="str">
        <f>_xlfn.XLOOKUP(identities_t[[#This Row],[Subscription ID]],'DB - Subscriptions'!A:A,'DB - Subscriptions'!c_parties,"ERROR")</f>
        <v>PT Bank Permata Tbk</v>
      </c>
      <c r="C10" s="83">
        <f ca="1">_xlfn.XLOOKUP(identities_t[[#This Row],[Subscription ID]],'DB - Subscriptions'!A:A,'DB - Subscriptions'!Q:Q)</f>
        <v>172</v>
      </c>
      <c r="D10" s="36" t="str">
        <f>_xlfn.XLOOKUP(identities_t[[#This Row],[Contracting Party]],c_parties,'DB - Contracting Parties'!C:C)</f>
        <v>Bank</v>
      </c>
      <c r="E10" s="36" t="b">
        <f>IF(identities_t[[#This Row],[Contracting Party]]="Contour Pte. Ltd.", TRUE, FALSE)</f>
        <v>0</v>
      </c>
      <c r="F10" s="36" t="s">
        <v>1053</v>
      </c>
      <c r="G10" s="36"/>
      <c r="H10" s="113">
        <f>_xlfn.XLOOKUP(identities_t[[#This Row],[Initiative Code]],Codes!A:A,Codes!B:B,"N/A")</f>
        <v>0</v>
      </c>
      <c r="I10" s="36" t="s">
        <v>1054</v>
      </c>
      <c r="J10" s="36" t="s">
        <v>1055</v>
      </c>
      <c r="K10" s="198" t="s">
        <v>1056</v>
      </c>
      <c r="L10" s="198" t="s">
        <v>1057</v>
      </c>
      <c r="M10" s="198">
        <v>8120118081525</v>
      </c>
      <c r="N10" s="36" t="str">
        <f>identities_t[[#This Row],[Identity Legal Entity Name (O)]]</f>
        <v>PT Bank Permata TBK</v>
      </c>
      <c r="O10" s="36" t="s">
        <v>1058</v>
      </c>
      <c r="P10" s="36" t="s">
        <v>1059</v>
      </c>
      <c r="Q10" s="36" t="s">
        <v>1060</v>
      </c>
      <c r="R10" s="110">
        <v>44285</v>
      </c>
      <c r="S10" s="36" t="s">
        <v>39</v>
      </c>
      <c r="T10" t="s">
        <v>1061</v>
      </c>
      <c r="U10" s="36" t="str">
        <f>LOWER("OU="&amp;'DB - Identities'!$O10&amp;", O="&amp;'DB - Identities'!$N10&amp;", L="&amp;'DB - Identities'!$P10&amp;", C="&amp;'DB - Identities'!$Q10)</f>
        <v>ou=permata, o=pt bank permata tbk, l=jakarta, c=id</v>
      </c>
      <c r="V10" s="83" t="str">
        <f>_xlfn.XLOOKUP(identities_t[[#This Row],[Full X500]],'Input 3 - BNO Members'!A:A,'Input 3 - BNO Members'!C:C,"ERROR")</f>
        <v>Active</v>
      </c>
      <c r="W10" s="83">
        <f>_xlfn.XLOOKUP(identities_t[[#This Row],[Full X500]],'Input 3 - BNO Members'!A:A,'Input 3 - BNO Members'!B:B,"ERROR")</f>
        <v>769225837</v>
      </c>
      <c r="X10" s="83">
        <f>_xlfn.XLOOKUP(U:U,'Input 3 - BNO Members'!A:A,'Input 3 - BNO Members'!E:E)</f>
        <v>60000</v>
      </c>
      <c r="Y10" s="83" t="str">
        <f>IF(_xlfn.XLOOKUP(identities_t[[#This Row],[Full X500]],'CNF Sponsorship'!B:B,'CNF Sponsorship'!A:A,"ERROR")&lt;&gt;"ERROR","OK","ERROR")</f>
        <v>OK</v>
      </c>
      <c r="Z10" s="83" t="str">
        <f>_xlfn.XLOOKUP(identities_t[[#This Row],[BNO ID]],'Input 1 - Billing Run'!A:A,'Input 1 - Billing Run'!C:C,"NOT FOUND")</f>
        <v>SUCCESS</v>
      </c>
      <c r="AA10" s="37">
        <f>COUNTIF('Input 2 - Transactions'!C:C,identities_t[[#This Row],[BNO ID]])</f>
        <v>0</v>
      </c>
      <c r="AB10" s="37">
        <f>_xlfn.IFNA(_xlfn.XLOOKUP(identities_t[[#This Row],[BNO ID]],'Input 1 - Billing Run'!A:A,'Input 1 - Billing Run'!F:F),0)</f>
        <v>0</v>
      </c>
      <c r="AC10" s="83" t="str">
        <f>IF(_xlfn.XLOOKUP(identities_t[[#This Row],[Full X500]],'BNO Recon'!B:B,'BNO Recon'!AC:AC,"ERROR")&lt;&gt;"ERROR","OK","ERROR")</f>
        <v>OK</v>
      </c>
      <c r="AD10" s="171"/>
    </row>
    <row r="11" spans="1:30">
      <c r="A11" s="83">
        <v>1</v>
      </c>
      <c r="B11" s="36" t="str">
        <f>_xlfn.XLOOKUP(identities_t[[#This Row],[Subscription ID]],'DB - Subscriptions'!A:A,'DB - Subscriptions'!c_parties,"ERROR")</f>
        <v>HSBC Global Services (Hong Kong) Limited</v>
      </c>
      <c r="C11" s="83">
        <f ca="1">_xlfn.XLOOKUP(identities_t[[#This Row],[Subscription ID]],'DB - Subscriptions'!A:A,'DB - Subscriptions'!Q:Q)</f>
        <v>113</v>
      </c>
      <c r="D11" s="36" t="str">
        <f>_xlfn.XLOOKUP(identities_t[[#This Row],[Contracting Party]],c_parties,'DB - Contracting Parties'!C:C)</f>
        <v>Bank</v>
      </c>
      <c r="E11" s="36" t="b">
        <f>IF(identities_t[[#This Row],[Contracting Party]]="Contour Pte. Ltd.", TRUE, FALSE)</f>
        <v>0</v>
      </c>
      <c r="F11" s="36" t="s">
        <v>1062</v>
      </c>
      <c r="G11" s="36"/>
      <c r="H11" s="113">
        <f>_xlfn.XLOOKUP(identities_t[[#This Row],[Initiative Code]],Codes!A:A,Codes!B:B,"N/A")</f>
        <v>0</v>
      </c>
      <c r="I11" s="36" t="s">
        <v>1063</v>
      </c>
      <c r="J11" s="36" t="s">
        <v>1064</v>
      </c>
      <c r="K11" s="204" t="s">
        <v>1065</v>
      </c>
      <c r="L11" s="198" t="s">
        <v>1066</v>
      </c>
      <c r="M11" s="199" t="s">
        <v>1067</v>
      </c>
      <c r="N11" s="36" t="str">
        <f>identities_t[[#This Row],[Identity Legal Entity Name (O)]]</f>
        <v>Hang Seng Bank Limited</v>
      </c>
      <c r="O11" s="36" t="s">
        <v>1017</v>
      </c>
      <c r="P11" s="36" t="s">
        <v>1018</v>
      </c>
      <c r="Q11" s="36" t="s">
        <v>1019</v>
      </c>
      <c r="R11" s="110">
        <v>44294</v>
      </c>
      <c r="S11" s="36" t="s">
        <v>39</v>
      </c>
      <c r="T11" t="s">
        <v>1012</v>
      </c>
      <c r="U11" s="36" t="str">
        <f>LOWER("OU="&amp;'DB - Identities'!$O11&amp;", O="&amp;'DB - Identities'!$N11&amp;", L="&amp;'DB - Identities'!$P11&amp;", C="&amp;'DB - Identities'!$Q11)</f>
        <v>ou=gtrf production, o=hang seng bank limited, l=central district, c=hk</v>
      </c>
      <c r="V11" s="83" t="str">
        <f>_xlfn.XLOOKUP(identities_t[[#This Row],[Full X500]],'Input 3 - BNO Members'!A:A,'Input 3 - BNO Members'!C:C,"ERROR")</f>
        <v>Active</v>
      </c>
      <c r="W11" s="83">
        <f>_xlfn.XLOOKUP(identities_t[[#This Row],[Full X500]],'Input 3 - BNO Members'!A:A,'Input 3 - BNO Members'!B:B,"ERROR")</f>
        <v>522497260</v>
      </c>
      <c r="X11" s="83">
        <f>_xlfn.XLOOKUP(U:U,'Input 3 - BNO Members'!A:A,'Input 3 - BNO Members'!E:E)</f>
        <v>60100</v>
      </c>
      <c r="Y11" s="83" t="str">
        <f>IF(_xlfn.XLOOKUP(identities_t[[#This Row],[Full X500]],'CNF Sponsorship'!B:B,'CNF Sponsorship'!A:A,"ERROR")&lt;&gt;"ERROR","OK","ERROR")</f>
        <v>OK</v>
      </c>
      <c r="Z11" s="83" t="str">
        <f>_xlfn.XLOOKUP(identities_t[[#This Row],[BNO ID]],'Input 1 - Billing Run'!A:A,'Input 1 - Billing Run'!C:C,"NOT FOUND")</f>
        <v>SUCCESS</v>
      </c>
      <c r="AA11" s="37">
        <f>COUNTIF('Input 2 - Transactions'!C:C,identities_t[[#This Row],[BNO ID]])</f>
        <v>1</v>
      </c>
      <c r="AB11" s="37">
        <f>_xlfn.IFNA(_xlfn.XLOOKUP(identities_t[[#This Row],[BNO ID]],'Input 1 - Billing Run'!A:A,'Input 1 - Billing Run'!F:F),0)</f>
        <v>2</v>
      </c>
      <c r="AC11" s="83" t="str">
        <f>IF(_xlfn.XLOOKUP(identities_t[[#This Row],[Full X500]],'BNO Recon'!B:B,'BNO Recon'!AC:AC,"ERROR")&lt;&gt;"ERROR","OK","ERROR")</f>
        <v>OK</v>
      </c>
      <c r="AD11" s="171"/>
    </row>
    <row r="12" spans="1:30">
      <c r="A12" s="83">
        <v>1</v>
      </c>
      <c r="B12" s="36" t="str">
        <f>_xlfn.XLOOKUP(identities_t[[#This Row],[Subscription ID]],'DB - Subscriptions'!A:A,'DB - Subscriptions'!c_parties,"ERROR")</f>
        <v>HSBC Global Services (Hong Kong) Limited</v>
      </c>
      <c r="C12" s="83">
        <f ca="1">_xlfn.XLOOKUP(identities_t[[#This Row],[Subscription ID]],'DB - Subscriptions'!A:A,'DB - Subscriptions'!Q:Q)</f>
        <v>113</v>
      </c>
      <c r="D12" s="36" t="str">
        <f>_xlfn.XLOOKUP(identities_t[[#This Row],[Contracting Party]],c_parties,'DB - Contracting Parties'!C:C)</f>
        <v>Bank</v>
      </c>
      <c r="E12" s="36" t="b">
        <f>IF(identities_t[[#This Row],[Contracting Party]]="Contour Pte. Ltd.", TRUE, FALSE)</f>
        <v>0</v>
      </c>
      <c r="F12" s="36" t="s">
        <v>1068</v>
      </c>
      <c r="G12" s="36"/>
      <c r="H12" s="113">
        <f>_xlfn.XLOOKUP(identities_t[[#This Row],[Initiative Code]],Codes!A:A,Codes!B:B,"N/A")</f>
        <v>0</v>
      </c>
      <c r="I12" s="36" t="s">
        <v>1069</v>
      </c>
      <c r="J12" s="36" t="s">
        <v>1070</v>
      </c>
      <c r="K12" s="202" t="s">
        <v>1071</v>
      </c>
      <c r="L12" s="202" t="s">
        <v>1072</v>
      </c>
      <c r="M12" s="202" t="s">
        <v>1073</v>
      </c>
      <c r="N12" s="36" t="str">
        <f>identities_t[[#This Row],[Identity Legal Entity Name (O)]]</f>
        <v>HSBC Bank (China) Company Limited</v>
      </c>
      <c r="O12" s="36" t="s">
        <v>1017</v>
      </c>
      <c r="P12" s="36" t="s">
        <v>1074</v>
      </c>
      <c r="Q12" s="36" t="s">
        <v>1075</v>
      </c>
      <c r="R12" s="111">
        <v>44386</v>
      </c>
      <c r="S12" s="36" t="s">
        <v>39</v>
      </c>
      <c r="T12" t="s">
        <v>1012</v>
      </c>
      <c r="U12" s="36" t="str">
        <f>LOWER("OU="&amp;'DB - Identities'!$O12&amp;", O="&amp;'DB - Identities'!$N12&amp;", L="&amp;'DB - Identities'!$P12&amp;", C="&amp;'DB - Identities'!$Q12)</f>
        <v>ou=gtrf production, o=hsbc bank (china) company limited, l=shanghai, c=cn</v>
      </c>
      <c r="V12" s="83" t="str">
        <f>_xlfn.XLOOKUP(identities_t[[#This Row],[Full X500]],'Input 3 - BNO Members'!A:A,'Input 3 - BNO Members'!C:C,"ERROR")</f>
        <v>Active</v>
      </c>
      <c r="W12" s="83">
        <f>_xlfn.XLOOKUP(identities_t[[#This Row],[Full X500]],'Input 3 - BNO Members'!A:A,'Input 3 - BNO Members'!B:B,"ERROR")</f>
        <v>883662669</v>
      </c>
      <c r="X12" s="83">
        <f>_xlfn.XLOOKUP(U:U,'Input 3 - BNO Members'!A:A,'Input 3 - BNO Members'!E:E)</f>
        <v>60100</v>
      </c>
      <c r="Y12" s="83" t="str">
        <f>IF(_xlfn.XLOOKUP(identities_t[[#This Row],[Full X500]],'CNF Sponsorship'!B:B,'CNF Sponsorship'!A:A,"ERROR")&lt;&gt;"ERROR","OK","ERROR")</f>
        <v>ERROR</v>
      </c>
      <c r="Z12" s="83" t="str">
        <f>_xlfn.XLOOKUP(identities_t[[#This Row],[BNO ID]],'Input 1 - Billing Run'!A:A,'Input 1 - Billing Run'!C:C,"NOT FOUND")</f>
        <v>SUCCESS</v>
      </c>
      <c r="AA12" s="37">
        <f>COUNTIF('Input 2 - Transactions'!C:C,identities_t[[#This Row],[BNO ID]])</f>
        <v>0</v>
      </c>
      <c r="AB12" s="37">
        <f>_xlfn.IFNA(_xlfn.XLOOKUP(identities_t[[#This Row],[BNO ID]],'Input 1 - Billing Run'!A:A,'Input 1 - Billing Run'!F:F),0)</f>
        <v>0</v>
      </c>
      <c r="AC12" s="83" t="str">
        <f>IF(_xlfn.XLOOKUP(identities_t[[#This Row],[Full X500]],'BNO Recon'!B:B,'BNO Recon'!AC:AC,"ERROR")&lt;&gt;"ERROR","OK","ERROR")</f>
        <v>OK</v>
      </c>
      <c r="AD12" s="171"/>
    </row>
    <row r="13" spans="1:30">
      <c r="A13" s="83">
        <v>9</v>
      </c>
      <c r="B13" s="36" t="str">
        <f>_xlfn.XLOOKUP(identities_t[[#This Row],[Subscription ID]],'DB - Subscriptions'!A:A,'DB - Subscriptions'!c_parties,"ERROR")</f>
        <v>Skandinaviska Enskilda Banken AB (publ)</v>
      </c>
      <c r="C13" s="83">
        <f ca="1">_xlfn.XLOOKUP(identities_t[[#This Row],[Subscription ID]],'DB - Subscriptions'!A:A,'DB - Subscriptions'!Q:Q)</f>
        <v>172</v>
      </c>
      <c r="D13" s="36" t="str">
        <f>_xlfn.XLOOKUP(identities_t[[#This Row],[Contracting Party]],c_parties,'DB - Contracting Parties'!C:C)</f>
        <v>Bank</v>
      </c>
      <c r="E13" s="36" t="b">
        <f>IF(identities_t[[#This Row],[Contracting Party]]="Contour Pte. Ltd.", TRUE, FALSE)</f>
        <v>0</v>
      </c>
      <c r="F13" s="36" t="s">
        <v>1076</v>
      </c>
      <c r="G13" s="36"/>
      <c r="H13" s="113">
        <f>_xlfn.XLOOKUP(identities_t[[#This Row],[Initiative Code]],Codes!A:A,Codes!B:B,"N/A")</f>
        <v>0</v>
      </c>
      <c r="I13" s="36" t="s">
        <v>731</v>
      </c>
      <c r="J13" s="36" t="s">
        <v>95</v>
      </c>
      <c r="K13" s="202" t="s">
        <v>1077</v>
      </c>
      <c r="L13" s="202" t="s">
        <v>1078</v>
      </c>
      <c r="M13" s="202" t="s">
        <v>1079</v>
      </c>
      <c r="N13" s="36" t="str">
        <f>identities_t[[#This Row],[Identity Legal Entity Name (O)]]</f>
        <v>Skandinaviska Enskilda Banken AB (publ)</v>
      </c>
      <c r="O13" s="36" t="s">
        <v>1080</v>
      </c>
      <c r="P13" s="36" t="s">
        <v>1081</v>
      </c>
      <c r="Q13" s="36" t="s">
        <v>1082</v>
      </c>
      <c r="R13" s="110">
        <v>44300</v>
      </c>
      <c r="S13" s="36" t="s">
        <v>39</v>
      </c>
      <c r="T13" t="s">
        <v>1083</v>
      </c>
      <c r="U13" s="36" t="str">
        <f>LOWER("OU="&amp;'DB - Identities'!$O13&amp;", O="&amp;'DB - Identities'!$N13&amp;", L="&amp;'DB - Identities'!$P13&amp;", C="&amp;'DB - Identities'!$Q13)</f>
        <v>ou=node1, o=skandinaviska enskilda banken ab (publ), l=stockholm, c=se</v>
      </c>
      <c r="V13" s="83" t="str">
        <f>_xlfn.XLOOKUP(identities_t[[#This Row],[Full X500]],'Input 3 - BNO Members'!A:A,'Input 3 - BNO Members'!C:C,"ERROR")</f>
        <v>Active</v>
      </c>
      <c r="W13" s="83">
        <f>_xlfn.XLOOKUP(identities_t[[#This Row],[Full X500]],'Input 3 - BNO Members'!A:A,'Input 3 - BNO Members'!B:B,"ERROR")</f>
        <v>11567442</v>
      </c>
      <c r="X13" s="83">
        <f>_xlfn.XLOOKUP(U:U,'Input 3 - BNO Members'!A:A,'Input 3 - BNO Members'!E:E)</f>
        <v>60000</v>
      </c>
      <c r="Y13" s="83" t="str">
        <f>IF(_xlfn.XLOOKUP(identities_t[[#This Row],[Full X500]],'CNF Sponsorship'!B:B,'CNF Sponsorship'!A:A,"ERROR")&lt;&gt;"ERROR","OK","ERROR")</f>
        <v>OK</v>
      </c>
      <c r="Z13" s="83" t="str">
        <f>_xlfn.XLOOKUP(identities_t[[#This Row],[BNO ID]],'Input 1 - Billing Run'!A:A,'Input 1 - Billing Run'!C:C,"NOT FOUND")</f>
        <v>SUCCESS</v>
      </c>
      <c r="AA13" s="37">
        <f>COUNTIF('Input 2 - Transactions'!C:C,identities_t[[#This Row],[BNO ID]])</f>
        <v>0</v>
      </c>
      <c r="AB13" s="37">
        <f>_xlfn.IFNA(_xlfn.XLOOKUP(identities_t[[#This Row],[BNO ID]],'Input 1 - Billing Run'!A:A,'Input 1 - Billing Run'!F:F),0)</f>
        <v>0</v>
      </c>
      <c r="AC13" s="83" t="str">
        <f>IF(_xlfn.XLOOKUP(identities_t[[#This Row],[Full X500]],'BNO Recon'!B:B,'BNO Recon'!AC:AC,"ERROR")&lt;&gt;"ERROR","OK","ERROR")</f>
        <v>OK</v>
      </c>
      <c r="AD13" s="171"/>
    </row>
    <row r="14" spans="1:30">
      <c r="A14" s="83">
        <v>6</v>
      </c>
      <c r="B14" s="36" t="str">
        <f>_xlfn.XLOOKUP(identities_t[[#This Row],[Subscription ID]],'DB - Subscriptions'!A:A,'DB - Subscriptions'!c_parties,"ERROR")</f>
        <v>BNP Paribas SA</v>
      </c>
      <c r="C14" s="83">
        <f ca="1">_xlfn.XLOOKUP(identities_t[[#This Row],[Subscription ID]],'DB - Subscriptions'!A:A,'DB - Subscriptions'!Q:Q)</f>
        <v>144</v>
      </c>
      <c r="D14" s="36" t="str">
        <f>_xlfn.XLOOKUP(identities_t[[#This Row],[Contracting Party]],c_parties,'DB - Contracting Parties'!C:C)</f>
        <v>Bank</v>
      </c>
      <c r="E14" s="36" t="b">
        <f>IF(identities_t[[#This Row],[Contracting Party]]="Contour Pte. Ltd.", TRUE, FALSE)</f>
        <v>0</v>
      </c>
      <c r="F14" s="36" t="s">
        <v>1084</v>
      </c>
      <c r="G14" s="36"/>
      <c r="H14" s="113">
        <f>_xlfn.XLOOKUP(identities_t[[#This Row],[Initiative Code]],Codes!A:A,Codes!B:B,"N/A")</f>
        <v>0</v>
      </c>
      <c r="I14" s="36" t="s">
        <v>1085</v>
      </c>
      <c r="J14" s="36" t="s">
        <v>1086</v>
      </c>
      <c r="K14" s="202" t="s">
        <v>1087</v>
      </c>
      <c r="L14" s="202" t="s">
        <v>1088</v>
      </c>
      <c r="M14" s="202" t="s">
        <v>1089</v>
      </c>
      <c r="N14" s="36" t="str">
        <f>identities_t[[#This Row],[Identity Legal Entity Name (O)]]</f>
        <v>BNP Paribas</v>
      </c>
      <c r="O14" s="36" t="s">
        <v>1090</v>
      </c>
      <c r="P14" s="36" t="s">
        <v>1091</v>
      </c>
      <c r="Q14" s="36" t="s">
        <v>1092</v>
      </c>
      <c r="R14" s="110">
        <v>44314</v>
      </c>
      <c r="S14" s="36" t="s">
        <v>39</v>
      </c>
      <c r="T14" t="s">
        <v>1093</v>
      </c>
      <c r="U14" s="36" t="str">
        <f>LOWER("OU="&amp;'DB - Identities'!$O14&amp;", O="&amp;'DB - Identities'!$N14&amp;", L="&amp;'DB - Identities'!$P14&amp;", C="&amp;'DB - Identities'!$Q14)</f>
        <v>ou=ctr prd agent 01, o=bnp paribas, l=paris, c=fr</v>
      </c>
      <c r="V14" s="83" t="str">
        <f>_xlfn.XLOOKUP(identities_t[[#This Row],[Full X500]],'Input 3 - BNO Members'!A:A,'Input 3 - BNO Members'!C:C,"ERROR")</f>
        <v>Active</v>
      </c>
      <c r="W14" s="83">
        <f>_xlfn.XLOOKUP(identities_t[[#This Row],[Full X500]],'Input 3 - BNO Members'!A:A,'Input 3 - BNO Members'!B:B,"ERROR")</f>
        <v>82710369</v>
      </c>
      <c r="X14" s="83">
        <f>_xlfn.XLOOKUP(U:U,'Input 3 - BNO Members'!A:A,'Input 3 - BNO Members'!E:E)</f>
        <v>60000</v>
      </c>
      <c r="Y14" s="83" t="str">
        <f>IF(_xlfn.XLOOKUP(identities_t[[#This Row],[Full X500]],'CNF Sponsorship'!B:B,'CNF Sponsorship'!A:A,"ERROR")&lt;&gt;"ERROR","OK","ERROR")</f>
        <v>OK</v>
      </c>
      <c r="Z14" s="83" t="str">
        <f>_xlfn.XLOOKUP(identities_t[[#This Row],[BNO ID]],'Input 1 - Billing Run'!A:A,'Input 1 - Billing Run'!C:C,"NOT FOUND")</f>
        <v>SUCCESS</v>
      </c>
      <c r="AA14" s="37">
        <f>COUNTIF('Input 2 - Transactions'!C:C,identities_t[[#This Row],[BNO ID]])</f>
        <v>0</v>
      </c>
      <c r="AB14" s="37">
        <f>_xlfn.IFNA(_xlfn.XLOOKUP(identities_t[[#This Row],[BNO ID]],'Input 1 - Billing Run'!A:A,'Input 1 - Billing Run'!F:F),0)</f>
        <v>0</v>
      </c>
      <c r="AC14" s="83" t="str">
        <f>IF(_xlfn.XLOOKUP(identities_t[[#This Row],[Full X500]],'BNO Recon'!B:B,'BNO Recon'!AC:AC,"ERROR")&lt;&gt;"ERROR","OK","ERROR")</f>
        <v>OK</v>
      </c>
      <c r="AD14" s="171"/>
    </row>
    <row r="15" spans="1:30">
      <c r="A15" s="83">
        <v>40</v>
      </c>
      <c r="B15" s="36" t="str">
        <f>_xlfn.XLOOKUP(identities_t[[#This Row],[Subscription ID]],'DB - Subscriptions'!A:A,'DB - Subscriptions'!c_parties,"ERROR")</f>
        <v>Standard Chartered Global Business Services Private Limited</v>
      </c>
      <c r="C15" s="83">
        <f ca="1">_xlfn.XLOOKUP(identities_t[[#This Row],[Subscription ID]],'DB - Subscriptions'!A:A,'DB - Subscriptions'!Q:Q)</f>
        <v>113</v>
      </c>
      <c r="D15" s="36" t="str">
        <f>_xlfn.XLOOKUP(identities_t[[#This Row],[Contracting Party]],c_parties,'DB - Contracting Parties'!C:C)</f>
        <v>Bank</v>
      </c>
      <c r="E15" s="36" t="b">
        <f>IF(identities_t[[#This Row],[Contracting Party]]="Contour Pte. Ltd.", TRUE, FALSE)</f>
        <v>0</v>
      </c>
      <c r="F15" s="36" t="s">
        <v>1094</v>
      </c>
      <c r="G15" s="36"/>
      <c r="H15" s="113">
        <f>_xlfn.XLOOKUP(identities_t[[#This Row],[Initiative Code]],Codes!A:A,Codes!B:B,"N/A")</f>
        <v>0</v>
      </c>
      <c r="I15" s="36" t="s">
        <v>1095</v>
      </c>
      <c r="J15" s="185" t="s">
        <v>1096</v>
      </c>
      <c r="K15" s="113" t="s">
        <v>1097</v>
      </c>
      <c r="L15" s="202" t="s">
        <v>275</v>
      </c>
      <c r="M15" s="211" t="s">
        <v>274</v>
      </c>
      <c r="N15" s="185" t="s">
        <v>1096</v>
      </c>
      <c r="O15" s="36" t="s">
        <v>1098</v>
      </c>
      <c r="P15" s="36" t="s">
        <v>1099</v>
      </c>
      <c r="Q15" s="36" t="s">
        <v>1011</v>
      </c>
      <c r="R15" s="111">
        <v>44395</v>
      </c>
      <c r="S15" s="36" t="s">
        <v>39</v>
      </c>
      <c r="T15" t="s">
        <v>1100</v>
      </c>
      <c r="U15" s="36" t="str">
        <f>LOWER("OU="&amp;'DB - Identities'!$O15&amp;", O="&amp;'DB - Identities'!$N15&amp;", L="&amp;'DB - Identities'!$P15&amp;", C="&amp;'DB - Identities'!$Q15)</f>
        <v>ou=cib ito-corda-scb in, o=standard chartered global business services private limited, l=chennai, c=in</v>
      </c>
      <c r="V15" s="83" t="str">
        <f>_xlfn.XLOOKUP(identities_t[[#This Row],[Full X500]],'Input 3 - BNO Members'!A:A,'Input 3 - BNO Members'!C:C,"ERROR")</f>
        <v>Active</v>
      </c>
      <c r="W15" s="83">
        <f>_xlfn.XLOOKUP(identities_t[[#This Row],[Full X500]],'Input 3 - BNO Members'!A:A,'Input 3 - BNO Members'!B:B,"ERROR")</f>
        <v>154952850</v>
      </c>
      <c r="X15" s="83">
        <f>_xlfn.XLOOKUP(U:U,'Input 3 - BNO Members'!A:A,'Input 3 - BNO Members'!E:E)</f>
        <v>60000</v>
      </c>
      <c r="Y15" s="83" t="str">
        <f>IF(_xlfn.XLOOKUP(identities_t[[#This Row],[Full X500]],'CNF Sponsorship'!B:B,'CNF Sponsorship'!A:A,"ERROR")&lt;&gt;"ERROR","OK","ERROR")</f>
        <v>ERROR</v>
      </c>
      <c r="Z15" s="83" t="str">
        <f>_xlfn.XLOOKUP(identities_t[[#This Row],[BNO ID]],'Input 1 - Billing Run'!A:A,'Input 1 - Billing Run'!C:C,"NOT FOUND")</f>
        <v>SUCCESS</v>
      </c>
      <c r="AA15" s="37">
        <f>COUNTIF('Input 2 - Transactions'!C:C,identities_t[[#This Row],[BNO ID]])</f>
        <v>0</v>
      </c>
      <c r="AB15" s="37">
        <f>_xlfn.IFNA(_xlfn.XLOOKUP(identities_t[[#This Row],[BNO ID]],'Input 1 - Billing Run'!A:A,'Input 1 - Billing Run'!F:F),0)</f>
        <v>2</v>
      </c>
      <c r="AC15" s="83" t="str">
        <f>IF(_xlfn.XLOOKUP(identities_t[[#This Row],[Full X500]],'BNO Recon'!B:B,'BNO Recon'!AC:AC,"ERROR")&lt;&gt;"ERROR","OK","ERROR")</f>
        <v>OK</v>
      </c>
      <c r="AD15" s="171"/>
    </row>
    <row r="16" spans="1:30">
      <c r="A16" s="83">
        <v>1</v>
      </c>
      <c r="B16" s="36" t="str">
        <f>_xlfn.XLOOKUP(identities_t[[#This Row],[Subscription ID]],'DB - Subscriptions'!A:A,'DB - Subscriptions'!c_parties,"ERROR")</f>
        <v>HSBC Global Services (Hong Kong) Limited</v>
      </c>
      <c r="C16" s="83">
        <f ca="1">_xlfn.XLOOKUP(identities_t[[#This Row],[Subscription ID]],'DB - Subscriptions'!A:A,'DB - Subscriptions'!Q:Q)</f>
        <v>113</v>
      </c>
      <c r="D16" s="167" t="str">
        <f>_xlfn.XLOOKUP(identities_t[[#This Row],[Contracting Party]],c_parties,'DB - Contracting Parties'!C:C)</f>
        <v>Bank</v>
      </c>
      <c r="E16" s="167" t="b">
        <f>IF(identities_t[[#This Row],[Contracting Party]]="Contour Pte. Ltd.", TRUE, FALSE)</f>
        <v>0</v>
      </c>
      <c r="F16" s="168" t="s">
        <v>1101</v>
      </c>
      <c r="G16" s="169"/>
      <c r="H16" s="170">
        <f>_xlfn.XLOOKUP(identities_t[[#This Row],[Initiative Code]],Codes!A:A,Codes!B:B,"N/A")</f>
        <v>0</v>
      </c>
      <c r="I16" s="36" t="s">
        <v>1102</v>
      </c>
      <c r="J16" s="36" t="s">
        <v>1006</v>
      </c>
      <c r="K16" s="198" t="s">
        <v>1103</v>
      </c>
      <c r="L16" s="113"/>
      <c r="M16" s="199" t="s">
        <v>1104</v>
      </c>
      <c r="N16" s="36" t="str">
        <f>identities_t[[#This Row],[Identity Legal Entity Name (O)]]</f>
        <v>The Hongkong and Shanghai Banking Corporation Limited</v>
      </c>
      <c r="O16" s="36" t="s">
        <v>1009</v>
      </c>
      <c r="P16" s="36" t="s">
        <v>1105</v>
      </c>
      <c r="Q16" s="36" t="s">
        <v>1106</v>
      </c>
      <c r="R16" s="111">
        <v>44433</v>
      </c>
      <c r="S16" s="36" t="s">
        <v>39</v>
      </c>
      <c r="T16" t="s">
        <v>1107</v>
      </c>
      <c r="U16" s="167" t="str">
        <f>LOWER("OU="&amp;'DB - Identities'!$O16&amp;", O="&amp;'DB - Identities'!$N16&amp;", L="&amp;'DB - Identities'!$P16&amp;", C="&amp;'DB - Identities'!$Q16)</f>
        <v>ou=global trade and receivables finance production, o=the hongkong and shanghai banking corporation limited, l=bangkok, c=th</v>
      </c>
      <c r="V16" s="171" t="str">
        <f>_xlfn.XLOOKUP(identities_t[[#This Row],[Full X500]],'Input 3 - BNO Members'!A:A,'Input 3 - BNO Members'!C:C,"ERROR")</f>
        <v>Active</v>
      </c>
      <c r="W16" s="171">
        <f>_xlfn.XLOOKUP(identities_t[[#This Row],[Full X500]],'Input 3 - BNO Members'!A:A,'Input 3 - BNO Members'!B:B,"ERROR")</f>
        <v>189127242</v>
      </c>
      <c r="X16" s="83">
        <f>_xlfn.XLOOKUP(U:U,'Input 3 - BNO Members'!A:A,'Input 3 - BNO Members'!E:E)</f>
        <v>60100</v>
      </c>
      <c r="Y16" s="171" t="str">
        <f>IF(_xlfn.XLOOKUP(identities_t[[#This Row],[Full X500]],'CNF Sponsorship'!B:B,'CNF Sponsorship'!A:A,"ERROR")&lt;&gt;"ERROR","OK","ERROR")</f>
        <v>ERROR</v>
      </c>
      <c r="Z16" s="171" t="str">
        <f>_xlfn.XLOOKUP(identities_t[[#This Row],[BNO ID]],'Input 1 - Billing Run'!A:A,'Input 1 - Billing Run'!C:C,"NOT FOUND")</f>
        <v>SUCCESS</v>
      </c>
      <c r="AA16" s="172">
        <f>COUNTIF('Input 2 - Transactions'!C:C,identities_t[[#This Row],[BNO ID]])</f>
        <v>0</v>
      </c>
      <c r="AB16" s="37">
        <f>_xlfn.IFNA(_xlfn.XLOOKUP(identities_t[[#This Row],[BNO ID]],'Input 1 - Billing Run'!A:A,'Input 1 - Billing Run'!F:F),0)</f>
        <v>0</v>
      </c>
      <c r="AC16" s="171" t="str">
        <f>IF(_xlfn.XLOOKUP(identities_t[[#This Row],[Full X500]],'BNO Recon'!B:B,'BNO Recon'!AC:AC,"ERROR")&lt;&gt;"ERROR","OK","ERROR")</f>
        <v>OK</v>
      </c>
      <c r="AD16" s="171"/>
    </row>
    <row r="17" spans="1:30">
      <c r="A17" s="83">
        <v>13</v>
      </c>
      <c r="B17" s="36" t="str">
        <f>_xlfn.XLOOKUP(identities_t[[#This Row],[Subscription ID]],'DB - Subscriptions'!A:A,'DB - Subscriptions'!c_parties,"ERROR")</f>
        <v>Tata Steel Limited</v>
      </c>
      <c r="C17" s="83">
        <f ca="1">_xlfn.XLOOKUP(identities_t[[#This Row],[Subscription ID]],'DB - Subscriptions'!A:A,'DB - Subscriptions'!Q:Q)</f>
        <v>129</v>
      </c>
      <c r="D17" s="36" t="str">
        <f>_xlfn.XLOOKUP(identities_t[[#This Row],[Contracting Party]],c_parties,'DB - Contracting Parties'!C:C)</f>
        <v>Corporate</v>
      </c>
      <c r="E17" s="36" t="b">
        <f>IF(identities_t[[#This Row],[Contracting Party]]="Contour Pte. Ltd.", TRUE, FALSE)</f>
        <v>0</v>
      </c>
      <c r="F17" s="36" t="s">
        <v>1108</v>
      </c>
      <c r="G17" s="36"/>
      <c r="H17" s="113">
        <f>_xlfn.XLOOKUP(identities_t[[#This Row],[Initiative Code]],Codes!A:A,Codes!B:B,"N/A")</f>
        <v>0</v>
      </c>
      <c r="I17" s="36" t="s">
        <v>1109</v>
      </c>
      <c r="J17" s="36" t="s">
        <v>1110</v>
      </c>
      <c r="K17" s="113" t="s">
        <v>1097</v>
      </c>
      <c r="L17" s="202" t="s">
        <v>1111</v>
      </c>
      <c r="M17" s="199" t="s">
        <v>1112</v>
      </c>
      <c r="N17" s="36" t="str">
        <f>identities_t[[#This Row],[Identity Legal Entity Name (O)]]</f>
        <v>TATA Steel Limited</v>
      </c>
      <c r="O17" s="36" t="s">
        <v>1113</v>
      </c>
      <c r="P17" s="36" t="s">
        <v>1010</v>
      </c>
      <c r="Q17" s="36" t="s">
        <v>1011</v>
      </c>
      <c r="R17" s="110">
        <v>44251</v>
      </c>
      <c r="S17" s="36" t="s">
        <v>28</v>
      </c>
      <c r="T17" t="s">
        <v>1114</v>
      </c>
      <c r="U17" s="36" t="str">
        <f>LOWER("OU="&amp;'DB - Identities'!$O17&amp;", O="&amp;'DB - Identities'!$N17&amp;", L="&amp;'DB - Identities'!$P17&amp;", C="&amp;'DB - Identities'!$Q17)</f>
        <v>ou=trade finance, o=tata steel limited, l=mumbai, c=in</v>
      </c>
      <c r="V17" s="83" t="str">
        <f>_xlfn.XLOOKUP(identities_t[[#This Row],[Full X500]],'Input 3 - BNO Members'!A:A,'Input 3 - BNO Members'!C:C,"ERROR")</f>
        <v>Active</v>
      </c>
      <c r="W17" s="83">
        <f>_xlfn.XLOOKUP(identities_t[[#This Row],[Full X500]],'Input 3 - BNO Members'!A:A,'Input 3 - BNO Members'!B:B,"ERROR")</f>
        <v>404564522</v>
      </c>
      <c r="X17" s="83">
        <f>_xlfn.XLOOKUP(U:U,'Input 3 - BNO Members'!A:A,'Input 3 - BNO Members'!E:E)</f>
        <v>60100</v>
      </c>
      <c r="Y17" s="83" t="str">
        <f>IF(_xlfn.XLOOKUP(identities_t[[#This Row],[Full X500]],'CNF Sponsorship'!B:B,'CNF Sponsorship'!A:A,"ERROR")&lt;&gt;"ERROR","OK","ERROR")</f>
        <v>OK</v>
      </c>
      <c r="Z17" s="83" t="str">
        <f>_xlfn.XLOOKUP(identities_t[[#This Row],[BNO ID]],'Input 1 - Billing Run'!A:A,'Input 1 - Billing Run'!C:C,"NOT FOUND")</f>
        <v>SUCCESS</v>
      </c>
      <c r="AA17" s="37">
        <f>COUNTIF('Input 2 - Transactions'!C:C,identities_t[[#This Row],[BNO ID]])</f>
        <v>0</v>
      </c>
      <c r="AB17" s="37">
        <f>_xlfn.IFNA(_xlfn.XLOOKUP(identities_t[[#This Row],[BNO ID]],'Input 1 - Billing Run'!A:A,'Input 1 - Billing Run'!F:F),0)</f>
        <v>2</v>
      </c>
      <c r="AC17" s="83" t="str">
        <f>IF(_xlfn.XLOOKUP(identities_t[[#This Row],[Full X500]],'BNO Recon'!B:B,'BNO Recon'!AC:AC,"ERROR")&lt;&gt;"ERROR","OK","ERROR")</f>
        <v>OK</v>
      </c>
      <c r="AD17" s="171"/>
    </row>
    <row r="18" spans="1:30">
      <c r="A18" s="83">
        <v>12</v>
      </c>
      <c r="B18" s="36" t="str">
        <f>_xlfn.XLOOKUP(identities_t[[#This Row],[Subscription ID]],'DB - Subscriptions'!A:A,'DB - Subscriptions'!c_parties,"ERROR")</f>
        <v>Universal Tube and Plastic Industries Ltd.</v>
      </c>
      <c r="C18" s="83">
        <f ca="1">_xlfn.XLOOKUP(identities_t[[#This Row],[Subscription ID]],'DB - Subscriptions'!A:A,'DB - Subscriptions'!Q:Q)</f>
        <v>144</v>
      </c>
      <c r="D18" s="36" t="str">
        <f>_xlfn.XLOOKUP(identities_t[[#This Row],[Contracting Party]],c_parties,'DB - Contracting Parties'!C:C)</f>
        <v>Corporate</v>
      </c>
      <c r="E18" s="36" t="b">
        <f>IF(identities_t[[#This Row],[Contracting Party]]="Contour Pte. Ltd.", TRUE, FALSE)</f>
        <v>0</v>
      </c>
      <c r="F18" s="36" t="s">
        <v>1115</v>
      </c>
      <c r="G18" s="36"/>
      <c r="H18" s="113">
        <f>_xlfn.XLOOKUP(identities_t[[#This Row],[Initiative Code]],Codes!A:A,Codes!B:B,"N/A")</f>
        <v>0</v>
      </c>
      <c r="I18" s="36" t="s">
        <v>118</v>
      </c>
      <c r="J18" s="36" t="s">
        <v>118</v>
      </c>
      <c r="K18" s="113" t="s">
        <v>1097</v>
      </c>
      <c r="L18" s="113"/>
      <c r="M18" s="201" t="s">
        <v>377</v>
      </c>
      <c r="N18" s="36" t="str">
        <f>identities_t[[#This Row],[Identity Legal Entity Name (O)]]</f>
        <v>Universal Tube and Plastic Industries Ltd.</v>
      </c>
      <c r="O18" s="36" t="s">
        <v>1113</v>
      </c>
      <c r="P18" s="36" t="s">
        <v>1035</v>
      </c>
      <c r="Q18" s="36" t="s">
        <v>1036</v>
      </c>
      <c r="R18" s="110">
        <v>44251</v>
      </c>
      <c r="S18" s="36" t="s">
        <v>28</v>
      </c>
      <c r="T18" t="s">
        <v>1116</v>
      </c>
      <c r="U18" s="36" t="str">
        <f>LOWER("OU="&amp;'DB - Identities'!$O18&amp;", O="&amp;'DB - Identities'!$N18&amp;", L="&amp;'DB - Identities'!$P18&amp;", C="&amp;'DB - Identities'!$Q18)</f>
        <v>ou=trade finance, o=universal tube and plastic industries ltd., l=dubai, c=ae</v>
      </c>
      <c r="V18" s="83" t="str">
        <f>_xlfn.XLOOKUP(identities_t[[#This Row],[Full X500]],'Input 3 - BNO Members'!A:A,'Input 3 - BNO Members'!C:C,"ERROR")</f>
        <v>Active</v>
      </c>
      <c r="W18" s="83">
        <f>_xlfn.XLOOKUP(identities_t[[#This Row],[Full X500]],'Input 3 - BNO Members'!A:A,'Input 3 - BNO Members'!B:B,"ERROR")</f>
        <v>668283612</v>
      </c>
      <c r="X18" s="83">
        <f>_xlfn.XLOOKUP(U:U,'Input 3 - BNO Members'!A:A,'Input 3 - BNO Members'!E:E)</f>
        <v>60100</v>
      </c>
      <c r="Y18" s="83" t="str">
        <f>IF(_xlfn.XLOOKUP(identities_t[[#This Row],[Full X500]],'CNF Sponsorship'!B:B,'CNF Sponsorship'!A:A,"ERROR")&lt;&gt;"ERROR","OK","ERROR")</f>
        <v>OK</v>
      </c>
      <c r="Z18" s="83" t="str">
        <f>_xlfn.XLOOKUP(identities_t[[#This Row],[BNO ID]],'Input 1 - Billing Run'!A:A,'Input 1 - Billing Run'!C:C,"NOT FOUND")</f>
        <v>SUCCESS</v>
      </c>
      <c r="AA18" s="37">
        <f>COUNTIF('Input 2 - Transactions'!C:C,identities_t[[#This Row],[BNO ID]])</f>
        <v>0</v>
      </c>
      <c r="AB18" s="37">
        <f>_xlfn.IFNA(_xlfn.XLOOKUP(identities_t[[#This Row],[BNO ID]],'Input 1 - Billing Run'!A:A,'Input 1 - Billing Run'!F:F),0)</f>
        <v>0</v>
      </c>
      <c r="AC18" s="83" t="str">
        <f>IF(_xlfn.XLOOKUP(identities_t[[#This Row],[Full X500]],'BNO Recon'!B:B,'BNO Recon'!AC:AC,"ERROR")&lt;&gt;"ERROR","OK","ERROR")</f>
        <v>OK</v>
      </c>
      <c r="AD18" s="171"/>
    </row>
    <row r="19" spans="1:30">
      <c r="A19" s="83">
        <v>5</v>
      </c>
      <c r="B19" s="36" t="str">
        <f>_xlfn.XLOOKUP(identities_t[[#This Row],[Subscription ID]],'DB - Subscriptions'!A:A,'DB - Subscriptions'!c_parties,"ERROR")</f>
        <v>Xiamen ITG</v>
      </c>
      <c r="C19" s="83">
        <f ca="1">_xlfn.XLOOKUP(identities_t[[#This Row],[Subscription ID]],'DB - Subscriptions'!A:A,'DB - Subscriptions'!Q:Q)</f>
        <v>172</v>
      </c>
      <c r="D19" s="36" t="str">
        <f>_xlfn.XLOOKUP(identities_t[[#This Row],[Contracting Party]],c_parties,'DB - Contracting Parties'!C:C)</f>
        <v>Corporate</v>
      </c>
      <c r="E19" s="36" t="b">
        <f>IF(identities_t[[#This Row],[Contracting Party]]="Contour Pte. Ltd.", TRUE, FALSE)</f>
        <v>0</v>
      </c>
      <c r="F19" s="36" t="s">
        <v>1117</v>
      </c>
      <c r="G19" s="36"/>
      <c r="H19" s="113">
        <f>_xlfn.XLOOKUP(identities_t[[#This Row],[Initiative Code]],Codes!A:A,Codes!B:B,"N/A")</f>
        <v>0</v>
      </c>
      <c r="I19" s="36" t="s">
        <v>1118</v>
      </c>
      <c r="J19" s="36" t="s">
        <v>1119</v>
      </c>
      <c r="K19" s="113" t="s">
        <v>1097</v>
      </c>
      <c r="L19" s="113"/>
      <c r="M19" s="199" t="s">
        <v>1120</v>
      </c>
      <c r="N19" s="36" t="str">
        <f>identities_t[[#This Row],[Identity Legal Entity Name (O)]]</f>
        <v>Xiamen ITG Group Corp. Ltd</v>
      </c>
      <c r="O19" s="36" t="s">
        <v>1113</v>
      </c>
      <c r="P19" s="36" t="s">
        <v>1121</v>
      </c>
      <c r="Q19" s="36" t="s">
        <v>1075</v>
      </c>
      <c r="R19" s="110">
        <v>44267</v>
      </c>
      <c r="S19" s="36" t="s">
        <v>28</v>
      </c>
      <c r="T19" t="s">
        <v>1122</v>
      </c>
      <c r="U19" s="36" t="str">
        <f>LOWER("OU="&amp;'DB - Identities'!$O19&amp;", O="&amp;'DB - Identities'!$N19&amp;", L="&amp;'DB - Identities'!$P19&amp;", C="&amp;'DB - Identities'!$Q19)</f>
        <v>ou=trade finance, o=xiamen itg group corp. ltd, l=xiamen, c=cn</v>
      </c>
      <c r="V19" s="83" t="str">
        <f>_xlfn.XLOOKUP(identities_t[[#This Row],[Full X500]],'Input 3 - BNO Members'!A:A,'Input 3 - BNO Members'!C:C,"ERROR")</f>
        <v>Active</v>
      </c>
      <c r="W19" s="83">
        <f>_xlfn.XLOOKUP(identities_t[[#This Row],[Full X500]],'Input 3 - BNO Members'!A:A,'Input 3 - BNO Members'!B:B,"ERROR")</f>
        <v>381818972</v>
      </c>
      <c r="X19" s="83">
        <f>_xlfn.XLOOKUP(U:U,'Input 3 - BNO Members'!A:A,'Input 3 - BNO Members'!E:E)</f>
        <v>60100</v>
      </c>
      <c r="Y19" s="83" t="str">
        <f>IF(_xlfn.XLOOKUP(identities_t[[#This Row],[Full X500]],'CNF Sponsorship'!B:B,'CNF Sponsorship'!A:A,"ERROR")&lt;&gt;"ERROR","OK","ERROR")</f>
        <v>OK</v>
      </c>
      <c r="Z19" s="83" t="str">
        <f>_xlfn.XLOOKUP(identities_t[[#This Row],[BNO ID]],'Input 1 - Billing Run'!A:A,'Input 1 - Billing Run'!C:C,"NOT FOUND")</f>
        <v>SUCCESS</v>
      </c>
      <c r="AA19" s="37">
        <f>COUNTIF('Input 2 - Transactions'!C:C,identities_t[[#This Row],[BNO ID]])</f>
        <v>0</v>
      </c>
      <c r="AB19" s="37">
        <f>_xlfn.IFNA(_xlfn.XLOOKUP(identities_t[[#This Row],[BNO ID]],'Input 1 - Billing Run'!A:A,'Input 1 - Billing Run'!F:F),0)</f>
        <v>0</v>
      </c>
      <c r="AC19" s="83" t="str">
        <f>IF(_xlfn.XLOOKUP(identities_t[[#This Row],[Full X500]],'BNO Recon'!B:B,'BNO Recon'!AC:AC,"ERROR")&lt;&gt;"ERROR","OK","ERROR")</f>
        <v>OK</v>
      </c>
      <c r="AD19" s="171"/>
    </row>
    <row r="20" spans="1:30">
      <c r="A20" s="83">
        <v>4</v>
      </c>
      <c r="B20" s="36" t="str">
        <f>_xlfn.XLOOKUP(identities_t[[#This Row],[Subscription ID]],'DB - Subscriptions'!A:A,'DB - Subscriptions'!c_parties,"ERROR")</f>
        <v>Bank of China (Hong Kong)</v>
      </c>
      <c r="C20" s="83">
        <f ca="1">_xlfn.XLOOKUP(identities_t[[#This Row],[Subscription ID]],'DB - Subscriptions'!A:A,'DB - Subscriptions'!Q:Q)</f>
        <v>172</v>
      </c>
      <c r="D20" s="36" t="str">
        <f>_xlfn.XLOOKUP(identities_t[[#This Row],[Contracting Party]],c_parties,'DB - Contracting Parties'!C:C)</f>
        <v>Bank</v>
      </c>
      <c r="E20" s="36" t="b">
        <f>IF(identities_t[[#This Row],[Contracting Party]]="Contour Pte. Ltd.", TRUE, FALSE)</f>
        <v>0</v>
      </c>
      <c r="F20" s="36" t="s">
        <v>1123</v>
      </c>
      <c r="G20" s="36"/>
      <c r="H20" s="113">
        <f>_xlfn.XLOOKUP(identities_t[[#This Row],[Initiative Code]],Codes!A:A,Codes!B:B,"N/A")</f>
        <v>0</v>
      </c>
      <c r="I20" s="36" t="s">
        <v>1124</v>
      </c>
      <c r="J20" s="36" t="s">
        <v>1124</v>
      </c>
      <c r="K20" s="202" t="s">
        <v>1125</v>
      </c>
      <c r="L20" s="202" t="s">
        <v>1126</v>
      </c>
      <c r="M20" s="199" t="s">
        <v>1127</v>
      </c>
      <c r="N20" s="36" t="str">
        <f>identities_t[[#This Row],[Identity Legal Entity Name (O)]]</f>
        <v>Bank of China (Hong Kong) Limited</v>
      </c>
      <c r="O20" s="36" t="s">
        <v>1113</v>
      </c>
      <c r="P20" s="36" t="s">
        <v>1128</v>
      </c>
      <c r="Q20" s="36" t="s">
        <v>1019</v>
      </c>
      <c r="R20" s="110">
        <v>44260</v>
      </c>
      <c r="S20" s="36" t="s">
        <v>28</v>
      </c>
      <c r="T20" t="s">
        <v>1129</v>
      </c>
      <c r="U20" s="36" t="str">
        <f>LOWER("OU="&amp;'DB - Identities'!$O20&amp;", O="&amp;'DB - Identities'!$N20&amp;", L="&amp;'DB - Identities'!$P20&amp;", C="&amp;'DB - Identities'!$Q20)</f>
        <v>ou=trade finance, o=bank of china (hong kong) limited, l=hong kong, c=hk</v>
      </c>
      <c r="V20" s="83" t="str">
        <f>_xlfn.XLOOKUP(identities_t[[#This Row],[Full X500]],'Input 3 - BNO Members'!A:A,'Input 3 - BNO Members'!C:C,"ERROR")</f>
        <v>Active</v>
      </c>
      <c r="W20" s="83">
        <f>_xlfn.XLOOKUP(identities_t[[#This Row],[Full X500]],'Input 3 - BNO Members'!A:A,'Input 3 - BNO Members'!B:B,"ERROR")</f>
        <v>999225753</v>
      </c>
      <c r="X20" s="83">
        <f>_xlfn.XLOOKUP(U:U,'Input 3 - BNO Members'!A:A,'Input 3 - BNO Members'!E:E)</f>
        <v>60100</v>
      </c>
      <c r="Y20" s="83" t="str">
        <f>IF(_xlfn.XLOOKUP(identities_t[[#This Row],[Full X500]],'CNF Sponsorship'!B:B,'CNF Sponsorship'!A:A,"ERROR")&lt;&gt;"ERROR","OK","ERROR")</f>
        <v>OK</v>
      </c>
      <c r="Z20" s="83" t="str">
        <f>_xlfn.XLOOKUP(identities_t[[#This Row],[BNO ID]],'Input 1 - Billing Run'!A:A,'Input 1 - Billing Run'!C:C,"NOT FOUND")</f>
        <v>SUCCESS</v>
      </c>
      <c r="AA20" s="37">
        <f>COUNTIF('Input 2 - Transactions'!C:C,identities_t[[#This Row],[BNO ID]])</f>
        <v>0</v>
      </c>
      <c r="AB20" s="37">
        <f>_xlfn.IFNA(_xlfn.XLOOKUP(identities_t[[#This Row],[BNO ID]],'Input 1 - Billing Run'!A:A,'Input 1 - Billing Run'!F:F),0)</f>
        <v>0</v>
      </c>
      <c r="AC20" s="83" t="str">
        <f>IF(_xlfn.XLOOKUP(identities_t[[#This Row],[Full X500]],'BNO Recon'!B:B,'BNO Recon'!AC:AC,"ERROR")&lt;&gt;"ERROR","OK","ERROR")</f>
        <v>OK</v>
      </c>
      <c r="AD20" s="171"/>
    </row>
    <row r="21" spans="1:30">
      <c r="A21" s="83">
        <v>11</v>
      </c>
      <c r="B21" s="36" t="str">
        <f>_xlfn.XLOOKUP(identities_t[[#This Row],[Subscription ID]],'DB - Subscriptions'!A:A,'DB - Subscriptions'!c_parties,"ERROR")</f>
        <v>ICBC Xiamen</v>
      </c>
      <c r="C21" s="83">
        <f ca="1">_xlfn.XLOOKUP(identities_t[[#This Row],[Subscription ID]],'DB - Subscriptions'!A:A,'DB - Subscriptions'!Q:Q)</f>
        <v>172</v>
      </c>
      <c r="D21" s="36" t="str">
        <f>_xlfn.XLOOKUP(identities_t[[#This Row],[Contracting Party]],c_parties,'DB - Contracting Parties'!C:C)</f>
        <v>Bank</v>
      </c>
      <c r="E21" s="36" t="b">
        <f>IF(identities_t[[#This Row],[Contracting Party]]="Contour Pte. Ltd.", TRUE, FALSE)</f>
        <v>0</v>
      </c>
      <c r="F21" s="36" t="s">
        <v>1130</v>
      </c>
      <c r="G21" s="36"/>
      <c r="H21" s="113">
        <f>_xlfn.XLOOKUP(identities_t[[#This Row],[Initiative Code]],Codes!A:A,Codes!B:B,"N/A")</f>
        <v>0</v>
      </c>
      <c r="I21" s="36" t="s">
        <v>1131</v>
      </c>
      <c r="J21" s="36" t="s">
        <v>1132</v>
      </c>
      <c r="K21" s="202" t="s">
        <v>1133</v>
      </c>
      <c r="L21" s="113"/>
      <c r="M21" s="199" t="s">
        <v>110</v>
      </c>
      <c r="N21" s="36" t="str">
        <f>identities_t[[#This Row],[Identity Legal Entity Name (O)]]</f>
        <v>Industrial and Commercial Bank of China Limited Xiamen Branch Business Office</v>
      </c>
      <c r="O21" s="36" t="s">
        <v>1113</v>
      </c>
      <c r="P21" s="36" t="s">
        <v>1121</v>
      </c>
      <c r="Q21" s="36" t="s">
        <v>1075</v>
      </c>
      <c r="R21" s="110">
        <v>44267</v>
      </c>
      <c r="S21" s="36" t="s">
        <v>28</v>
      </c>
      <c r="T21" s="106" t="s">
        <v>1134</v>
      </c>
      <c r="U21" s="36" t="str">
        <f>LOWER("OU="&amp;'DB - Identities'!$O21&amp;", O="&amp;'DB - Identities'!$N21&amp;", L="&amp;'DB - Identities'!$P21&amp;", C="&amp;'DB - Identities'!$Q21)</f>
        <v>ou=trade finance, o=industrial and commercial bank of china limited xiamen branch business office, l=xiamen, c=cn</v>
      </c>
      <c r="V21" s="83" t="str">
        <f>_xlfn.XLOOKUP(identities_t[[#This Row],[Full X500]],'Input 3 - BNO Members'!A:A,'Input 3 - BNO Members'!C:C,"ERROR")</f>
        <v>Active</v>
      </c>
      <c r="W21" s="83">
        <f>_xlfn.XLOOKUP(identities_t[[#This Row],[Full X500]],'Input 3 - BNO Members'!A:A,'Input 3 - BNO Members'!B:B,"ERROR")</f>
        <v>195191574</v>
      </c>
      <c r="X21" s="83">
        <f>_xlfn.XLOOKUP(U:U,'Input 3 - BNO Members'!A:A,'Input 3 - BNO Members'!E:E)</f>
        <v>60100</v>
      </c>
      <c r="Y21" s="83" t="str">
        <f>IF(_xlfn.XLOOKUP(identities_t[[#This Row],[Full X500]],'CNF Sponsorship'!B:B,'CNF Sponsorship'!A:A,"ERROR")&lt;&gt;"ERROR","OK","ERROR")</f>
        <v>OK</v>
      </c>
      <c r="Z21" s="83" t="str">
        <f>_xlfn.XLOOKUP(identities_t[[#This Row],[BNO ID]],'Input 1 - Billing Run'!A:A,'Input 1 - Billing Run'!C:C,"NOT FOUND")</f>
        <v>SUCCESS</v>
      </c>
      <c r="AA21" s="37">
        <f>COUNTIF('Input 2 - Transactions'!C:C,identities_t[[#This Row],[BNO ID]])</f>
        <v>0</v>
      </c>
      <c r="AB21" s="37">
        <f>_xlfn.IFNA(_xlfn.XLOOKUP(identities_t[[#This Row],[BNO ID]],'Input 1 - Billing Run'!A:A,'Input 1 - Billing Run'!F:F),0)</f>
        <v>3</v>
      </c>
      <c r="AC21" s="83" t="str">
        <f>IF(_xlfn.XLOOKUP(identities_t[[#This Row],[Full X500]],'BNO Recon'!B:B,'BNO Recon'!AC:AC,"ERROR")&lt;&gt;"ERROR","OK","ERROR")</f>
        <v>OK</v>
      </c>
      <c r="AD21" s="171"/>
    </row>
    <row r="22" spans="1:30">
      <c r="A22" s="83">
        <v>8</v>
      </c>
      <c r="B22" s="36" t="str">
        <f>_xlfn.XLOOKUP(identities_t[[#This Row],[Subscription ID]],'DB - Subscriptions'!A:A,'DB - Subscriptions'!c_parties,"ERROR")</f>
        <v>Rio Tinto Commercial Pte. Ltd.</v>
      </c>
      <c r="C22" s="83">
        <f ca="1">_xlfn.XLOOKUP(identities_t[[#This Row],[Subscription ID]],'DB - Subscriptions'!A:A,'DB - Subscriptions'!Q:Q)</f>
        <v>172</v>
      </c>
      <c r="D22" s="36" t="str">
        <f>_xlfn.XLOOKUP(identities_t[[#This Row],[Contracting Party]],c_parties,'DB - Contracting Parties'!C:C)</f>
        <v>Corporate</v>
      </c>
      <c r="E22" s="36" t="b">
        <f>IF(identities_t[[#This Row],[Contracting Party]]="Contour Pte. Ltd.", TRUE, FALSE)</f>
        <v>0</v>
      </c>
      <c r="F22" s="36" t="s">
        <v>1135</v>
      </c>
      <c r="G22" s="36"/>
      <c r="H22" s="113">
        <f>_xlfn.XLOOKUP(identities_t[[#This Row],[Initiative Code]],Codes!A:A,Codes!B:B,"N/A")</f>
        <v>0</v>
      </c>
      <c r="I22" s="36" t="s">
        <v>1136</v>
      </c>
      <c r="J22" s="36" t="s">
        <v>1136</v>
      </c>
      <c r="K22" s="113" t="s">
        <v>1097</v>
      </c>
      <c r="L22" s="202" t="s">
        <v>89</v>
      </c>
      <c r="M22" s="199" t="s">
        <v>88</v>
      </c>
      <c r="N22" s="36" t="str">
        <f>identities_t[[#This Row],[Identity Legal Entity Name (O)]]</f>
        <v>Rio Tinto Commercial Pte Ltd</v>
      </c>
      <c r="O22" s="36" t="s">
        <v>1113</v>
      </c>
      <c r="P22" s="36" t="s">
        <v>1024</v>
      </c>
      <c r="Q22" s="36" t="s">
        <v>1025</v>
      </c>
      <c r="R22" s="110">
        <v>44267</v>
      </c>
      <c r="S22" s="36" t="s">
        <v>28</v>
      </c>
      <c r="T22" t="s">
        <v>1137</v>
      </c>
      <c r="U22" s="36" t="str">
        <f>LOWER("OU="&amp;'DB - Identities'!$O22&amp;", O="&amp;'DB - Identities'!$N22&amp;", L="&amp;'DB - Identities'!$P22&amp;", C="&amp;'DB - Identities'!$Q22)</f>
        <v>ou=trade finance, o=rio tinto commercial pte ltd, l=singapore, c=sg</v>
      </c>
      <c r="V22" s="83" t="str">
        <f>_xlfn.XLOOKUP(identities_t[[#This Row],[Full X500]],'Input 3 - BNO Members'!A:A,'Input 3 - BNO Members'!C:C,"ERROR")</f>
        <v>Active</v>
      </c>
      <c r="W22" s="83">
        <f>_xlfn.XLOOKUP(identities_t[[#This Row],[Full X500]],'Input 3 - BNO Members'!A:A,'Input 3 - BNO Members'!B:B,"ERROR")</f>
        <v>983807791</v>
      </c>
      <c r="X22" s="83">
        <f>_xlfn.XLOOKUP(U:U,'Input 3 - BNO Members'!A:A,'Input 3 - BNO Members'!E:E)</f>
        <v>60100</v>
      </c>
      <c r="Y22" s="83" t="str">
        <f>IF(_xlfn.XLOOKUP(identities_t[[#This Row],[Full X500]],'CNF Sponsorship'!B:B,'CNF Sponsorship'!A:A,"ERROR")&lt;&gt;"ERROR","OK","ERROR")</f>
        <v>OK</v>
      </c>
      <c r="Z22" s="83" t="str">
        <f>_xlfn.XLOOKUP(identities_t[[#This Row],[BNO ID]],'Input 1 - Billing Run'!A:A,'Input 1 - Billing Run'!C:C,"NOT FOUND")</f>
        <v>SUCCESS</v>
      </c>
      <c r="AA22" s="37">
        <f>COUNTIF('Input 2 - Transactions'!C:C,identities_t[[#This Row],[BNO ID]])</f>
        <v>1</v>
      </c>
      <c r="AB22" s="37">
        <f>_xlfn.IFNA(_xlfn.XLOOKUP(identities_t[[#This Row],[BNO ID]],'Input 1 - Billing Run'!A:A,'Input 1 - Billing Run'!F:F),0)</f>
        <v>3</v>
      </c>
      <c r="AC22" s="83" t="str">
        <f>IF(_xlfn.XLOOKUP(identities_t[[#This Row],[Full X500]],'BNO Recon'!B:B,'BNO Recon'!AC:AC,"ERROR")&lt;&gt;"ERROR","OK","ERROR")</f>
        <v>OK</v>
      </c>
      <c r="AD22" s="171"/>
    </row>
    <row r="23" spans="1:30">
      <c r="A23" s="83">
        <v>14</v>
      </c>
      <c r="B23" s="36" t="str">
        <f>_xlfn.XLOOKUP(identities_t[[#This Row],[Subscription ID]],'DB - Subscriptions'!A:A,'DB - Subscriptions'!c_parties,"ERROR")</f>
        <v>DBS Bank Limited</v>
      </c>
      <c r="C23" s="83">
        <f ca="1">_xlfn.XLOOKUP(identities_t[[#This Row],[Subscription ID]],'DB - Subscriptions'!A:A,'DB - Subscriptions'!Q:Q)</f>
        <v>203</v>
      </c>
      <c r="D23" s="36" t="str">
        <f>_xlfn.XLOOKUP(identities_t[[#This Row],[Contracting Party]],c_parties,'DB - Contracting Parties'!C:C)</f>
        <v>Bank</v>
      </c>
      <c r="E23" s="36" t="b">
        <f>IF(identities_t[[#This Row],[Contracting Party]]="Contour Pte. Ltd.", TRUE, FALSE)</f>
        <v>0</v>
      </c>
      <c r="F23" s="36" t="s">
        <v>1138</v>
      </c>
      <c r="G23" s="36"/>
      <c r="H23" s="113">
        <f>_xlfn.XLOOKUP(identities_t[[#This Row],[Initiative Code]],Codes!A:A,Codes!B:B,"N/A")</f>
        <v>0</v>
      </c>
      <c r="I23" s="36" t="s">
        <v>1139</v>
      </c>
      <c r="J23" s="36" t="s">
        <v>1140</v>
      </c>
      <c r="K23" s="199" t="s">
        <v>1141</v>
      </c>
      <c r="L23" s="202" t="s">
        <v>127</v>
      </c>
      <c r="M23" s="199" t="s">
        <v>126</v>
      </c>
      <c r="N23" s="36" t="str">
        <f>identities_t[[#This Row],[Identity Legal Entity Name (O)]]</f>
        <v>DBS Bank Ltd.</v>
      </c>
      <c r="O23" s="36" t="s">
        <v>1113</v>
      </c>
      <c r="P23" s="36" t="s">
        <v>1024</v>
      </c>
      <c r="Q23" s="36" t="s">
        <v>1025</v>
      </c>
      <c r="R23" s="110">
        <v>44284</v>
      </c>
      <c r="S23" s="36" t="s">
        <v>28</v>
      </c>
      <c r="T23" t="s">
        <v>1142</v>
      </c>
      <c r="U23" s="36" t="str">
        <f>LOWER("OU="&amp;'DB - Identities'!$O23&amp;", O="&amp;'DB - Identities'!$N23&amp;", L="&amp;'DB - Identities'!$P23&amp;", C="&amp;'DB - Identities'!$Q23)</f>
        <v>ou=trade finance, o=dbs bank ltd., l=singapore, c=sg</v>
      </c>
      <c r="V23" s="83" t="str">
        <f>_xlfn.XLOOKUP(identities_t[[#This Row],[Full X500]],'Input 3 - BNO Members'!A:A,'Input 3 - BNO Members'!C:C,"ERROR")</f>
        <v>Active</v>
      </c>
      <c r="W23" s="83">
        <f>_xlfn.XLOOKUP(identities_t[[#This Row],[Full X500]],'Input 3 - BNO Members'!A:A,'Input 3 - BNO Members'!B:B,"ERROR")</f>
        <v>722481030</v>
      </c>
      <c r="X23" s="83">
        <f>_xlfn.XLOOKUP(U:U,'Input 3 - BNO Members'!A:A,'Input 3 - BNO Members'!E:E)</f>
        <v>60100</v>
      </c>
      <c r="Y23" s="83" t="str">
        <f>IF(_xlfn.XLOOKUP(identities_t[[#This Row],[Full X500]],'CNF Sponsorship'!B:B,'CNF Sponsorship'!A:A,"ERROR")&lt;&gt;"ERROR","OK","ERROR")</f>
        <v>OK</v>
      </c>
      <c r="Z23" s="83" t="str">
        <f>_xlfn.XLOOKUP(identities_t[[#This Row],[BNO ID]],'Input 1 - Billing Run'!A:A,'Input 1 - Billing Run'!C:C,"NOT FOUND")</f>
        <v>SUCCESS</v>
      </c>
      <c r="AA23" s="37">
        <f>COUNTIF('Input 2 - Transactions'!C:C,identities_t[[#This Row],[BNO ID]])</f>
        <v>0</v>
      </c>
      <c r="AB23" s="37">
        <f>_xlfn.IFNA(_xlfn.XLOOKUP(identities_t[[#This Row],[BNO ID]],'Input 1 - Billing Run'!A:A,'Input 1 - Billing Run'!F:F),0)</f>
        <v>5</v>
      </c>
      <c r="AC23" s="83" t="str">
        <f>IF(_xlfn.XLOOKUP(identities_t[[#This Row],[Full X500]],'BNO Recon'!B:B,'BNO Recon'!AC:AC,"ERROR")&lt;&gt;"ERROR","OK","ERROR")</f>
        <v>OK</v>
      </c>
      <c r="AD23" s="171"/>
    </row>
    <row r="24" spans="1:30">
      <c r="A24" s="83">
        <v>5</v>
      </c>
      <c r="B24" s="36" t="str">
        <f>_xlfn.XLOOKUP(identities_t[[#This Row],[Subscription ID]],'DB - Subscriptions'!A:A,'DB - Subscriptions'!c_parties,"ERROR")</f>
        <v>Xiamen ITG</v>
      </c>
      <c r="C24" s="83">
        <f ca="1">_xlfn.XLOOKUP(identities_t[[#This Row],[Subscription ID]],'DB - Subscriptions'!A:A,'DB - Subscriptions'!Q:Q)</f>
        <v>172</v>
      </c>
      <c r="D24" s="36" t="str">
        <f>_xlfn.XLOOKUP(identities_t[[#This Row],[Contracting Party]],c_parties,'DB - Contracting Parties'!C:C)</f>
        <v>Corporate</v>
      </c>
      <c r="E24" s="36" t="b">
        <f>IF(identities_t[[#This Row],[Contracting Party]]="Contour Pte. Ltd.", TRUE, FALSE)</f>
        <v>0</v>
      </c>
      <c r="F24" s="36" t="s">
        <v>1117</v>
      </c>
      <c r="G24" s="36"/>
      <c r="H24" s="113">
        <f>_xlfn.XLOOKUP(identities_t[[#This Row],[Initiative Code]],Codes!A:A,Codes!B:B,"N/A")</f>
        <v>0</v>
      </c>
      <c r="I24" s="36" t="s">
        <v>1143</v>
      </c>
      <c r="J24" s="36" t="s">
        <v>1144</v>
      </c>
      <c r="K24" s="113" t="s">
        <v>1097</v>
      </c>
      <c r="L24" s="113"/>
      <c r="M24" s="199">
        <v>143030</v>
      </c>
      <c r="N24" s="36" t="str">
        <f>identities_t[[#This Row],[Identity Legal Entity Name (O)]]</f>
        <v>Pointer Investment (Hong Kong) Limited</v>
      </c>
      <c r="O24" s="36" t="s">
        <v>1113</v>
      </c>
      <c r="P24" s="36" t="s">
        <v>1128</v>
      </c>
      <c r="Q24" s="36" t="s">
        <v>1019</v>
      </c>
      <c r="R24" s="110">
        <v>44279</v>
      </c>
      <c r="S24" s="36" t="s">
        <v>28</v>
      </c>
      <c r="T24" t="s">
        <v>1122</v>
      </c>
      <c r="U24" s="36" t="str">
        <f>LOWER("OU="&amp;'DB - Identities'!$O24&amp;", O="&amp;'DB - Identities'!$N24&amp;", L="&amp;'DB - Identities'!$P24&amp;", C="&amp;'DB - Identities'!$Q24)</f>
        <v>ou=trade finance, o=pointer investment (hong kong) limited, l=hong kong, c=hk</v>
      </c>
      <c r="V24" s="83" t="str">
        <f>_xlfn.XLOOKUP(identities_t[[#This Row],[Full X500]],'Input 3 - BNO Members'!A:A,'Input 3 - BNO Members'!C:C,"ERROR")</f>
        <v>Active</v>
      </c>
      <c r="W24" s="83">
        <f>_xlfn.XLOOKUP(identities_t[[#This Row],[Full X500]],'Input 3 - BNO Members'!A:A,'Input 3 - BNO Members'!B:B,"ERROR")</f>
        <v>27155922</v>
      </c>
      <c r="X24" s="83">
        <f>_xlfn.XLOOKUP(U:U,'Input 3 - BNO Members'!A:A,'Input 3 - BNO Members'!E:E)</f>
        <v>60100</v>
      </c>
      <c r="Y24" s="83" t="str">
        <f>IF(_xlfn.XLOOKUP(identities_t[[#This Row],[Full X500]],'CNF Sponsorship'!B:B,'CNF Sponsorship'!A:A,"ERROR")&lt;&gt;"ERROR","OK","ERROR")</f>
        <v>OK</v>
      </c>
      <c r="Z24" s="83" t="str">
        <f>_xlfn.XLOOKUP(identities_t[[#This Row],[BNO ID]],'Input 1 - Billing Run'!A:A,'Input 1 - Billing Run'!C:C,"NOT FOUND")</f>
        <v>SUCCESS</v>
      </c>
      <c r="AA24" s="37">
        <f>COUNTIF('Input 2 - Transactions'!C:C,identities_t[[#This Row],[BNO ID]])</f>
        <v>0</v>
      </c>
      <c r="AB24" s="37">
        <f>_xlfn.IFNA(_xlfn.XLOOKUP(identities_t[[#This Row],[BNO ID]],'Input 1 - Billing Run'!A:A,'Input 1 - Billing Run'!F:F),0)</f>
        <v>0</v>
      </c>
      <c r="AC24" s="83" t="str">
        <f>IF(_xlfn.XLOOKUP(identities_t[[#This Row],[Full X500]],'BNO Recon'!B:B,'BNO Recon'!AC:AC,"ERROR")&lt;&gt;"ERROR","OK","ERROR")</f>
        <v>OK</v>
      </c>
      <c r="AD24" s="171"/>
    </row>
    <row r="25" spans="1:30">
      <c r="A25" s="83">
        <v>8</v>
      </c>
      <c r="B25" s="36" t="str">
        <f>_xlfn.XLOOKUP(identities_t[[#This Row],[Subscription ID]],'DB - Subscriptions'!A:A,'DB - Subscriptions'!c_parties,"ERROR")</f>
        <v>Rio Tinto Commercial Pte. Ltd.</v>
      </c>
      <c r="C25" s="83">
        <f ca="1">_xlfn.XLOOKUP(identities_t[[#This Row],[Subscription ID]],'DB - Subscriptions'!A:A,'DB - Subscriptions'!Q:Q)</f>
        <v>172</v>
      </c>
      <c r="D25" s="36" t="str">
        <f>_xlfn.XLOOKUP(identities_t[[#This Row],[Contracting Party]],c_parties,'DB - Contracting Parties'!C:C)</f>
        <v>Corporate</v>
      </c>
      <c r="E25" s="36" t="b">
        <f>IF(identities_t[[#This Row],[Contracting Party]]="Contour Pte. Ltd.", TRUE, FALSE)</f>
        <v>0</v>
      </c>
      <c r="F25" s="36" t="s">
        <v>1145</v>
      </c>
      <c r="G25" s="36"/>
      <c r="H25" s="113">
        <f>_xlfn.XLOOKUP(identities_t[[#This Row],[Initiative Code]],Codes!A:A,Codes!B:B,"N/A")</f>
        <v>0</v>
      </c>
      <c r="I25" s="36" t="s">
        <v>1146</v>
      </c>
      <c r="J25" s="36" t="s">
        <v>1147</v>
      </c>
      <c r="K25" s="113" t="s">
        <v>1097</v>
      </c>
      <c r="L25" s="113"/>
      <c r="M25" s="199" t="s">
        <v>1148</v>
      </c>
      <c r="N25" s="36" t="str">
        <f>identities_t[[#This Row],[Identity Legal Entity Name (O)]]</f>
        <v>Robe River Ore Sales Pty. Ltd.</v>
      </c>
      <c r="O25" s="36" t="s">
        <v>1113</v>
      </c>
      <c r="P25" s="36" t="s">
        <v>1149</v>
      </c>
      <c r="Q25" s="36" t="s">
        <v>1150</v>
      </c>
      <c r="R25" s="110">
        <v>44279</v>
      </c>
      <c r="S25" s="36" t="s">
        <v>28</v>
      </c>
      <c r="T25" t="s">
        <v>1137</v>
      </c>
      <c r="U25" s="36" t="str">
        <f>LOWER("OU="&amp;'DB - Identities'!$O25&amp;", O="&amp;'DB - Identities'!$N25&amp;", L="&amp;'DB - Identities'!$P25&amp;", C="&amp;'DB - Identities'!$Q25)</f>
        <v>ou=trade finance, o=robe river ore sales pty. ltd., l=perth, c=au</v>
      </c>
      <c r="V25" s="83" t="str">
        <f>_xlfn.XLOOKUP(identities_t[[#This Row],[Full X500]],'Input 3 - BNO Members'!A:A,'Input 3 - BNO Members'!C:C,"ERROR")</f>
        <v>Active</v>
      </c>
      <c r="W25" s="83">
        <f>_xlfn.XLOOKUP(identities_t[[#This Row],[Full X500]],'Input 3 - BNO Members'!A:A,'Input 3 - BNO Members'!B:B,"ERROR")</f>
        <v>84736786</v>
      </c>
      <c r="X25" s="83">
        <f>_xlfn.XLOOKUP(U:U,'Input 3 - BNO Members'!A:A,'Input 3 - BNO Members'!E:E)</f>
        <v>60100</v>
      </c>
      <c r="Y25" s="83" t="str">
        <f>IF(_xlfn.XLOOKUP(identities_t[[#This Row],[Full X500]],'CNF Sponsorship'!B:B,'CNF Sponsorship'!A:A,"ERROR")&lt;&gt;"ERROR","OK","ERROR")</f>
        <v>OK</v>
      </c>
      <c r="Z25" s="83" t="str">
        <f>_xlfn.XLOOKUP(identities_t[[#This Row],[BNO ID]],'Input 1 - Billing Run'!A:A,'Input 1 - Billing Run'!C:C,"NOT FOUND")</f>
        <v>SUCCESS</v>
      </c>
      <c r="AA25" s="37">
        <f>COUNTIF('Input 2 - Transactions'!C:C,identities_t[[#This Row],[BNO ID]])</f>
        <v>1</v>
      </c>
      <c r="AB25" s="37">
        <f>_xlfn.IFNA(_xlfn.XLOOKUP(identities_t[[#This Row],[BNO ID]],'Input 1 - Billing Run'!A:A,'Input 1 - Billing Run'!F:F),0)</f>
        <v>1</v>
      </c>
      <c r="AC25" s="83" t="str">
        <f>IF(_xlfn.XLOOKUP(identities_t[[#This Row],[Full X500]],'BNO Recon'!B:B,'BNO Recon'!AC:AC,"ERROR")&lt;&gt;"ERROR","OK","ERROR")</f>
        <v>OK</v>
      </c>
      <c r="AD25" s="171"/>
    </row>
    <row r="26" spans="1:30">
      <c r="A26" s="83">
        <v>8</v>
      </c>
      <c r="B26" s="36" t="str">
        <f>_xlfn.XLOOKUP(identities_t[[#This Row],[Subscription ID]],'DB - Subscriptions'!A:A,'DB - Subscriptions'!c_parties,"ERROR")</f>
        <v>Rio Tinto Commercial Pte. Ltd.</v>
      </c>
      <c r="C26" s="83">
        <f ca="1">_xlfn.XLOOKUP(identities_t[[#This Row],[Subscription ID]],'DB - Subscriptions'!A:A,'DB - Subscriptions'!Q:Q)</f>
        <v>172</v>
      </c>
      <c r="D26" s="36" t="str">
        <f>_xlfn.XLOOKUP(identities_t[[#This Row],[Contracting Party]],c_parties,'DB - Contracting Parties'!C:C)</f>
        <v>Corporate</v>
      </c>
      <c r="E26" s="36" t="b">
        <f>IF(identities_t[[#This Row],[Contracting Party]]="Contour Pte. Ltd.", TRUE, FALSE)</f>
        <v>0</v>
      </c>
      <c r="F26" s="36" t="s">
        <v>1151</v>
      </c>
      <c r="G26" s="36"/>
      <c r="H26" s="113">
        <f>_xlfn.XLOOKUP(identities_t[[#This Row],[Initiative Code]],Codes!A:A,Codes!B:B,"N/A")</f>
        <v>0</v>
      </c>
      <c r="I26" s="36" t="s">
        <v>1152</v>
      </c>
      <c r="J26" s="36" t="s">
        <v>1153</v>
      </c>
      <c r="K26" s="113" t="s">
        <v>1097</v>
      </c>
      <c r="L26" s="113"/>
      <c r="M26" s="199" t="s">
        <v>1154</v>
      </c>
      <c r="N26" s="36" t="str">
        <f>identities_t[[#This Row],[Identity Legal Entity Name (O)]]</f>
        <v>Hope Downs Marketing Company Pty Ltd</v>
      </c>
      <c r="O26" s="36" t="s">
        <v>1113</v>
      </c>
      <c r="P26" s="36" t="s">
        <v>1149</v>
      </c>
      <c r="Q26" s="36" t="s">
        <v>1150</v>
      </c>
      <c r="R26" s="110">
        <v>44279</v>
      </c>
      <c r="S26" s="36" t="s">
        <v>28</v>
      </c>
      <c r="T26" t="s">
        <v>1137</v>
      </c>
      <c r="U26" s="36" t="str">
        <f>LOWER("OU="&amp;'DB - Identities'!$O26&amp;", O="&amp;'DB - Identities'!$N26&amp;", L="&amp;'DB - Identities'!$P26&amp;", C="&amp;'DB - Identities'!$Q26)</f>
        <v>ou=trade finance, o=hope downs marketing company pty ltd, l=perth, c=au</v>
      </c>
      <c r="V26" s="83" t="str">
        <f>_xlfn.XLOOKUP(identities_t[[#This Row],[Full X500]],'Input 3 - BNO Members'!A:A,'Input 3 - BNO Members'!C:C,"ERROR")</f>
        <v>Active</v>
      </c>
      <c r="W26" s="83">
        <f>_xlfn.XLOOKUP(identities_t[[#This Row],[Full X500]],'Input 3 - BNO Members'!A:A,'Input 3 - BNO Members'!B:B,"ERROR")</f>
        <v>83641626</v>
      </c>
      <c r="X26" s="83">
        <f>_xlfn.XLOOKUP(U:U,'Input 3 - BNO Members'!A:A,'Input 3 - BNO Members'!E:E)</f>
        <v>60100</v>
      </c>
      <c r="Y26" s="83" t="str">
        <f>IF(_xlfn.XLOOKUP(identities_t[[#This Row],[Full X500]],'CNF Sponsorship'!B:B,'CNF Sponsorship'!A:A,"ERROR")&lt;&gt;"ERROR","OK","ERROR")</f>
        <v>OK</v>
      </c>
      <c r="Z26" s="83" t="str">
        <f>_xlfn.XLOOKUP(identities_t[[#This Row],[BNO ID]],'Input 1 - Billing Run'!A:A,'Input 1 - Billing Run'!C:C,"NOT FOUND")</f>
        <v>SUCCESS</v>
      </c>
      <c r="AA26" s="37">
        <f>COUNTIF('Input 2 - Transactions'!C:C,identities_t[[#This Row],[BNO ID]])</f>
        <v>1</v>
      </c>
      <c r="AB26" s="37">
        <f>_xlfn.IFNA(_xlfn.XLOOKUP(identities_t[[#This Row],[BNO ID]],'Input 1 - Billing Run'!A:A,'Input 1 - Billing Run'!F:F),0)</f>
        <v>1</v>
      </c>
      <c r="AC26" s="83" t="str">
        <f>IF(_xlfn.XLOOKUP(identities_t[[#This Row],[Full X500]],'BNO Recon'!B:B,'BNO Recon'!AC:AC,"ERROR")&lt;&gt;"ERROR","OK","ERROR")</f>
        <v>OK</v>
      </c>
      <c r="AD26" s="171"/>
    </row>
    <row r="27" spans="1:30">
      <c r="A27" s="83">
        <v>7</v>
      </c>
      <c r="B27" s="36" t="str">
        <f>_xlfn.XLOOKUP(identities_t[[#This Row],[Subscription ID]],'DB - Subscriptions'!A:A,'DB - Subscriptions'!c_parties,"ERROR")</f>
        <v>Bangkok Bank Public Company Limited</v>
      </c>
      <c r="C27" s="83">
        <f ca="1">_xlfn.XLOOKUP(identities_t[[#This Row],[Subscription ID]],'DB - Subscriptions'!A:A,'DB - Subscriptions'!Q:Q)</f>
        <v>172</v>
      </c>
      <c r="D27" s="36" t="str">
        <f>_xlfn.XLOOKUP(identities_t[[#This Row],[Contracting Party]],c_parties,'DB - Contracting Parties'!C:C)</f>
        <v>Bank</v>
      </c>
      <c r="E27" s="36" t="b">
        <f>IF(identities_t[[#This Row],[Contracting Party]]="Contour Pte. Ltd.", TRUE, FALSE)</f>
        <v>0</v>
      </c>
      <c r="F27" s="36" t="s">
        <v>1155</v>
      </c>
      <c r="G27" s="36"/>
      <c r="H27" s="113">
        <f>_xlfn.XLOOKUP(identities_t[[#This Row],[Initiative Code]],Codes!A:A,Codes!B:B,"N/A")</f>
        <v>0</v>
      </c>
      <c r="I27" s="36" t="s">
        <v>1156</v>
      </c>
      <c r="J27" s="36" t="s">
        <v>79</v>
      </c>
      <c r="K27" s="199" t="s">
        <v>1157</v>
      </c>
      <c r="L27" s="202" t="s">
        <v>81</v>
      </c>
      <c r="M27" s="199" t="s">
        <v>80</v>
      </c>
      <c r="N27" s="36" t="str">
        <f>identities_t[[#This Row],[Identity Legal Entity Name (O)]]</f>
        <v>Bangkok Bank Public Company Limited</v>
      </c>
      <c r="O27" s="36" t="s">
        <v>1113</v>
      </c>
      <c r="P27" s="36" t="s">
        <v>1105</v>
      </c>
      <c r="Q27" s="36" t="s">
        <v>1106</v>
      </c>
      <c r="R27" s="110">
        <v>44279</v>
      </c>
      <c r="S27" s="36" t="s">
        <v>28</v>
      </c>
      <c r="T27" t="s">
        <v>1158</v>
      </c>
      <c r="U27" s="36" t="str">
        <f>LOWER("OU="&amp;'DB - Identities'!$O27&amp;", O="&amp;'DB - Identities'!$N27&amp;", L="&amp;'DB - Identities'!$P27&amp;", C="&amp;'DB - Identities'!$Q27)</f>
        <v>ou=trade finance, o=bangkok bank public company limited, l=bangkok, c=th</v>
      </c>
      <c r="V27" s="83" t="str">
        <f>_xlfn.XLOOKUP(identities_t[[#This Row],[Full X500]],'Input 3 - BNO Members'!A:A,'Input 3 - BNO Members'!C:C,"ERROR")</f>
        <v>Active</v>
      </c>
      <c r="W27" s="83">
        <f>_xlfn.XLOOKUP(identities_t[[#This Row],[Full X500]],'Input 3 - BNO Members'!A:A,'Input 3 - BNO Members'!B:B,"ERROR")</f>
        <v>725177225</v>
      </c>
      <c r="X27" s="83">
        <f>_xlfn.XLOOKUP(U:U,'Input 3 - BNO Members'!A:A,'Input 3 - BNO Members'!E:E)</f>
        <v>60100</v>
      </c>
      <c r="Y27" s="83" t="str">
        <f>IF(_xlfn.XLOOKUP(identities_t[[#This Row],[Full X500]],'CNF Sponsorship'!B:B,'CNF Sponsorship'!A:A,"ERROR")&lt;&gt;"ERROR","OK","ERROR")</f>
        <v>ERROR</v>
      </c>
      <c r="Z27" s="83" t="str">
        <f>_xlfn.XLOOKUP(identities_t[[#This Row],[BNO ID]],'Input 1 - Billing Run'!A:A,'Input 1 - Billing Run'!C:C,"NOT FOUND")</f>
        <v>SUCCESS</v>
      </c>
      <c r="AA27" s="37">
        <f>COUNTIF('Input 2 - Transactions'!C:C,identities_t[[#This Row],[BNO ID]])</f>
        <v>0</v>
      </c>
      <c r="AB27" s="37">
        <f>_xlfn.IFNA(_xlfn.XLOOKUP(identities_t[[#This Row],[BNO ID]],'Input 1 - Billing Run'!A:A,'Input 1 - Billing Run'!F:F),0)</f>
        <v>0</v>
      </c>
      <c r="AC27" s="83" t="str">
        <f>IF(_xlfn.XLOOKUP(identities_t[[#This Row],[Full X500]],'BNO Recon'!B:B,'BNO Recon'!AC:AC,"ERROR")&lt;&gt;"ERROR","OK","ERROR")</f>
        <v>OK</v>
      </c>
      <c r="AD27" s="171"/>
    </row>
    <row r="28" spans="1:30">
      <c r="A28" s="83">
        <v>7</v>
      </c>
      <c r="B28" s="36" t="str">
        <f>_xlfn.XLOOKUP(identities_t[[#This Row],[Subscription ID]],'DB - Subscriptions'!A:A,'DB - Subscriptions'!c_parties,"ERROR")</f>
        <v>Bangkok Bank Public Company Limited</v>
      </c>
      <c r="C28" s="83">
        <f ca="1">_xlfn.XLOOKUP(identities_t[[#This Row],[Subscription ID]],'DB - Subscriptions'!A:A,'DB - Subscriptions'!Q:Q)</f>
        <v>172</v>
      </c>
      <c r="D28" s="36" t="str">
        <f>_xlfn.XLOOKUP(identities_t[[#This Row],[Contracting Party]],c_parties,'DB - Contracting Parties'!C:C)</f>
        <v>Bank</v>
      </c>
      <c r="E28" s="36" t="b">
        <f>IF(identities_t[[#This Row],[Contracting Party]]="Contour Pte. Ltd.", TRUE, FALSE)</f>
        <v>0</v>
      </c>
      <c r="F28" s="36" t="s">
        <v>1159</v>
      </c>
      <c r="G28" s="36"/>
      <c r="H28" s="113">
        <f>_xlfn.XLOOKUP(identities_t[[#This Row],[Initiative Code]],Codes!A:A,Codes!B:B,"N/A")</f>
        <v>0</v>
      </c>
      <c r="I28" s="36" t="s">
        <v>1160</v>
      </c>
      <c r="J28" s="36" t="s">
        <v>79</v>
      </c>
      <c r="K28" s="199" t="s">
        <v>1161</v>
      </c>
      <c r="L28" s="113"/>
      <c r="M28" s="199" t="s">
        <v>1162</v>
      </c>
      <c r="N28" s="36" t="str">
        <f>identities_t[[#This Row],[Identity Legal Entity Name (O)]]</f>
        <v>Bangkok Bank Public Company Limited</v>
      </c>
      <c r="O28" s="36" t="s">
        <v>1113</v>
      </c>
      <c r="P28" s="36" t="s">
        <v>1163</v>
      </c>
      <c r="Q28" s="36" t="s">
        <v>1164</v>
      </c>
      <c r="R28" s="110">
        <v>44279</v>
      </c>
      <c r="S28" s="36" t="s">
        <v>28</v>
      </c>
      <c r="T28" t="s">
        <v>1158</v>
      </c>
      <c r="U28" s="36" t="str">
        <f>LOWER("OU="&amp;'DB - Identities'!$O28&amp;", O="&amp;'DB - Identities'!$N28&amp;", L="&amp;'DB - Identities'!$P28&amp;", C="&amp;'DB - Identities'!$Q28)</f>
        <v>ou=trade finance, o=bangkok bank public company limited, l=ho chi minh city, c=vn</v>
      </c>
      <c r="V28" s="83" t="str">
        <f>_xlfn.XLOOKUP(identities_t[[#This Row],[Full X500]],'Input 3 - BNO Members'!A:A,'Input 3 - BNO Members'!C:C,"ERROR")</f>
        <v>Active</v>
      </c>
      <c r="W28" s="83">
        <f>_xlfn.XLOOKUP(identities_t[[#This Row],[Full X500]],'Input 3 - BNO Members'!A:A,'Input 3 - BNO Members'!B:B,"ERROR")</f>
        <v>269950954</v>
      </c>
      <c r="X28" s="83">
        <f>_xlfn.XLOOKUP(U:U,'Input 3 - BNO Members'!A:A,'Input 3 - BNO Members'!E:E)</f>
        <v>60100</v>
      </c>
      <c r="Y28" s="83" t="str">
        <f>IF(_xlfn.XLOOKUP(identities_t[[#This Row],[Full X500]],'CNF Sponsorship'!B:B,'CNF Sponsorship'!A:A,"ERROR")&lt;&gt;"ERROR","OK","ERROR")</f>
        <v>ERROR</v>
      </c>
      <c r="Z28" s="83" t="str">
        <f>_xlfn.XLOOKUP(identities_t[[#This Row],[BNO ID]],'Input 1 - Billing Run'!A:A,'Input 1 - Billing Run'!C:C,"NOT FOUND")</f>
        <v>SUCCESS</v>
      </c>
      <c r="AA28" s="37">
        <f>COUNTIF('Input 2 - Transactions'!C:C,identities_t[[#This Row],[BNO ID]])</f>
        <v>0</v>
      </c>
      <c r="AB28" s="37">
        <f>_xlfn.IFNA(_xlfn.XLOOKUP(identities_t[[#This Row],[BNO ID]],'Input 1 - Billing Run'!A:A,'Input 1 - Billing Run'!F:F),0)</f>
        <v>0</v>
      </c>
      <c r="AC28" s="83" t="str">
        <f>IF(_xlfn.XLOOKUP(identities_t[[#This Row],[Full X500]],'BNO Recon'!B:B,'BNO Recon'!AC:AC,"ERROR")&lt;&gt;"ERROR","OK","ERROR")</f>
        <v>OK</v>
      </c>
      <c r="AD28" s="171"/>
    </row>
    <row r="29" spans="1:30">
      <c r="A29" s="83">
        <v>17</v>
      </c>
      <c r="B29" s="36" t="str">
        <f>_xlfn.XLOOKUP(identities_t[[#This Row],[Subscription ID]],'DB - Subscriptions'!A:A,'DB - Subscriptions'!c_parties,"ERROR")</f>
        <v>Hangzhou Iron &amp; Steel (H.K.) Co Ltd</v>
      </c>
      <c r="C29" s="83">
        <f ca="1">_xlfn.XLOOKUP(identities_t[[#This Row],[Subscription ID]],'DB - Subscriptions'!A:A,'DB - Subscriptions'!Q:Q)</f>
        <v>203</v>
      </c>
      <c r="D29" s="36" t="str">
        <f>_xlfn.XLOOKUP(identities_t[[#This Row],[Contracting Party]],c_parties,'DB - Contracting Parties'!C:C)</f>
        <v>Corporate</v>
      </c>
      <c r="E29" s="36" t="b">
        <f>IF(identities_t[[#This Row],[Contracting Party]]="Contour Pte. Ltd.", TRUE, FALSE)</f>
        <v>0</v>
      </c>
      <c r="F29" s="36" t="s">
        <v>1165</v>
      </c>
      <c r="G29" s="103" t="s">
        <v>637</v>
      </c>
      <c r="H29" s="113" t="str">
        <f>_xlfn.XLOOKUP(identities_t[[#This Row],[Initiative Code]],Codes!A:A,Codes!B:B,"N/A")</f>
        <v>CWP</v>
      </c>
      <c r="I29" s="36" t="s">
        <v>1166</v>
      </c>
      <c r="J29" s="36" t="s">
        <v>1166</v>
      </c>
      <c r="K29" s="113" t="s">
        <v>1097</v>
      </c>
      <c r="L29" s="113"/>
      <c r="M29" s="199">
        <v>686829</v>
      </c>
      <c r="N29" s="36" t="str">
        <f>identities_t[[#This Row],[Identity Legal Entity Name (O)]]</f>
        <v>HANGZHOU IRON &amp; STEEL (H.K.) COMPANY LIMITED</v>
      </c>
      <c r="O29" s="36" t="s">
        <v>1113</v>
      </c>
      <c r="P29" s="36" t="s">
        <v>1128</v>
      </c>
      <c r="Q29" s="36" t="s">
        <v>1019</v>
      </c>
      <c r="R29" s="110">
        <v>44295</v>
      </c>
      <c r="S29" s="36" t="s">
        <v>28</v>
      </c>
      <c r="T29" t="s">
        <v>1167</v>
      </c>
      <c r="U29" s="36" t="str">
        <f>LOWER("OU="&amp;'DB - Identities'!$O29&amp;", O="&amp;'DB - Identities'!$N29&amp;", L="&amp;'DB - Identities'!$P29&amp;", C="&amp;'DB - Identities'!$Q29)</f>
        <v>ou=trade finance, o=hangzhou iron &amp; steel (h.k.) company limited, l=hong kong, c=hk</v>
      </c>
      <c r="V29" s="83" t="str">
        <f>_xlfn.XLOOKUP(identities_t[[#This Row],[Full X500]],'Input 3 - BNO Members'!A:A,'Input 3 - BNO Members'!C:C,"ERROR")</f>
        <v>Active</v>
      </c>
      <c r="W29" s="83">
        <f>_xlfn.XLOOKUP(identities_t[[#This Row],[Full X500]],'Input 3 - BNO Members'!A:A,'Input 3 - BNO Members'!B:B,"ERROR")</f>
        <v>578096936</v>
      </c>
      <c r="X29" s="83">
        <f>_xlfn.XLOOKUP(U:U,'Input 3 - BNO Members'!A:A,'Input 3 - BNO Members'!E:E)</f>
        <v>60100</v>
      </c>
      <c r="Y29" s="83" t="str">
        <f>IF(_xlfn.XLOOKUP(identities_t[[#This Row],[Full X500]],'CNF Sponsorship'!B:B,'CNF Sponsorship'!A:A,"ERROR")&lt;&gt;"ERROR","OK","ERROR")</f>
        <v>OK</v>
      </c>
      <c r="Z29" s="83" t="str">
        <f>_xlfn.XLOOKUP(identities_t[[#This Row],[BNO ID]],'Input 1 - Billing Run'!A:A,'Input 1 - Billing Run'!C:C,"NOT FOUND")</f>
        <v>SUCCESS</v>
      </c>
      <c r="AA29" s="37">
        <f>COUNTIF('Input 2 - Transactions'!C:C,identities_t[[#This Row],[BNO ID]])</f>
        <v>0</v>
      </c>
      <c r="AB29" s="37">
        <f>_xlfn.IFNA(_xlfn.XLOOKUP(identities_t[[#This Row],[BNO ID]],'Input 1 - Billing Run'!A:A,'Input 1 - Billing Run'!F:F),0)</f>
        <v>0</v>
      </c>
      <c r="AC29" s="83" t="str">
        <f>IF(_xlfn.XLOOKUP(identities_t[[#This Row],[Full X500]],'BNO Recon'!B:B,'BNO Recon'!AC:AC,"ERROR")&lt;&gt;"ERROR","OK","ERROR")</f>
        <v>OK</v>
      </c>
      <c r="AD29" s="171"/>
    </row>
    <row r="30" spans="1:30">
      <c r="A30" s="83">
        <v>18</v>
      </c>
      <c r="B30" s="36" t="str">
        <f>_xlfn.XLOOKUP(identities_t[[#This Row],[Subscription ID]],'DB - Subscriptions'!A:A,'DB - Subscriptions'!c_parties,"ERROR")</f>
        <v>HBIS Group Hong Kong Co., Limited</v>
      </c>
      <c r="C30" s="83">
        <f ca="1">_xlfn.XLOOKUP(identities_t[[#This Row],[Subscription ID]],'DB - Subscriptions'!A:A,'DB - Subscriptions'!Q:Q)</f>
        <v>233</v>
      </c>
      <c r="D30" s="36" t="str">
        <f>_xlfn.XLOOKUP(identities_t[[#This Row],[Contracting Party]],c_parties,'DB - Contracting Parties'!C:C)</f>
        <v>Corporate</v>
      </c>
      <c r="E30" s="36" t="b">
        <f>IF(identities_t[[#This Row],[Contracting Party]]="Contour Pte. Ltd.", TRUE, FALSE)</f>
        <v>0</v>
      </c>
      <c r="F30" s="36" t="s">
        <v>1168</v>
      </c>
      <c r="G30" s="36" t="s">
        <v>444</v>
      </c>
      <c r="H30" s="113" t="str">
        <f>_xlfn.XLOOKUP(identities_t[[#This Row],[Initiative Code]],Codes!A:A,Codes!B:B,"N/A")</f>
        <v>CWP</v>
      </c>
      <c r="I30" s="36" t="s">
        <v>1169</v>
      </c>
      <c r="J30" s="36" t="s">
        <v>1169</v>
      </c>
      <c r="K30" s="113" t="s">
        <v>1097</v>
      </c>
      <c r="L30" s="202" t="s">
        <v>1170</v>
      </c>
      <c r="M30" s="199" t="s">
        <v>148</v>
      </c>
      <c r="N30" s="36" t="str">
        <f>identities_t[[#This Row],[Identity Legal Entity Name (O)]]</f>
        <v>HBIS Group Hong Kong Co. Limited</v>
      </c>
      <c r="O30" s="36" t="s">
        <v>1113</v>
      </c>
      <c r="P30" s="36" t="s">
        <v>1128</v>
      </c>
      <c r="Q30" s="36" t="s">
        <v>1019</v>
      </c>
      <c r="R30" s="110">
        <v>44306</v>
      </c>
      <c r="S30" s="36" t="s">
        <v>28</v>
      </c>
      <c r="T30" t="s">
        <v>1171</v>
      </c>
      <c r="U30" s="36" t="str">
        <f>LOWER("OU="&amp;'DB - Identities'!$O30&amp;", O="&amp;'DB - Identities'!$N30&amp;", L="&amp;'DB - Identities'!$P30&amp;", C="&amp;'DB - Identities'!$Q30)</f>
        <v>ou=trade finance, o=hbis group hong kong co. limited, l=hong kong, c=hk</v>
      </c>
      <c r="V30" s="83" t="str">
        <f>_xlfn.XLOOKUP(identities_t[[#This Row],[Full X500]],'Input 3 - BNO Members'!A:A,'Input 3 - BNO Members'!C:C,"ERROR")</f>
        <v>Active</v>
      </c>
      <c r="W30" s="83">
        <f>_xlfn.XLOOKUP(identities_t[[#This Row],[Full X500]],'Input 3 - BNO Members'!A:A,'Input 3 - BNO Members'!B:B,"ERROR")</f>
        <v>928801753</v>
      </c>
      <c r="X30" s="83">
        <f>_xlfn.XLOOKUP(U:U,'Input 3 - BNO Members'!A:A,'Input 3 - BNO Members'!E:E)</f>
        <v>60100</v>
      </c>
      <c r="Y30" s="83" t="str">
        <f>IF(_xlfn.XLOOKUP(identities_t[[#This Row],[Full X500]],'CNF Sponsorship'!B:B,'CNF Sponsorship'!A:A,"ERROR")&lt;&gt;"ERROR","OK","ERROR")</f>
        <v>ERROR</v>
      </c>
      <c r="Z30" s="83" t="str">
        <f>_xlfn.XLOOKUP(identities_t[[#This Row],[BNO ID]],'Input 1 - Billing Run'!A:A,'Input 1 - Billing Run'!C:C,"NOT FOUND")</f>
        <v>SUCCESS</v>
      </c>
      <c r="AA30" s="37">
        <f>COUNTIF('Input 2 - Transactions'!C:C,identities_t[[#This Row],[BNO ID]])</f>
        <v>0</v>
      </c>
      <c r="AB30" s="37">
        <f>_xlfn.IFNA(_xlfn.XLOOKUP(identities_t[[#This Row],[BNO ID]],'Input 1 - Billing Run'!A:A,'Input 1 - Billing Run'!F:F),0)</f>
        <v>0</v>
      </c>
      <c r="AC30" s="83" t="str">
        <f>IF(_xlfn.XLOOKUP(identities_t[[#This Row],[Full X500]],'BNO Recon'!B:B,'BNO Recon'!AC:AC,"ERROR")&lt;&gt;"ERROR","OK","ERROR")</f>
        <v>OK</v>
      </c>
      <c r="AD30" s="171"/>
    </row>
    <row r="31" spans="1:30">
      <c r="A31" s="83">
        <v>19</v>
      </c>
      <c r="B31" s="167" t="str">
        <f>_xlfn.XLOOKUP(identities_t[[#This Row],[Subscription ID]],'DB - Subscriptions'!A:A,'DB - Subscriptions'!c_parties,"ERROR")</f>
        <v>Vale International SA</v>
      </c>
      <c r="C31" s="171">
        <f ca="1">_xlfn.XLOOKUP(identities_t[[#This Row],[Subscription ID]],'DB - Subscriptions'!A:A,'DB - Subscriptions'!Q:Q)</f>
        <v>233</v>
      </c>
      <c r="D31" s="167" t="str">
        <f>_xlfn.XLOOKUP(identities_t[[#This Row],[Contracting Party]],c_parties,'DB - Contracting Parties'!C:C)</f>
        <v>Corporate</v>
      </c>
      <c r="E31" s="167" t="b">
        <f>IF(identities_t[[#This Row],[Contracting Party]]="Contour Pte. Ltd.", TRUE, FALSE)</f>
        <v>0</v>
      </c>
      <c r="F31" s="26" t="s">
        <v>1172</v>
      </c>
      <c r="G31" s="169"/>
      <c r="H31" s="170">
        <f>_xlfn.XLOOKUP(identities_t[[#This Row],[Initiative Code]],Codes!A:A,Codes!B:B,"N/A")</f>
        <v>0</v>
      </c>
      <c r="I31" s="113"/>
      <c r="J31" s="36" t="s">
        <v>152</v>
      </c>
      <c r="K31" s="113" t="s">
        <v>1097</v>
      </c>
      <c r="L31" s="202" t="s">
        <v>154</v>
      </c>
      <c r="M31" s="199" t="s">
        <v>153</v>
      </c>
      <c r="N31" s="36" t="str">
        <f>identities_t[[#This Row],[Identity Legal Entity Name (O)]]</f>
        <v>Vale International SA</v>
      </c>
      <c r="O31" s="36" t="s">
        <v>1173</v>
      </c>
      <c r="P31" s="36" t="s">
        <v>1174</v>
      </c>
      <c r="Q31" s="36" t="s">
        <v>1175</v>
      </c>
      <c r="R31" s="110">
        <v>44316</v>
      </c>
      <c r="S31" s="36" t="s">
        <v>28</v>
      </c>
      <c r="T31" t="s">
        <v>1176</v>
      </c>
      <c r="U31" s="167" t="str">
        <f>LOWER("OU="&amp;'DB - Identities'!$O31&amp;", O="&amp;'DB - Identities'!$N31&amp;", L="&amp;'DB - Identities'!$P31&amp;", C="&amp;'DB - Identities'!$Q31)</f>
        <v>ou=trade finance prod, o=vale international sa, l=st-prex, c=ch</v>
      </c>
      <c r="V31" s="171" t="str">
        <f>_xlfn.XLOOKUP(identities_t[[#This Row],[Full X500]],'Input 3 - BNO Members'!A:A,'Input 3 - BNO Members'!C:C,"ERROR")</f>
        <v>Active</v>
      </c>
      <c r="W31" s="171">
        <f>_xlfn.XLOOKUP(identities_t[[#This Row],[Full X500]],'Input 3 - BNO Members'!A:A,'Input 3 - BNO Members'!B:B,"ERROR")</f>
        <v>176862724</v>
      </c>
      <c r="X31" s="83">
        <f>_xlfn.XLOOKUP(U:U,'Input 3 - BNO Members'!A:A,'Input 3 - BNO Members'!E:E)</f>
        <v>60100</v>
      </c>
      <c r="Y31" s="171" t="str">
        <f>IF(_xlfn.XLOOKUP(identities_t[[#This Row],[Full X500]],'CNF Sponsorship'!B:B,'CNF Sponsorship'!A:A,"ERROR")&lt;&gt;"ERROR","OK","ERROR")</f>
        <v>ERROR</v>
      </c>
      <c r="Z31" s="171" t="str">
        <f>_xlfn.XLOOKUP(identities_t[[#This Row],[BNO ID]],'Input 1 - Billing Run'!A:A,'Input 1 - Billing Run'!C:C,"NOT FOUND")</f>
        <v>SUCCESS</v>
      </c>
      <c r="AA31" s="172">
        <f>COUNTIF('Input 2 - Transactions'!C:C,identities_t[[#This Row],[BNO ID]])</f>
        <v>0</v>
      </c>
      <c r="AB31" s="37">
        <f>_xlfn.IFNA(_xlfn.XLOOKUP(identities_t[[#This Row],[BNO ID]],'Input 1 - Billing Run'!A:A,'Input 1 - Billing Run'!F:F),0)</f>
        <v>0</v>
      </c>
      <c r="AC31" s="171" t="str">
        <f>IF(_xlfn.XLOOKUP(identities_t[[#This Row],[Full X500]],'BNO Recon'!B:B,'BNO Recon'!AC:AC,"ERROR")&lt;&gt;"ERROR","OK","ERROR")</f>
        <v>OK</v>
      </c>
      <c r="AD31" s="171"/>
    </row>
    <row r="32" spans="1:30">
      <c r="A32" s="83">
        <v>19</v>
      </c>
      <c r="B32" s="36" t="str">
        <f>_xlfn.XLOOKUP(identities_t[[#This Row],[Subscription ID]],'DB - Subscriptions'!A:A,'DB - Subscriptions'!c_parties,"ERROR")</f>
        <v>Vale International SA</v>
      </c>
      <c r="C32" s="83">
        <f ca="1">_xlfn.XLOOKUP(identities_t[[#This Row],[Subscription ID]],'DB - Subscriptions'!A:A,'DB - Subscriptions'!Q:Q)</f>
        <v>233</v>
      </c>
      <c r="D32" s="36" t="str">
        <f>_xlfn.XLOOKUP(identities_t[[#This Row],[Contracting Party]],c_parties,'DB - Contracting Parties'!C:C)</f>
        <v>Corporate</v>
      </c>
      <c r="E32" s="36" t="b">
        <f>IF(identities_t[[#This Row],[Contracting Party]]="Contour Pte. Ltd.", TRUE, FALSE)</f>
        <v>0</v>
      </c>
      <c r="F32" s="36" t="s">
        <v>1177</v>
      </c>
      <c r="G32" s="36"/>
      <c r="H32" s="113">
        <f>_xlfn.XLOOKUP(identities_t[[#This Row],[Initiative Code]],Codes!A:A,Codes!B:B,"N/A")</f>
        <v>0</v>
      </c>
      <c r="I32" s="36" t="s">
        <v>152</v>
      </c>
      <c r="J32" s="36" t="s">
        <v>152</v>
      </c>
      <c r="K32" s="113" t="s">
        <v>1097</v>
      </c>
      <c r="L32" s="202" t="s">
        <v>154</v>
      </c>
      <c r="M32" s="199" t="s">
        <v>153</v>
      </c>
      <c r="N32" s="36" t="str">
        <f>identities_t[[#This Row],[Identity Legal Entity Name (O)]]</f>
        <v>Vale International SA</v>
      </c>
      <c r="O32" s="36" t="s">
        <v>1113</v>
      </c>
      <c r="P32" s="36" t="s">
        <v>1174</v>
      </c>
      <c r="Q32" s="36" t="s">
        <v>1175</v>
      </c>
      <c r="R32" s="110">
        <v>44316</v>
      </c>
      <c r="S32" s="36" t="s">
        <v>28</v>
      </c>
      <c r="T32" t="s">
        <v>1176</v>
      </c>
      <c r="U32" s="36" t="str">
        <f>LOWER("OU="&amp;'DB - Identities'!$O32&amp;", O="&amp;'DB - Identities'!$N32&amp;", L="&amp;'DB - Identities'!$P32&amp;", C="&amp;'DB - Identities'!$Q32)</f>
        <v>ou=trade finance, o=vale international sa, l=st-prex, c=ch</v>
      </c>
      <c r="V32" s="171" t="str">
        <f>_xlfn.XLOOKUP(identities_t[[#This Row],[Full X500]],'Input 3 - BNO Members'!A:A,'Input 3 - BNO Members'!C:C,"ERROR")</f>
        <v>Terminated</v>
      </c>
      <c r="W32" s="83">
        <f>_xlfn.XLOOKUP(identities_t[[#This Row],[Full X500]],'Input 3 - BNO Members'!A:A,'Input 3 - BNO Members'!B:B,"ERROR")</f>
        <v>340415874</v>
      </c>
      <c r="X32" s="83">
        <f>_xlfn.XLOOKUP(U:U,'Input 3 - BNO Members'!A:A,'Input 3 - BNO Members'!E:E)</f>
        <v>60100</v>
      </c>
      <c r="Y32" s="83" t="str">
        <f>IF(_xlfn.XLOOKUP(identities_t[[#This Row],[Full X500]],'CNF Sponsorship'!B:B,'CNF Sponsorship'!A:A,"ERROR")&lt;&gt;"ERROR","OK","ERROR")</f>
        <v>ERROR</v>
      </c>
      <c r="Z32" s="83" t="str">
        <f>_xlfn.XLOOKUP(identities_t[[#This Row],[BNO ID]],'Input 1 - Billing Run'!A:A,'Input 1 - Billing Run'!C:C,"NOT FOUND")</f>
        <v>FAILURE</v>
      </c>
      <c r="AA32" s="37">
        <f>COUNTIF('Input 2 - Transactions'!C:C,identities_t[[#This Row],[BNO ID]])</f>
        <v>0</v>
      </c>
      <c r="AB32" s="37">
        <f>_xlfn.IFNA(_xlfn.XLOOKUP(identities_t[[#This Row],[BNO ID]],'Input 1 - Billing Run'!A:A,'Input 1 - Billing Run'!F:F),0)</f>
        <v>3</v>
      </c>
      <c r="AC32" s="83" t="str">
        <f>IF(_xlfn.XLOOKUP(identities_t[[#This Row],[Full X500]],'BNO Recon'!B:B,'BNO Recon'!AC:AC,"ERROR")&lt;&gt;"ERROR","OK","ERROR")</f>
        <v>OK</v>
      </c>
      <c r="AD32" s="171"/>
    </row>
    <row r="33" spans="1:30">
      <c r="A33" s="83">
        <v>20</v>
      </c>
      <c r="B33" s="36" t="str">
        <f>_xlfn.XLOOKUP(identities_t[[#This Row],[Subscription ID]],'DB - Subscriptions'!A:A,'DB - Subscriptions'!c_parties,"ERROR")</f>
        <v>Toptip Holding Pte. Ltd</v>
      </c>
      <c r="C33" s="83">
        <f ca="1">_xlfn.XLOOKUP(identities_t[[#This Row],[Subscription ID]],'DB - Subscriptions'!A:A,'DB - Subscriptions'!Q:Q)</f>
        <v>233</v>
      </c>
      <c r="D33" s="36" t="str">
        <f>_xlfn.XLOOKUP(identities_t[[#This Row],[Contracting Party]],c_parties,'DB - Contracting Parties'!C:C)</f>
        <v>Corporate</v>
      </c>
      <c r="E33" s="36" t="b">
        <f>IF(identities_t[[#This Row],[Contracting Party]]="Contour Pte. Ltd.", TRUE, FALSE)</f>
        <v>0</v>
      </c>
      <c r="F33" s="36" t="s">
        <v>1178</v>
      </c>
      <c r="G33" s="103" t="s">
        <v>650</v>
      </c>
      <c r="H33" s="113" t="str">
        <f>_xlfn.XLOOKUP(identities_t[[#This Row],[Initiative Code]],Codes!A:A,Codes!B:B,"N/A")</f>
        <v>CWP</v>
      </c>
      <c r="I33" s="36" t="s">
        <v>1179</v>
      </c>
      <c r="J33" s="36" t="s">
        <v>160</v>
      </c>
      <c r="K33" s="113" t="s">
        <v>1097</v>
      </c>
      <c r="L33" s="202" t="s">
        <v>162</v>
      </c>
      <c r="M33" s="199" t="s">
        <v>161</v>
      </c>
      <c r="N33" s="36" t="str">
        <f>identities_t[[#This Row],[Identity Legal Entity Name (O)]]</f>
        <v>Toptip Holding Pte. Ltd</v>
      </c>
      <c r="O33" s="36" t="s">
        <v>1113</v>
      </c>
      <c r="P33" s="36" t="s">
        <v>1024</v>
      </c>
      <c r="Q33" s="36" t="s">
        <v>1025</v>
      </c>
      <c r="R33" s="110">
        <v>44320</v>
      </c>
      <c r="S33" s="36" t="s">
        <v>28</v>
      </c>
      <c r="T33" s="106" t="s">
        <v>1180</v>
      </c>
      <c r="U33" s="36" t="str">
        <f>LOWER("OU="&amp;'DB - Identities'!$O33&amp;", O="&amp;'DB - Identities'!$N33&amp;", L="&amp;'DB - Identities'!$P33&amp;", C="&amp;'DB - Identities'!$Q33)</f>
        <v>ou=trade finance, o=toptip holding pte. ltd, l=singapore, c=sg</v>
      </c>
      <c r="V33" s="83" t="str">
        <f>_xlfn.XLOOKUP(identities_t[[#This Row],[Full X500]],'Input 3 - BNO Members'!A:A,'Input 3 - BNO Members'!C:C,"ERROR")</f>
        <v>Active</v>
      </c>
      <c r="W33" s="83">
        <f>_xlfn.XLOOKUP(identities_t[[#This Row],[Full X500]],'Input 3 - BNO Members'!A:A,'Input 3 - BNO Members'!B:B,"ERROR")</f>
        <v>485648362</v>
      </c>
      <c r="X33" s="83">
        <f>_xlfn.XLOOKUP(U:U,'Input 3 - BNO Members'!A:A,'Input 3 - BNO Members'!E:E)</f>
        <v>60100</v>
      </c>
      <c r="Y33" s="83" t="str">
        <f>IF(_xlfn.XLOOKUP(identities_t[[#This Row],[Full X500]],'CNF Sponsorship'!B:B,'CNF Sponsorship'!A:A,"ERROR")&lt;&gt;"ERROR","OK","ERROR")</f>
        <v>ERROR</v>
      </c>
      <c r="Z33" s="83" t="str">
        <f>_xlfn.XLOOKUP(identities_t[[#This Row],[BNO ID]],'Input 1 - Billing Run'!A:A,'Input 1 - Billing Run'!C:C,"NOT FOUND")</f>
        <v>SUCCESS</v>
      </c>
      <c r="AA33" s="37">
        <f>COUNTIF('Input 2 - Transactions'!C:C,identities_t[[#This Row],[BNO ID]])</f>
        <v>0</v>
      </c>
      <c r="AB33" s="37">
        <f>_xlfn.IFNA(_xlfn.XLOOKUP(identities_t[[#This Row],[BNO ID]],'Input 1 - Billing Run'!A:A,'Input 1 - Billing Run'!F:F),0)</f>
        <v>0</v>
      </c>
      <c r="AC33" s="83" t="str">
        <f>IF(_xlfn.XLOOKUP(identities_t[[#This Row],[Full X500]],'BNO Recon'!B:B,'BNO Recon'!AC:AC,"ERROR")&lt;&gt;"ERROR","OK","ERROR")</f>
        <v>OK</v>
      </c>
      <c r="AD33" s="171"/>
    </row>
    <row r="34" spans="1:30">
      <c r="A34" s="83">
        <v>22</v>
      </c>
      <c r="B34" s="36" t="str">
        <f>_xlfn.XLOOKUP(identities_t[[#This Row],[Subscription ID]],'DB - Subscriptions'!A:A,'DB - Subscriptions'!c_parties,"ERROR")</f>
        <v>Singapore Jinteng International Pte. Ltd.</v>
      </c>
      <c r="C34" s="83">
        <f ca="1">_xlfn.XLOOKUP(identities_t[[#This Row],[Subscription ID]],'DB - Subscriptions'!A:A,'DB - Subscriptions'!Q:Q)</f>
        <v>264</v>
      </c>
      <c r="D34" s="36" t="str">
        <f>_xlfn.XLOOKUP(identities_t[[#This Row],[Contracting Party]],c_parties,'DB - Contracting Parties'!C:C)</f>
        <v>Corporate</v>
      </c>
      <c r="E34" s="36" t="b">
        <f>IF(identities_t[[#This Row],[Contracting Party]]="Contour Pte. Ltd.", TRUE, FALSE)</f>
        <v>0</v>
      </c>
      <c r="F34" s="36" t="s">
        <v>1181</v>
      </c>
      <c r="G34" s="103">
        <v>3.56E+16</v>
      </c>
      <c r="H34" s="113" t="str">
        <f>_xlfn.XLOOKUP(identities_t[[#This Row],[Initiative Code]],Codes!A:A,Codes!B:B,"N/A")</f>
        <v>CWP</v>
      </c>
      <c r="I34" s="36" t="s">
        <v>648</v>
      </c>
      <c r="J34" s="36" t="s">
        <v>648</v>
      </c>
      <c r="K34" s="113" t="s">
        <v>1097</v>
      </c>
      <c r="L34" s="202" t="s">
        <v>1182</v>
      </c>
      <c r="M34" s="199" t="s">
        <v>174</v>
      </c>
      <c r="N34" s="36" t="str">
        <f>identities_t[[#This Row],[Identity Legal Entity Name (O)]]</f>
        <v>Singapore Jinteng International Pte Ltd</v>
      </c>
      <c r="O34" s="36" t="s">
        <v>1113</v>
      </c>
      <c r="P34" s="36" t="s">
        <v>1024</v>
      </c>
      <c r="Q34" s="36" t="s">
        <v>1025</v>
      </c>
      <c r="R34" s="110">
        <v>44354</v>
      </c>
      <c r="S34" s="36" t="s">
        <v>28</v>
      </c>
      <c r="T34" t="s">
        <v>1183</v>
      </c>
      <c r="U34" s="36" t="str">
        <f>LOWER("OU="&amp;'DB - Identities'!$O34&amp;", O="&amp;'DB - Identities'!$N34&amp;", L="&amp;'DB - Identities'!$P34&amp;", C="&amp;'DB - Identities'!$Q34)</f>
        <v>ou=trade finance, o=singapore jinteng international pte ltd, l=singapore, c=sg</v>
      </c>
      <c r="V34" s="83" t="str">
        <f>_xlfn.XLOOKUP(identities_t[[#This Row],[Full X500]],'Input 3 - BNO Members'!A:A,'Input 3 - BNO Members'!C:C,"ERROR")</f>
        <v>Active</v>
      </c>
      <c r="W34" s="83">
        <f>_xlfn.XLOOKUP(identities_t[[#This Row],[Full X500]],'Input 3 - BNO Members'!A:A,'Input 3 - BNO Members'!B:B,"ERROR")</f>
        <v>410876024</v>
      </c>
      <c r="X34" s="83">
        <f>_xlfn.XLOOKUP(U:U,'Input 3 - BNO Members'!A:A,'Input 3 - BNO Members'!E:E)</f>
        <v>60100</v>
      </c>
      <c r="Y34" s="83" t="str">
        <f>IF(_xlfn.XLOOKUP(identities_t[[#This Row],[Full X500]],'CNF Sponsorship'!B:B,'CNF Sponsorship'!A:A,"ERROR")&lt;&gt;"ERROR","OK","ERROR")</f>
        <v>ERROR</v>
      </c>
      <c r="Z34" s="83" t="str">
        <f>_xlfn.XLOOKUP(identities_t[[#This Row],[BNO ID]],'Input 1 - Billing Run'!A:A,'Input 1 - Billing Run'!C:C,"NOT FOUND")</f>
        <v>SUCCESS</v>
      </c>
      <c r="AA34" s="37">
        <f>COUNTIF('Input 2 - Transactions'!C:C,identities_t[[#This Row],[BNO ID]])</f>
        <v>0</v>
      </c>
      <c r="AB34" s="37">
        <f>_xlfn.IFNA(_xlfn.XLOOKUP(identities_t[[#This Row],[BNO ID]],'Input 1 - Billing Run'!A:A,'Input 1 - Billing Run'!F:F),0)</f>
        <v>0</v>
      </c>
      <c r="AC34" s="83" t="str">
        <f>IF(_xlfn.XLOOKUP(identities_t[[#This Row],[Full X500]],'BNO Recon'!B:B,'BNO Recon'!AC:AC,"ERROR")&lt;&gt;"ERROR","OK","ERROR")</f>
        <v>OK</v>
      </c>
      <c r="AD34" s="171"/>
    </row>
    <row r="35" spans="1:30">
      <c r="A35" s="83">
        <v>23</v>
      </c>
      <c r="B35" s="36" t="str">
        <f>_xlfn.XLOOKUP(identities_t[[#This Row],[Subscription ID]],'DB - Subscriptions'!A:A,'DB - Subscriptions'!c_parties,"ERROR")</f>
        <v xml:space="preserve">Chandra Asri Trading Company Pte. Ltd. </v>
      </c>
      <c r="C35" s="83">
        <f ca="1">_xlfn.XLOOKUP(identities_t[[#This Row],[Subscription ID]],'DB - Subscriptions'!A:A,'DB - Subscriptions'!Q:Q)</f>
        <v>264</v>
      </c>
      <c r="D35" s="36" t="str">
        <f>_xlfn.XLOOKUP(identities_t[[#This Row],[Contracting Party]],c_parties,'DB - Contracting Parties'!C:C)</f>
        <v>Corporate</v>
      </c>
      <c r="E35" s="36" t="b">
        <f>IF(identities_t[[#This Row],[Contracting Party]]="Contour Pte. Ltd.", TRUE, FALSE)</f>
        <v>0</v>
      </c>
      <c r="F35" s="36" t="s">
        <v>1184</v>
      </c>
      <c r="G35" s="103" t="s">
        <v>778</v>
      </c>
      <c r="H35" s="113" t="str">
        <f>_xlfn.XLOOKUP(identities_t[[#This Row],[Initiative Code]],Codes!A:A,Codes!B:B,"N/A")</f>
        <v>CWP</v>
      </c>
      <c r="I35" s="36" t="s">
        <v>1185</v>
      </c>
      <c r="J35" s="36" t="s">
        <v>1185</v>
      </c>
      <c r="K35" s="113" t="s">
        <v>1097</v>
      </c>
      <c r="L35" s="113"/>
      <c r="M35" s="199" t="s">
        <v>1186</v>
      </c>
      <c r="N35" s="36" t="str">
        <f>identities_t[[#This Row],[Identity Legal Entity Name (O)]]</f>
        <v>Chandra Asri Trading Company Pte Ltd</v>
      </c>
      <c r="O35" s="36" t="s">
        <v>1113</v>
      </c>
      <c r="P35" s="36" t="s">
        <v>1024</v>
      </c>
      <c r="Q35" s="36" t="s">
        <v>1025</v>
      </c>
      <c r="R35" s="110">
        <v>44354</v>
      </c>
      <c r="S35" s="36" t="s">
        <v>28</v>
      </c>
      <c r="T35" t="s">
        <v>1187</v>
      </c>
      <c r="U35" s="36" t="str">
        <f>LOWER("OU="&amp;'DB - Identities'!$O35&amp;", O="&amp;'DB - Identities'!$N35&amp;", L="&amp;'DB - Identities'!$P35&amp;", C="&amp;'DB - Identities'!$Q35)</f>
        <v>ou=trade finance, o=chandra asri trading company pte ltd, l=singapore, c=sg</v>
      </c>
      <c r="V35" s="83" t="str">
        <f>_xlfn.XLOOKUP(identities_t[[#This Row],[Full X500]],'Input 3 - BNO Members'!A:A,'Input 3 - BNO Members'!C:C,"ERROR")</f>
        <v>Active</v>
      </c>
      <c r="W35" s="83">
        <f>_xlfn.XLOOKUP(identities_t[[#This Row],[Full X500]],'Input 3 - BNO Members'!A:A,'Input 3 - BNO Members'!B:B,"ERROR")</f>
        <v>152502340</v>
      </c>
      <c r="X35" s="83">
        <f>_xlfn.XLOOKUP(U:U,'Input 3 - BNO Members'!A:A,'Input 3 - BNO Members'!E:E)</f>
        <v>60100</v>
      </c>
      <c r="Y35" s="83" t="str">
        <f>IF(_xlfn.XLOOKUP(identities_t[[#This Row],[Full X500]],'CNF Sponsorship'!B:B,'CNF Sponsorship'!A:A,"ERROR")&lt;&gt;"ERROR","OK","ERROR")</f>
        <v>ERROR</v>
      </c>
      <c r="Z35" s="83" t="str">
        <f>_xlfn.XLOOKUP(identities_t[[#This Row],[BNO ID]],'Input 1 - Billing Run'!A:A,'Input 1 - Billing Run'!C:C,"NOT FOUND")</f>
        <v>SUCCESS</v>
      </c>
      <c r="AA35" s="37">
        <f>COUNTIF('Input 2 - Transactions'!C:C,identities_t[[#This Row],[BNO ID]])</f>
        <v>0</v>
      </c>
      <c r="AB35" s="37">
        <f>_xlfn.IFNA(_xlfn.XLOOKUP(identities_t[[#This Row],[BNO ID]],'Input 1 - Billing Run'!A:A,'Input 1 - Billing Run'!F:F),0)</f>
        <v>0</v>
      </c>
      <c r="AC35" s="83" t="str">
        <f>IF(_xlfn.XLOOKUP(identities_t[[#This Row],[Full X500]],'BNO Recon'!B:B,'BNO Recon'!AC:AC,"ERROR")&lt;&gt;"ERROR","OK","ERROR")</f>
        <v>OK</v>
      </c>
      <c r="AD35" s="171"/>
    </row>
    <row r="36" spans="1:30">
      <c r="A36" s="83">
        <v>24</v>
      </c>
      <c r="B36" s="36" t="str">
        <f>_xlfn.XLOOKUP(identities_t[[#This Row],[Subscription ID]],'DB - Subscriptions'!A:A,'DB - Subscriptions'!c_parties,"ERROR")</f>
        <v>Hong Kong Jinteng Development Ltd.</v>
      </c>
      <c r="C36" s="83">
        <f ca="1">_xlfn.XLOOKUP(identities_t[[#This Row],[Subscription ID]],'DB - Subscriptions'!A:A,'DB - Subscriptions'!Q:Q)</f>
        <v>294</v>
      </c>
      <c r="D36" s="36" t="str">
        <f>_xlfn.XLOOKUP(identities_t[[#This Row],[Contracting Party]],c_parties,'DB - Contracting Parties'!C:C)</f>
        <v>Corporate</v>
      </c>
      <c r="E36" s="36" t="b">
        <f>IF(identities_t[[#This Row],[Contracting Party]]="Contour Pte. Ltd.", TRUE, FALSE)</f>
        <v>0</v>
      </c>
      <c r="F36" s="36" t="s">
        <v>1188</v>
      </c>
      <c r="G36" s="103" t="s">
        <v>462</v>
      </c>
      <c r="H36" s="113" t="str">
        <f>_xlfn.XLOOKUP(identities_t[[#This Row],[Initiative Code]],Codes!A:A,Codes!B:B,"N/A")</f>
        <v>CWP</v>
      </c>
      <c r="I36" s="36" t="s">
        <v>1189</v>
      </c>
      <c r="J36" s="36" t="s">
        <v>1189</v>
      </c>
      <c r="K36" s="113" t="s">
        <v>1097</v>
      </c>
      <c r="L36" s="202"/>
      <c r="M36" s="199">
        <v>2326713</v>
      </c>
      <c r="N36" s="36" t="str">
        <f>identities_t[[#This Row],[Identity Legal Entity Name (O)]]</f>
        <v>HONG KONG JINTENG DEVELOPMENT LIMITED</v>
      </c>
      <c r="O36" s="36" t="s">
        <v>1113</v>
      </c>
      <c r="P36" s="36" t="s">
        <v>1128</v>
      </c>
      <c r="Q36" s="36" t="s">
        <v>1019</v>
      </c>
      <c r="R36" s="110">
        <v>44361</v>
      </c>
      <c r="S36" s="36" t="s">
        <v>28</v>
      </c>
      <c r="T36" t="s">
        <v>1183</v>
      </c>
      <c r="U36" s="36" t="str">
        <f>LOWER("OU="&amp;'DB - Identities'!$O36&amp;", O="&amp;'DB - Identities'!$N36&amp;", L="&amp;'DB - Identities'!$P36&amp;", C="&amp;'DB - Identities'!$Q36)</f>
        <v>ou=trade finance, o=hong kong jinteng development limited, l=hong kong, c=hk</v>
      </c>
      <c r="V36" s="83" t="str">
        <f>_xlfn.XLOOKUP(identities_t[[#This Row],[Full X500]],'Input 3 - BNO Members'!A:A,'Input 3 - BNO Members'!C:C,"ERROR")</f>
        <v>Active</v>
      </c>
      <c r="W36" s="83">
        <f>_xlfn.XLOOKUP(identities_t[[#This Row],[Full X500]],'Input 3 - BNO Members'!A:A,'Input 3 - BNO Members'!B:B,"ERROR")</f>
        <v>58791134</v>
      </c>
      <c r="X36" s="83">
        <f>_xlfn.XLOOKUP(U:U,'Input 3 - BNO Members'!A:A,'Input 3 - BNO Members'!E:E)</f>
        <v>60100</v>
      </c>
      <c r="Y36" s="83" t="str">
        <f>IF(_xlfn.XLOOKUP(identities_t[[#This Row],[Full X500]],'CNF Sponsorship'!B:B,'CNF Sponsorship'!A:A,"ERROR")&lt;&gt;"ERROR","OK","ERROR")</f>
        <v>ERROR</v>
      </c>
      <c r="Z36" s="83" t="str">
        <f>_xlfn.XLOOKUP(identities_t[[#This Row],[BNO ID]],'Input 1 - Billing Run'!A:A,'Input 1 - Billing Run'!C:C,"NOT FOUND")</f>
        <v>SUCCESS</v>
      </c>
      <c r="AA36" s="37">
        <f>COUNTIF('Input 2 - Transactions'!C:C,identities_t[[#This Row],[BNO ID]])</f>
        <v>0</v>
      </c>
      <c r="AB36" s="37">
        <f>_xlfn.IFNA(_xlfn.XLOOKUP(identities_t[[#This Row],[BNO ID]],'Input 1 - Billing Run'!A:A,'Input 1 - Billing Run'!F:F),0)</f>
        <v>0</v>
      </c>
      <c r="AC36" s="83" t="str">
        <f>IF(_xlfn.XLOOKUP(identities_t[[#This Row],[Full X500]],'BNO Recon'!B:B,'BNO Recon'!AC:AC,"ERROR")&lt;&gt;"ERROR","OK","ERROR")</f>
        <v>OK</v>
      </c>
      <c r="AD36" s="171"/>
    </row>
    <row r="37" spans="1:30">
      <c r="A37" s="83">
        <v>25</v>
      </c>
      <c r="B37" s="36" t="str">
        <f>_xlfn.XLOOKUP(identities_t[[#This Row],[Subscription ID]],'DB - Subscriptions'!A:A,'DB - Subscriptions'!c_parties,"ERROR")</f>
        <v>Cemcoa Limited</v>
      </c>
      <c r="C37" s="83">
        <f ca="1">_xlfn.XLOOKUP(identities_t[[#This Row],[Subscription ID]],'DB - Subscriptions'!A:A,'DB - Subscriptions'!Q:Q)</f>
        <v>294</v>
      </c>
      <c r="D37" s="36" t="str">
        <f>_xlfn.XLOOKUP(identities_t[[#This Row],[Contracting Party]],c_parties,'DB - Contracting Parties'!C:C)</f>
        <v>Corporate</v>
      </c>
      <c r="E37" s="36" t="b">
        <f>IF(identities_t[[#This Row],[Contracting Party]]="Contour Pte. Ltd.", TRUE, FALSE)</f>
        <v>0</v>
      </c>
      <c r="F37" s="36" t="s">
        <v>1190</v>
      </c>
      <c r="G37" s="36" t="s">
        <v>450</v>
      </c>
      <c r="H37" s="113" t="str">
        <f>_xlfn.XLOOKUP(identities_t[[#This Row],[Initiative Code]],Codes!A:A,Codes!B:B,"N/A")</f>
        <v>CWP</v>
      </c>
      <c r="I37" s="36" t="s">
        <v>1191</v>
      </c>
      <c r="J37" s="36" t="s">
        <v>1191</v>
      </c>
      <c r="K37" s="113" t="s">
        <v>1097</v>
      </c>
      <c r="L37" s="113"/>
      <c r="M37" s="199" t="s">
        <v>189</v>
      </c>
      <c r="N37" s="36" t="str">
        <f>identities_t[[#This Row],[Identity Legal Entity Name (O)]]</f>
        <v>CEMCOA LIMITED</v>
      </c>
      <c r="O37" s="36" t="s">
        <v>1113</v>
      </c>
      <c r="P37" s="36" t="s">
        <v>1128</v>
      </c>
      <c r="Q37" s="36" t="s">
        <v>1019</v>
      </c>
      <c r="R37" s="110">
        <v>44362</v>
      </c>
      <c r="S37" s="36" t="s">
        <v>28</v>
      </c>
      <c r="T37" t="s">
        <v>1192</v>
      </c>
      <c r="U37" s="36" t="str">
        <f>LOWER("OU="&amp;'DB - Identities'!$O37&amp;", O="&amp;'DB - Identities'!$N37&amp;", L="&amp;'DB - Identities'!$P37&amp;", C="&amp;'DB - Identities'!$Q37)</f>
        <v>ou=trade finance, o=cemcoa limited, l=hong kong, c=hk</v>
      </c>
      <c r="V37" s="83" t="str">
        <f>_xlfn.XLOOKUP(identities_t[[#This Row],[Full X500]],'Input 3 - BNO Members'!A:A,'Input 3 - BNO Members'!C:C,"ERROR")</f>
        <v>Active</v>
      </c>
      <c r="W37" s="83">
        <f>_xlfn.XLOOKUP(identities_t[[#This Row],[Full X500]],'Input 3 - BNO Members'!A:A,'Input 3 - BNO Members'!B:B,"ERROR")</f>
        <v>92015259</v>
      </c>
      <c r="X37" s="83">
        <f>_xlfn.XLOOKUP(U:U,'Input 3 - BNO Members'!A:A,'Input 3 - BNO Members'!E:E)</f>
        <v>60100</v>
      </c>
      <c r="Y37" s="83" t="str">
        <f>IF(_xlfn.XLOOKUP(identities_t[[#This Row],[Full X500]],'CNF Sponsorship'!B:B,'CNF Sponsorship'!A:A,"ERROR")&lt;&gt;"ERROR","OK","ERROR")</f>
        <v>ERROR</v>
      </c>
      <c r="Z37" s="83" t="str">
        <f>_xlfn.XLOOKUP(identities_t[[#This Row],[BNO ID]],'Input 1 - Billing Run'!A:A,'Input 1 - Billing Run'!C:C,"NOT FOUND")</f>
        <v>SUCCESS</v>
      </c>
      <c r="AA37" s="37">
        <f>COUNTIF('Input 2 - Transactions'!C:C,identities_t[[#This Row],[BNO ID]])</f>
        <v>0</v>
      </c>
      <c r="AB37" s="37">
        <f>_xlfn.IFNA(_xlfn.XLOOKUP(identities_t[[#This Row],[BNO ID]],'Input 1 - Billing Run'!A:A,'Input 1 - Billing Run'!F:F),0)</f>
        <v>0</v>
      </c>
      <c r="AC37" s="83" t="str">
        <f>IF(_xlfn.XLOOKUP(identities_t[[#This Row],[Full X500]],'BNO Recon'!B:B,'BNO Recon'!AC:AC,"ERROR")&lt;&gt;"ERROR","OK","ERROR")</f>
        <v>OK</v>
      </c>
      <c r="AD37" s="171"/>
    </row>
    <row r="38" spans="1:30">
      <c r="A38" s="83">
        <v>27</v>
      </c>
      <c r="B38" s="36" t="str">
        <f>_xlfn.XLOOKUP(identities_t[[#This Row],[Subscription ID]],'DB - Subscriptions'!A:A,'DB - Subscriptions'!c_parties,"ERROR")</f>
        <v>Metal One (Thailand) Co., Ltd</v>
      </c>
      <c r="C38" s="83">
        <f ca="1">_xlfn.XLOOKUP(identities_t[[#This Row],[Subscription ID]],'DB - Subscriptions'!A:A,'DB - Subscriptions'!Q:Q)</f>
        <v>294</v>
      </c>
      <c r="D38" s="36" t="str">
        <f>_xlfn.XLOOKUP(identities_t[[#This Row],[Contracting Party]],c_parties,'DB - Contracting Parties'!C:C)</f>
        <v>Corporate</v>
      </c>
      <c r="E38" s="36" t="b">
        <f>IF(identities_t[[#This Row],[Contracting Party]]="Contour Pte. Ltd.", TRUE, FALSE)</f>
        <v>0</v>
      </c>
      <c r="F38" s="36" t="s">
        <v>1193</v>
      </c>
      <c r="G38" s="103" t="s">
        <v>668</v>
      </c>
      <c r="H38" s="113" t="str">
        <f>_xlfn.XLOOKUP(identities_t[[#This Row],[Initiative Code]],Codes!A:A,Codes!B:B,"N/A")</f>
        <v>CWP</v>
      </c>
      <c r="I38" s="36" t="s">
        <v>1194</v>
      </c>
      <c r="J38" s="36" t="s">
        <v>1194</v>
      </c>
      <c r="K38" s="113" t="s">
        <v>1097</v>
      </c>
      <c r="L38" s="113"/>
      <c r="M38" s="198">
        <v>245540000498</v>
      </c>
      <c r="N38" s="36" t="str">
        <f>identities_t[[#This Row],[Identity Legal Entity Name (O)]]</f>
        <v>Metal One (Thailand) Company Limited</v>
      </c>
      <c r="O38" s="36" t="s">
        <v>1113</v>
      </c>
      <c r="P38" s="36" t="s">
        <v>1105</v>
      </c>
      <c r="Q38" s="36" t="s">
        <v>1106</v>
      </c>
      <c r="R38" s="110">
        <v>44364</v>
      </c>
      <c r="S38" s="36" t="s">
        <v>28</v>
      </c>
      <c r="T38" t="s">
        <v>1195</v>
      </c>
      <c r="U38" s="36" t="str">
        <f>LOWER("OU="&amp;'DB - Identities'!$O38&amp;", O="&amp;'DB - Identities'!$N38&amp;", L="&amp;'DB - Identities'!$P38&amp;", C="&amp;'DB - Identities'!$Q38)</f>
        <v>ou=trade finance, o=metal one (thailand) company limited, l=bangkok, c=th</v>
      </c>
      <c r="V38" s="83" t="str">
        <f>_xlfn.XLOOKUP(identities_t[[#This Row],[Full X500]],'Input 3 - BNO Members'!A:A,'Input 3 - BNO Members'!C:C,"ERROR")</f>
        <v>Active</v>
      </c>
      <c r="W38" s="83">
        <f>_xlfn.XLOOKUP(identities_t[[#This Row],[Full X500]],'Input 3 - BNO Members'!A:A,'Input 3 - BNO Members'!B:B,"ERROR")</f>
        <v>569400533</v>
      </c>
      <c r="X38" s="83">
        <f>_xlfn.XLOOKUP(U:U,'Input 3 - BNO Members'!A:A,'Input 3 - BNO Members'!E:E)</f>
        <v>60100</v>
      </c>
      <c r="Y38" s="83" t="str">
        <f>IF(_xlfn.XLOOKUP(identities_t[[#This Row],[Full X500]],'CNF Sponsorship'!B:B,'CNF Sponsorship'!A:A,"ERROR")&lt;&gt;"ERROR","OK","ERROR")</f>
        <v>ERROR</v>
      </c>
      <c r="Z38" s="83" t="str">
        <f>_xlfn.XLOOKUP(identities_t[[#This Row],[BNO ID]],'Input 1 - Billing Run'!A:A,'Input 1 - Billing Run'!C:C,"NOT FOUND")</f>
        <v>SUCCESS</v>
      </c>
      <c r="AA38" s="37">
        <f>COUNTIF('Input 2 - Transactions'!C:C,identities_t[[#This Row],[BNO ID]])</f>
        <v>0</v>
      </c>
      <c r="AB38" s="37">
        <f>_xlfn.IFNA(_xlfn.XLOOKUP(identities_t[[#This Row],[BNO ID]],'Input 1 - Billing Run'!A:A,'Input 1 - Billing Run'!F:F),0)</f>
        <v>0</v>
      </c>
      <c r="AC38" s="83" t="str">
        <f>IF(_xlfn.XLOOKUP(identities_t[[#This Row],[Full X500]],'BNO Recon'!B:B,'BNO Recon'!AC:AC,"ERROR")&lt;&gt;"ERROR","OK","ERROR")</f>
        <v>OK</v>
      </c>
      <c r="AD38" s="171"/>
    </row>
    <row r="39" spans="1:30">
      <c r="A39" s="83">
        <v>29</v>
      </c>
      <c r="B39" s="36" t="str">
        <f>_xlfn.XLOOKUP(identities_t[[#This Row],[Subscription ID]],'DB - Subscriptions'!A:A,'DB - Subscriptions'!c_parties,"ERROR")</f>
        <v>SCG Plastics Co., Ltd.</v>
      </c>
      <c r="C39" s="83">
        <f ca="1">_xlfn.XLOOKUP(identities_t[[#This Row],[Subscription ID]],'DB - Subscriptions'!A:A,'DB - Subscriptions'!Q:Q)</f>
        <v>294</v>
      </c>
      <c r="D39" s="36" t="str">
        <f>_xlfn.XLOOKUP(identities_t[[#This Row],[Contracting Party]],c_parties,'DB - Contracting Parties'!C:C)</f>
        <v>Corporate</v>
      </c>
      <c r="E39" s="36" t="b">
        <f>IF(identities_t[[#This Row],[Contracting Party]]="Contour Pte. Ltd.", TRUE, FALSE)</f>
        <v>0</v>
      </c>
      <c r="F39" s="36" t="s">
        <v>1196</v>
      </c>
      <c r="G39" s="103" t="s">
        <v>655</v>
      </c>
      <c r="H39" s="113" t="str">
        <f>_xlfn.XLOOKUP(identities_t[[#This Row],[Initiative Code]],Codes!A:A,Codes!B:B,"N/A")</f>
        <v>CWP</v>
      </c>
      <c r="I39" s="210" t="s">
        <v>1197</v>
      </c>
      <c r="J39" s="210" t="s">
        <v>1197</v>
      </c>
      <c r="K39" s="113" t="s">
        <v>1097</v>
      </c>
      <c r="L39" s="113"/>
      <c r="M39" s="198" t="s">
        <v>211</v>
      </c>
      <c r="N39" s="36" t="str">
        <f>identities_t[[#This Row],[Identity Legal Entity Name (O)]]</f>
        <v>SCG Plastics Company Limited</v>
      </c>
      <c r="O39" s="36" t="s">
        <v>1113</v>
      </c>
      <c r="P39" s="36" t="s">
        <v>1105</v>
      </c>
      <c r="Q39" s="36" t="s">
        <v>1106</v>
      </c>
      <c r="R39" s="110">
        <v>44368</v>
      </c>
      <c r="S39" s="36" t="s">
        <v>28</v>
      </c>
      <c r="T39" t="s">
        <v>1198</v>
      </c>
      <c r="U39" s="36" t="str">
        <f>LOWER("OU="&amp;'DB - Identities'!$O39&amp;", O="&amp;'DB - Identities'!$N39&amp;", L="&amp;'DB - Identities'!$P39&amp;", C="&amp;'DB - Identities'!$Q39)</f>
        <v>ou=trade finance, o=scg plastics company limited, l=bangkok, c=th</v>
      </c>
      <c r="V39" s="83" t="str">
        <f>_xlfn.XLOOKUP(identities_t[[#This Row],[Full X500]],'Input 3 - BNO Members'!A:A,'Input 3 - BNO Members'!C:C,"ERROR")</f>
        <v>Active</v>
      </c>
      <c r="W39" s="83">
        <f>_xlfn.XLOOKUP(identities_t[[#This Row],[Full X500]],'Input 3 - BNO Members'!A:A,'Input 3 - BNO Members'!B:B,"ERROR")</f>
        <v>634153867</v>
      </c>
      <c r="X39" s="83">
        <f>_xlfn.XLOOKUP(U:U,'Input 3 - BNO Members'!A:A,'Input 3 - BNO Members'!E:E)</f>
        <v>60100</v>
      </c>
      <c r="Y39" s="83" t="str">
        <f>IF(_xlfn.XLOOKUP(identities_t[[#This Row],[Full X500]],'CNF Sponsorship'!B:B,'CNF Sponsorship'!A:A,"ERROR")&lt;&gt;"ERROR","OK","ERROR")</f>
        <v>ERROR</v>
      </c>
      <c r="Z39" s="83" t="str">
        <f>_xlfn.XLOOKUP(identities_t[[#This Row],[BNO ID]],'Input 1 - Billing Run'!A:A,'Input 1 - Billing Run'!C:C,"NOT FOUND")</f>
        <v>SUCCESS</v>
      </c>
      <c r="AA39" s="37">
        <f>COUNTIF('Input 2 - Transactions'!C:C,identities_t[[#This Row],[BNO ID]])</f>
        <v>0</v>
      </c>
      <c r="AB39" s="37">
        <f>_xlfn.IFNA(_xlfn.XLOOKUP(identities_t[[#This Row],[BNO ID]],'Input 1 - Billing Run'!A:A,'Input 1 - Billing Run'!F:F),0)</f>
        <v>0</v>
      </c>
      <c r="AC39" s="83" t="str">
        <f>IF(_xlfn.XLOOKUP(identities_t[[#This Row],[Full X500]],'BNO Recon'!B:B,'BNO Recon'!AC:AC,"ERROR")&lt;&gt;"ERROR","OK","ERROR")</f>
        <v>OK</v>
      </c>
      <c r="AD39" s="171"/>
    </row>
    <row r="40" spans="1:30">
      <c r="A40" s="83">
        <v>28</v>
      </c>
      <c r="B40" s="36" t="str">
        <f>_xlfn.XLOOKUP(identities_t[[#This Row],[Subscription ID]],'DB - Subscriptions'!A:A,'DB - Subscriptions'!c_parties,"ERROR")</f>
        <v>SCG Performance Chemicals Co., Ltd</v>
      </c>
      <c r="C40" s="83">
        <f ca="1">_xlfn.XLOOKUP(identities_t[[#This Row],[Subscription ID]],'DB - Subscriptions'!A:A,'DB - Subscriptions'!Q:Q)</f>
        <v>294</v>
      </c>
      <c r="D40" s="36" t="str">
        <f>_xlfn.XLOOKUP(identities_t[[#This Row],[Contracting Party]],c_parties,'DB - Contracting Parties'!C:C)</f>
        <v>Corporate</v>
      </c>
      <c r="E40" s="36" t="b">
        <f>IF(identities_t[[#This Row],[Contracting Party]]="Contour Pte. Ltd.", TRUE, FALSE)</f>
        <v>0</v>
      </c>
      <c r="F40" s="36" t="s">
        <v>1199</v>
      </c>
      <c r="G40" s="103" t="s">
        <v>659</v>
      </c>
      <c r="H40" s="113" t="str">
        <f>_xlfn.XLOOKUP(identities_t[[#This Row],[Initiative Code]],Codes!A:A,Codes!B:B,"N/A")</f>
        <v>CWP</v>
      </c>
      <c r="I40" s="36" t="s">
        <v>1200</v>
      </c>
      <c r="J40" s="36" t="s">
        <v>1200</v>
      </c>
      <c r="K40" s="113" t="s">
        <v>1097</v>
      </c>
      <c r="L40" s="113"/>
      <c r="M40" s="198" t="s">
        <v>205</v>
      </c>
      <c r="N40" s="36" t="str">
        <f>identities_t[[#This Row],[Identity Legal Entity Name (O)]]</f>
        <v>SCG Performance Chemicals Company Limited</v>
      </c>
      <c r="O40" s="36" t="s">
        <v>1113</v>
      </c>
      <c r="P40" s="36" t="s">
        <v>1105</v>
      </c>
      <c r="Q40" s="36" t="s">
        <v>1106</v>
      </c>
      <c r="R40" s="110">
        <v>44371</v>
      </c>
      <c r="S40" s="36" t="s">
        <v>28</v>
      </c>
      <c r="T40" t="s">
        <v>1198</v>
      </c>
      <c r="U40" s="36" t="str">
        <f>LOWER("OU="&amp;'DB - Identities'!$O40&amp;", O="&amp;'DB - Identities'!$N40&amp;", L="&amp;'DB - Identities'!$P40&amp;", C="&amp;'DB - Identities'!$Q40)</f>
        <v>ou=trade finance, o=scg performance chemicals company limited, l=bangkok, c=th</v>
      </c>
      <c r="V40" s="83" t="str">
        <f>_xlfn.XLOOKUP(identities_t[[#This Row],[Full X500]],'Input 3 - BNO Members'!A:A,'Input 3 - BNO Members'!C:C,"ERROR")</f>
        <v>Active</v>
      </c>
      <c r="W40" s="83">
        <f>_xlfn.XLOOKUP(identities_t[[#This Row],[Full X500]],'Input 3 - BNO Members'!A:A,'Input 3 - BNO Members'!B:B,"ERROR")</f>
        <v>600389668</v>
      </c>
      <c r="X40" s="83">
        <f>_xlfn.XLOOKUP(U:U,'Input 3 - BNO Members'!A:A,'Input 3 - BNO Members'!E:E)</f>
        <v>60100</v>
      </c>
      <c r="Y40" s="83" t="str">
        <f>IF(_xlfn.XLOOKUP(identities_t[[#This Row],[Full X500]],'CNF Sponsorship'!B:B,'CNF Sponsorship'!A:A,"ERROR")&lt;&gt;"ERROR","OK","ERROR")</f>
        <v>ERROR</v>
      </c>
      <c r="Z40" s="83" t="str">
        <f>_xlfn.XLOOKUP(identities_t[[#This Row],[BNO ID]],'Input 1 - Billing Run'!A:A,'Input 1 - Billing Run'!C:C,"NOT FOUND")</f>
        <v>SUCCESS</v>
      </c>
      <c r="AA40" s="37">
        <f>COUNTIF('Input 2 - Transactions'!C:C,identities_t[[#This Row],[BNO ID]])</f>
        <v>0</v>
      </c>
      <c r="AB40" s="37">
        <f>_xlfn.IFNA(_xlfn.XLOOKUP(identities_t[[#This Row],[BNO ID]],'Input 1 - Billing Run'!A:A,'Input 1 - Billing Run'!F:F),0)</f>
        <v>0</v>
      </c>
      <c r="AC40" s="83" t="str">
        <f>IF(_xlfn.XLOOKUP(identities_t[[#This Row],[Full X500]],'BNO Recon'!B:B,'BNO Recon'!AC:AC,"ERROR")&lt;&gt;"ERROR","OK","ERROR")</f>
        <v>OK</v>
      </c>
      <c r="AD40" s="171"/>
    </row>
    <row r="41" spans="1:30">
      <c r="A41" s="83">
        <v>30</v>
      </c>
      <c r="B41" s="36" t="str">
        <f>_xlfn.XLOOKUP(identities_t[[#This Row],[Subscription ID]],'DB - Subscriptions'!A:A,'DB - Subscriptions'!c_parties,"ERROR")</f>
        <v>PALM-OLEO SDN BHD</v>
      </c>
      <c r="C41" s="83">
        <f ca="1">_xlfn.XLOOKUP(identities_t[[#This Row],[Subscription ID]],'DB - Subscriptions'!A:A,'DB - Subscriptions'!Q:Q)</f>
        <v>294</v>
      </c>
      <c r="D41" s="36" t="str">
        <f>_xlfn.XLOOKUP(identities_t[[#This Row],[Contracting Party]],c_parties,'DB - Contracting Parties'!C:C)</f>
        <v>Corporate</v>
      </c>
      <c r="E41" s="36" t="b">
        <f>IF(identities_t[[#This Row],[Contracting Party]]="Contour Pte. Ltd.", TRUE, FALSE)</f>
        <v>0</v>
      </c>
      <c r="F41" s="36" t="s">
        <v>1201</v>
      </c>
      <c r="G41" s="103" t="s">
        <v>465</v>
      </c>
      <c r="H41" s="113" t="str">
        <f>_xlfn.XLOOKUP(identities_t[[#This Row],[Initiative Code]],Codes!A:A,Codes!B:B,"N/A")</f>
        <v>CWP</v>
      </c>
      <c r="I41" s="36" t="s">
        <v>212</v>
      </c>
      <c r="J41" s="36" t="s">
        <v>212</v>
      </c>
      <c r="K41" s="113" t="s">
        <v>1097</v>
      </c>
      <c r="L41" s="113"/>
      <c r="M41" s="199" t="s">
        <v>213</v>
      </c>
      <c r="N41" s="36" t="str">
        <f>identities_t[[#This Row],[Identity Legal Entity Name (O)]]</f>
        <v>PALM-OLEO SDN BHD</v>
      </c>
      <c r="O41" s="36" t="s">
        <v>1113</v>
      </c>
      <c r="P41" s="36" t="s">
        <v>1202</v>
      </c>
      <c r="Q41" s="36" t="s">
        <v>1052</v>
      </c>
      <c r="R41" s="111">
        <v>44382</v>
      </c>
      <c r="S41" s="36" t="s">
        <v>28</v>
      </c>
      <c r="T41" t="s">
        <v>1203</v>
      </c>
      <c r="U41" s="36" t="str">
        <f>LOWER("OU="&amp;'DB - Identities'!$O41&amp;", O="&amp;'DB - Identities'!$N41&amp;", L="&amp;'DB - Identities'!$P41&amp;", C="&amp;'DB - Identities'!$Q41)</f>
        <v>ou=trade finance, o=palm-oleo sdn bhd, l=petaling jaya, c=my</v>
      </c>
      <c r="V41" s="83" t="str">
        <f>_xlfn.XLOOKUP(identities_t[[#This Row],[Full X500]],'Input 3 - BNO Members'!A:A,'Input 3 - BNO Members'!C:C,"ERROR")</f>
        <v>Active</v>
      </c>
      <c r="W41" s="83">
        <f>_xlfn.XLOOKUP(identities_t[[#This Row],[Full X500]],'Input 3 - BNO Members'!A:A,'Input 3 - BNO Members'!B:B,"ERROR")</f>
        <v>729539857</v>
      </c>
      <c r="X41" s="83">
        <f>_xlfn.XLOOKUP(U:U,'Input 3 - BNO Members'!A:A,'Input 3 - BNO Members'!E:E)</f>
        <v>60100</v>
      </c>
      <c r="Y41" s="83" t="str">
        <f>IF(_xlfn.XLOOKUP(identities_t[[#This Row],[Full X500]],'CNF Sponsorship'!B:B,'CNF Sponsorship'!A:A,"ERROR")&lt;&gt;"ERROR","OK","ERROR")</f>
        <v>ERROR</v>
      </c>
      <c r="Z41" s="83" t="str">
        <f>_xlfn.XLOOKUP(identities_t[[#This Row],[BNO ID]],'Input 1 - Billing Run'!A:A,'Input 1 - Billing Run'!C:C,"NOT FOUND")</f>
        <v>SUCCESS</v>
      </c>
      <c r="AA41" s="37">
        <f>COUNTIF('Input 2 - Transactions'!C:C,identities_t[[#This Row],[BNO ID]])</f>
        <v>0</v>
      </c>
      <c r="AB41" s="37">
        <f>_xlfn.IFNA(_xlfn.XLOOKUP(identities_t[[#This Row],[BNO ID]],'Input 1 - Billing Run'!A:A,'Input 1 - Billing Run'!F:F),0)</f>
        <v>0</v>
      </c>
      <c r="AC41" s="83" t="str">
        <f>IF(_xlfn.XLOOKUP(identities_t[[#This Row],[Full X500]],'BNO Recon'!B:B,'BNO Recon'!AC:AC,"ERROR")&lt;&gt;"ERROR","OK","ERROR")</f>
        <v>OK</v>
      </c>
      <c r="AD41" s="171"/>
    </row>
    <row r="42" spans="1:30">
      <c r="A42" s="83">
        <v>31</v>
      </c>
      <c r="B42" s="36" t="str">
        <f>_xlfn.XLOOKUP(identities_t[[#This Row],[Subscription ID]],'DB - Subscriptions'!A:A,'DB - Subscriptions'!c_parties,"ERROR")</f>
        <v>PT Arista Latindo</v>
      </c>
      <c r="C42" s="83">
        <f ca="1">_xlfn.XLOOKUP(identities_t[[#This Row],[Subscription ID]],'DB - Subscriptions'!A:A,'DB - Subscriptions'!Q:Q)</f>
        <v>294</v>
      </c>
      <c r="D42" s="36" t="str">
        <f>_xlfn.XLOOKUP(identities_t[[#This Row],[Contracting Party]],c_parties,'DB - Contracting Parties'!C:C)</f>
        <v>Corporate</v>
      </c>
      <c r="E42" s="36" t="b">
        <f>IF(identities_t[[#This Row],[Contracting Party]]="Contour Pte. Ltd.", TRUE, FALSE)</f>
        <v>0</v>
      </c>
      <c r="F42" s="36" t="s">
        <v>1204</v>
      </c>
      <c r="G42" s="103" t="s">
        <v>687</v>
      </c>
      <c r="H42" s="113" t="str">
        <f>_xlfn.XLOOKUP(identities_t[[#This Row],[Initiative Code]],Codes!A:A,Codes!B:B,"N/A")</f>
        <v>CWP</v>
      </c>
      <c r="I42" s="36" t="s">
        <v>1205</v>
      </c>
      <c r="J42" s="36" t="s">
        <v>1205</v>
      </c>
      <c r="K42" s="113" t="s">
        <v>1097</v>
      </c>
      <c r="L42" s="113"/>
      <c r="M42" s="209" t="s">
        <v>1206</v>
      </c>
      <c r="N42" s="36" t="str">
        <f>identities_t[[#This Row],[Identity Legal Entity Name (O)]]</f>
        <v>PT ARISTA LATINDO</v>
      </c>
      <c r="O42" s="36" t="s">
        <v>1113</v>
      </c>
      <c r="P42" s="36" t="s">
        <v>1059</v>
      </c>
      <c r="Q42" s="36" t="s">
        <v>1060</v>
      </c>
      <c r="R42" s="110">
        <v>44377</v>
      </c>
      <c r="S42" s="36" t="s">
        <v>28</v>
      </c>
      <c r="T42" t="s">
        <v>1207</v>
      </c>
      <c r="U42" s="36" t="str">
        <f>LOWER("OU="&amp;'DB - Identities'!$O42&amp;", O="&amp;'DB - Identities'!$N42&amp;", L="&amp;'DB - Identities'!$P42&amp;", C="&amp;'DB - Identities'!$Q42)</f>
        <v>ou=trade finance, o=pt arista latindo, l=jakarta, c=id</v>
      </c>
      <c r="V42" s="83" t="str">
        <f>_xlfn.XLOOKUP(identities_t[[#This Row],[Full X500]],'Input 3 - BNO Members'!A:A,'Input 3 - BNO Members'!C:C,"ERROR")</f>
        <v>Active</v>
      </c>
      <c r="W42" s="83">
        <f>_xlfn.XLOOKUP(identities_t[[#This Row],[Full X500]],'Input 3 - BNO Members'!A:A,'Input 3 - BNO Members'!B:B,"ERROR")</f>
        <v>892739391</v>
      </c>
      <c r="X42" s="83">
        <f>_xlfn.XLOOKUP(U:U,'Input 3 - BNO Members'!A:A,'Input 3 - BNO Members'!E:E)</f>
        <v>60100</v>
      </c>
      <c r="Y42" s="83" t="str">
        <f>IF(_xlfn.XLOOKUP(identities_t[[#This Row],[Full X500]],'CNF Sponsorship'!B:B,'CNF Sponsorship'!A:A,"ERROR")&lt;&gt;"ERROR","OK","ERROR")</f>
        <v>ERROR</v>
      </c>
      <c r="Z42" s="83" t="str">
        <f>_xlfn.XLOOKUP(identities_t[[#This Row],[BNO ID]],'Input 1 - Billing Run'!A:A,'Input 1 - Billing Run'!C:C,"NOT FOUND")</f>
        <v>SUCCESS</v>
      </c>
      <c r="AA42" s="37">
        <f>COUNTIF('Input 2 - Transactions'!C:C,identities_t[[#This Row],[BNO ID]])</f>
        <v>0</v>
      </c>
      <c r="AB42" s="37">
        <f>_xlfn.IFNA(_xlfn.XLOOKUP(identities_t[[#This Row],[BNO ID]],'Input 1 - Billing Run'!A:A,'Input 1 - Billing Run'!F:F),0)</f>
        <v>0</v>
      </c>
      <c r="AC42" s="83" t="str">
        <f>IF(_xlfn.XLOOKUP(identities_t[[#This Row],[Full X500]],'BNO Recon'!B:B,'BNO Recon'!AC:AC,"ERROR")&lt;&gt;"ERROR","OK","ERROR")</f>
        <v>OK</v>
      </c>
      <c r="AD42" s="171"/>
    </row>
    <row r="43" spans="1:30">
      <c r="A43" s="83">
        <v>34</v>
      </c>
      <c r="B43" s="36" t="str">
        <f>_xlfn.XLOOKUP(identities_t[[#This Row],[Subscription ID]],'DB - Subscriptions'!A:A,'DB - Subscriptions'!c_parties,"ERROR")</f>
        <v>British American Tobacco Bangladesh Company Ltd</v>
      </c>
      <c r="C43" s="83">
        <f ca="1">_xlfn.XLOOKUP(identities_t[[#This Row],[Subscription ID]],'DB - Subscriptions'!A:A,'DB - Subscriptions'!Q:Q)</f>
        <v>294</v>
      </c>
      <c r="D43" s="36" t="str">
        <f>_xlfn.XLOOKUP(identities_t[[#This Row],[Contracting Party]],c_parties,'DB - Contracting Parties'!C:C)</f>
        <v>Corporate</v>
      </c>
      <c r="E43" s="36" t="b">
        <f>IF(identities_t[[#This Row],[Contracting Party]]="Contour Pte. Ltd.", TRUE, FALSE)</f>
        <v>0</v>
      </c>
      <c r="F43" s="36" t="s">
        <v>1208</v>
      </c>
      <c r="G43" s="103" t="s">
        <v>460</v>
      </c>
      <c r="H43" s="113" t="str">
        <f>_xlfn.XLOOKUP(identities_t[[#This Row],[Initiative Code]],Codes!A:A,Codes!B:B,"N/A")</f>
        <v>CWP</v>
      </c>
      <c r="I43" s="36" t="s">
        <v>1209</v>
      </c>
      <c r="J43" s="36" t="s">
        <v>1209</v>
      </c>
      <c r="K43" s="199" t="s">
        <v>1210</v>
      </c>
      <c r="L43" s="202" t="s">
        <v>234</v>
      </c>
      <c r="M43" s="199" t="s">
        <v>1211</v>
      </c>
      <c r="N43" s="36" t="str">
        <f>identities_t[[#This Row],[Identity Legal Entity Name (O)]]</f>
        <v>BRITISH AMERICAN TOBACCO BANGLADESH CO. LTD.</v>
      </c>
      <c r="O43" s="36" t="s">
        <v>1113</v>
      </c>
      <c r="P43" s="36" t="s">
        <v>1030</v>
      </c>
      <c r="Q43" s="36" t="s">
        <v>1031</v>
      </c>
      <c r="R43" s="110">
        <v>44379</v>
      </c>
      <c r="S43" s="36" t="s">
        <v>28</v>
      </c>
      <c r="T43" t="s">
        <v>1212</v>
      </c>
      <c r="U43" s="36" t="str">
        <f>LOWER("OU="&amp;'DB - Identities'!$O43&amp;", O="&amp;'DB - Identities'!$N43&amp;", L="&amp;'DB - Identities'!$P43&amp;", C="&amp;'DB - Identities'!$Q43)</f>
        <v>ou=trade finance, o=british american tobacco bangladesh co. ltd., l=dhaka, c=bd</v>
      </c>
      <c r="V43" s="83" t="str">
        <f>_xlfn.XLOOKUP(identities_t[[#This Row],[Full X500]],'Input 3 - BNO Members'!A:A,'Input 3 - BNO Members'!C:C,"ERROR")</f>
        <v>Active</v>
      </c>
      <c r="W43" s="83">
        <f>_xlfn.XLOOKUP(identities_t[[#This Row],[Full X500]],'Input 3 - BNO Members'!A:A,'Input 3 - BNO Members'!B:B,"ERROR")</f>
        <v>367210856</v>
      </c>
      <c r="X43" s="83">
        <f>_xlfn.XLOOKUP(U:U,'Input 3 - BNO Members'!A:A,'Input 3 - BNO Members'!E:E)</f>
        <v>60100</v>
      </c>
      <c r="Y43" s="83" t="str">
        <f>IF(_xlfn.XLOOKUP(identities_t[[#This Row],[Full X500]],'CNF Sponsorship'!B:B,'CNF Sponsorship'!A:A,"ERROR")&lt;&gt;"ERROR","OK","ERROR")</f>
        <v>ERROR</v>
      </c>
      <c r="Z43" s="83" t="str">
        <f>_xlfn.XLOOKUP(identities_t[[#This Row],[BNO ID]],'Input 1 - Billing Run'!A:A,'Input 1 - Billing Run'!C:C,"NOT FOUND")</f>
        <v>SUCCESS</v>
      </c>
      <c r="AA43" s="37">
        <f>COUNTIF('Input 2 - Transactions'!C:C,identities_t[[#This Row],[BNO ID]])</f>
        <v>0</v>
      </c>
      <c r="AB43" s="37">
        <f>_xlfn.IFNA(_xlfn.XLOOKUP(identities_t[[#This Row],[BNO ID]],'Input 1 - Billing Run'!A:A,'Input 1 - Billing Run'!F:F),0)</f>
        <v>0</v>
      </c>
      <c r="AC43" s="83" t="str">
        <f>IF(_xlfn.XLOOKUP(identities_t[[#This Row],[Full X500]],'BNO Recon'!B:B,'BNO Recon'!AC:AC,"ERROR")&lt;&gt;"ERROR","OK","ERROR")</f>
        <v>OK</v>
      </c>
      <c r="AD43" s="171"/>
    </row>
    <row r="44" spans="1:30">
      <c r="A44" s="83">
        <v>32</v>
      </c>
      <c r="B44" s="36" t="str">
        <f>_xlfn.XLOOKUP(identities_t[[#This Row],[Subscription ID]],'DB - Subscriptions'!A:A,'DB - Subscriptions'!c_parties,"ERROR")</f>
        <v>ArcelorMittal Nippon Steel India Ltd</v>
      </c>
      <c r="C44" s="83">
        <f ca="1">_xlfn.XLOOKUP(identities_t[[#This Row],[Subscription ID]],'DB - Subscriptions'!A:A,'DB - Subscriptions'!Q:Q)</f>
        <v>294</v>
      </c>
      <c r="D44" s="36" t="str">
        <f>_xlfn.XLOOKUP(identities_t[[#This Row],[Contracting Party]],c_parties,'DB - Contracting Parties'!C:C)</f>
        <v>Corporate</v>
      </c>
      <c r="E44" s="36" t="b">
        <f>IF(identities_t[[#This Row],[Contracting Party]]="Contour Pte. Ltd.", TRUE, FALSE)</f>
        <v>0</v>
      </c>
      <c r="F44" s="36" t="s">
        <v>1213</v>
      </c>
      <c r="G44" s="36"/>
      <c r="H44" s="113">
        <f>_xlfn.XLOOKUP(identities_t[[#This Row],[Initiative Code]],Codes!A:A,Codes!B:B,"N/A")</f>
        <v>0</v>
      </c>
      <c r="I44" s="36" t="s">
        <v>1214</v>
      </c>
      <c r="J44" s="36" t="s">
        <v>1214</v>
      </c>
      <c r="K44" s="113" t="s">
        <v>1097</v>
      </c>
      <c r="L44" s="202" t="s">
        <v>1215</v>
      </c>
      <c r="M44" s="199" t="s">
        <v>1216</v>
      </c>
      <c r="N44" s="36" t="str">
        <f>identities_t[[#This Row],[Identity Legal Entity Name (O)]]</f>
        <v>ArcelorMittal Nippon Steel India Limited</v>
      </c>
      <c r="O44" s="36" t="s">
        <v>1113</v>
      </c>
      <c r="P44" s="36" t="s">
        <v>1217</v>
      </c>
      <c r="Q44" s="36" t="s">
        <v>1011</v>
      </c>
      <c r="R44" s="111">
        <v>44383</v>
      </c>
      <c r="S44" s="36" t="s">
        <v>28</v>
      </c>
      <c r="T44" t="s">
        <v>1218</v>
      </c>
      <c r="U44" s="36" t="str">
        <f>LOWER("OU="&amp;'DB - Identities'!$O44&amp;", O="&amp;'DB - Identities'!$N44&amp;", L="&amp;'DB - Identities'!$P44&amp;", C="&amp;'DB - Identities'!$Q44)</f>
        <v>ou=trade finance, o=arcelormittal nippon steel india limited, l=surat, c=in</v>
      </c>
      <c r="V44" s="83" t="str">
        <f>_xlfn.XLOOKUP(identities_t[[#This Row],[Full X500]],'Input 3 - BNO Members'!A:A,'Input 3 - BNO Members'!C:C,"ERROR")</f>
        <v>Active</v>
      </c>
      <c r="W44" s="83">
        <f>_xlfn.XLOOKUP(identities_t[[#This Row],[Full X500]],'Input 3 - BNO Members'!A:A,'Input 3 - BNO Members'!B:B,"ERROR")</f>
        <v>53489564</v>
      </c>
      <c r="X44" s="83">
        <f>_xlfn.XLOOKUP(U:U,'Input 3 - BNO Members'!A:A,'Input 3 - BNO Members'!E:E)</f>
        <v>60100</v>
      </c>
      <c r="Y44" s="83" t="str">
        <f>IF(_xlfn.XLOOKUP(identities_t[[#This Row],[Full X500]],'CNF Sponsorship'!B:B,'CNF Sponsorship'!A:A,"ERROR")&lt;&gt;"ERROR","OK","ERROR")</f>
        <v>ERROR</v>
      </c>
      <c r="Z44" s="83" t="str">
        <f>_xlfn.XLOOKUP(identities_t[[#This Row],[BNO ID]],'Input 1 - Billing Run'!A:A,'Input 1 - Billing Run'!C:C,"NOT FOUND")</f>
        <v>SUCCESS</v>
      </c>
      <c r="AA44" s="37">
        <f>COUNTIF('Input 2 - Transactions'!C:C,identities_t[[#This Row],[BNO ID]])</f>
        <v>0</v>
      </c>
      <c r="AB44" s="37">
        <f>_xlfn.IFNA(_xlfn.XLOOKUP(identities_t[[#This Row],[BNO ID]],'Input 1 - Billing Run'!A:A,'Input 1 - Billing Run'!F:F),0)</f>
        <v>0</v>
      </c>
      <c r="AC44" s="83" t="str">
        <f>IF(_xlfn.XLOOKUP(identities_t[[#This Row],[Full X500]],'BNO Recon'!B:B,'BNO Recon'!AC:AC,"ERROR")&lt;&gt;"ERROR","OK","ERROR")</f>
        <v>OK</v>
      </c>
      <c r="AD44" s="171"/>
    </row>
    <row r="45" spans="1:30">
      <c r="A45" s="83">
        <v>35</v>
      </c>
      <c r="B45" s="36" t="str">
        <f>_xlfn.XLOOKUP(identities_t[[#This Row],[Subscription ID]],'DB - Subscriptions'!A:A,'DB - Subscriptions'!c_parties,"ERROR")</f>
        <v>CHEMTECH CO.LTD</v>
      </c>
      <c r="C45" s="83">
        <f ca="1">_xlfn.XLOOKUP(identities_t[[#This Row],[Subscription ID]],'DB - Subscriptions'!A:A,'DB - Subscriptions'!Q:Q)</f>
        <v>294</v>
      </c>
      <c r="D45" s="36" t="str">
        <f>_xlfn.XLOOKUP(identities_t[[#This Row],[Contracting Party]],c_parties,'DB - Contracting Parties'!C:C)</f>
        <v>Corporate</v>
      </c>
      <c r="E45" s="36" t="b">
        <f>IF(identities_t[[#This Row],[Contracting Party]]="Contour Pte. Ltd.", TRUE, FALSE)</f>
        <v>0</v>
      </c>
      <c r="F45" s="36" t="s">
        <v>1219</v>
      </c>
      <c r="G45" s="103" t="s">
        <v>672</v>
      </c>
      <c r="H45" s="113" t="str">
        <f>_xlfn.XLOOKUP(identities_t[[#This Row],[Initiative Code]],Codes!A:A,Codes!B:B,"N/A")</f>
        <v>CWP</v>
      </c>
      <c r="I45" s="36" t="s">
        <v>1220</v>
      </c>
      <c r="J45" s="36" t="s">
        <v>1220</v>
      </c>
      <c r="K45" s="113" t="s">
        <v>1097</v>
      </c>
      <c r="L45" s="113"/>
      <c r="M45" s="199">
        <v>3700603175</v>
      </c>
      <c r="N45" s="36" t="str">
        <f>identities_t[[#This Row],[Identity Legal Entity Name (O)]]</f>
        <v>CHEMTECH CO. LTD</v>
      </c>
      <c r="O45" s="36" t="s">
        <v>1113</v>
      </c>
      <c r="P45" s="36" t="s">
        <v>1221</v>
      </c>
      <c r="Q45" s="36" t="s">
        <v>1164</v>
      </c>
      <c r="R45" s="111">
        <v>44383</v>
      </c>
      <c r="S45" s="36" t="s">
        <v>28</v>
      </c>
      <c r="T45" t="s">
        <v>1222</v>
      </c>
      <c r="U45" s="36" t="str">
        <f>LOWER("OU="&amp;'DB - Identities'!$O45&amp;", O="&amp;'DB - Identities'!$N45&amp;", L="&amp;'DB - Identities'!$P45&amp;", C="&amp;'DB - Identities'!$Q45)</f>
        <v>ou=trade finance, o=chemtech co. ltd, l=binh duong, c=vn</v>
      </c>
      <c r="V45" s="83" t="str">
        <f>_xlfn.XLOOKUP(identities_t[[#This Row],[Full X500]],'Input 3 - BNO Members'!A:A,'Input 3 - BNO Members'!C:C,"ERROR")</f>
        <v>Active</v>
      </c>
      <c r="W45" s="83">
        <f>_xlfn.XLOOKUP(identities_t[[#This Row],[Full X500]],'Input 3 - BNO Members'!A:A,'Input 3 - BNO Members'!B:B,"ERROR")</f>
        <v>427638024</v>
      </c>
      <c r="X45" s="83">
        <f>_xlfn.XLOOKUP(U:U,'Input 3 - BNO Members'!A:A,'Input 3 - BNO Members'!E:E)</f>
        <v>60100</v>
      </c>
      <c r="Y45" s="83" t="str">
        <f>IF(_xlfn.XLOOKUP(identities_t[[#This Row],[Full X500]],'CNF Sponsorship'!B:B,'CNF Sponsorship'!A:A,"ERROR")&lt;&gt;"ERROR","OK","ERROR")</f>
        <v>ERROR</v>
      </c>
      <c r="Z45" s="83" t="str">
        <f>_xlfn.XLOOKUP(identities_t[[#This Row],[BNO ID]],'Input 1 - Billing Run'!A:A,'Input 1 - Billing Run'!C:C,"NOT FOUND")</f>
        <v>SUCCESS</v>
      </c>
      <c r="AA45" s="37">
        <f>COUNTIF('Input 2 - Transactions'!C:C,identities_t[[#This Row],[BNO ID]])</f>
        <v>0</v>
      </c>
      <c r="AB45" s="37">
        <f>_xlfn.IFNA(_xlfn.XLOOKUP(identities_t[[#This Row],[BNO ID]],'Input 1 - Billing Run'!A:A,'Input 1 - Billing Run'!F:F),0)</f>
        <v>0</v>
      </c>
      <c r="AC45" s="83" t="str">
        <f>IF(_xlfn.XLOOKUP(identities_t[[#This Row],[Full X500]],'BNO Recon'!B:B,'BNO Recon'!AC:AC,"ERROR")&lt;&gt;"ERROR","OK","ERROR")</f>
        <v>OK</v>
      </c>
      <c r="AD45" s="171"/>
    </row>
    <row r="46" spans="1:30">
      <c r="A46" s="83">
        <v>33</v>
      </c>
      <c r="B46" s="36" t="str">
        <f>_xlfn.XLOOKUP(identities_t[[#This Row],[Subscription ID]],'DB - Subscriptions'!A:A,'DB - Subscriptions'!c_parties,"ERROR")</f>
        <v>AN PHAT BIOPLASTICS JOINT STOCK COMPANY</v>
      </c>
      <c r="C46" s="83">
        <f ca="1">_xlfn.XLOOKUP(identities_t[[#This Row],[Subscription ID]],'DB - Subscriptions'!A:A,'DB - Subscriptions'!Q:Q)</f>
        <v>294</v>
      </c>
      <c r="D46" s="36" t="str">
        <f>_xlfn.XLOOKUP(identities_t[[#This Row],[Contracting Party]],c_parties,'DB - Contracting Parties'!C:C)</f>
        <v>Corporate</v>
      </c>
      <c r="E46" s="36" t="b">
        <f>IF(identities_t[[#This Row],[Contracting Party]]="Contour Pte. Ltd.", TRUE, FALSE)</f>
        <v>0</v>
      </c>
      <c r="F46" s="36" t="s">
        <v>1223</v>
      </c>
      <c r="G46" s="103" t="s">
        <v>669</v>
      </c>
      <c r="H46" s="113" t="str">
        <f>_xlfn.XLOOKUP(identities_t[[#This Row],[Initiative Code]],Codes!A:A,Codes!B:B,"N/A")</f>
        <v>CWP</v>
      </c>
      <c r="I46" s="36" t="s">
        <v>1224</v>
      </c>
      <c r="J46" s="36" t="s">
        <v>1224</v>
      </c>
      <c r="K46" s="113" t="s">
        <v>1097</v>
      </c>
      <c r="L46" s="113"/>
      <c r="M46" s="199" t="s">
        <v>1225</v>
      </c>
      <c r="N46" s="36" t="str">
        <f>identities_t[[#This Row],[Identity Legal Entity Name (O)]]</f>
        <v>AN PHAT BIOPLASTICS JOINT STOCK COMPANY</v>
      </c>
      <c r="O46" s="36" t="s">
        <v>1113</v>
      </c>
      <c r="P46" s="36" t="s">
        <v>1226</v>
      </c>
      <c r="Q46" s="36" t="s">
        <v>1164</v>
      </c>
      <c r="R46" s="111">
        <v>44382</v>
      </c>
      <c r="S46" s="36" t="s">
        <v>28</v>
      </c>
      <c r="T46" t="s">
        <v>1227</v>
      </c>
      <c r="U46" s="36" t="str">
        <f>LOWER("OU="&amp;'DB - Identities'!$O46&amp;", O="&amp;'DB - Identities'!$N46&amp;", L="&amp;'DB - Identities'!$P46&amp;", C="&amp;'DB - Identities'!$Q46)</f>
        <v>ou=trade finance, o=an phat bioplastics joint stock company, l=hai duong, c=vn</v>
      </c>
      <c r="V46" s="83" t="str">
        <f>_xlfn.XLOOKUP(identities_t[[#This Row],[Full X500]],'Input 3 - BNO Members'!A:A,'Input 3 - BNO Members'!C:C,"ERROR")</f>
        <v>Active</v>
      </c>
      <c r="W46" s="83">
        <f>_xlfn.XLOOKUP(identities_t[[#This Row],[Full X500]],'Input 3 - BNO Members'!A:A,'Input 3 - BNO Members'!B:B,"ERROR")</f>
        <v>160466141</v>
      </c>
      <c r="X46" s="83">
        <f>_xlfn.XLOOKUP(U:U,'Input 3 - BNO Members'!A:A,'Input 3 - BNO Members'!E:E)</f>
        <v>60100</v>
      </c>
      <c r="Y46" s="83" t="str">
        <f>IF(_xlfn.XLOOKUP(identities_t[[#This Row],[Full X500]],'CNF Sponsorship'!B:B,'CNF Sponsorship'!A:A,"ERROR")&lt;&gt;"ERROR","OK","ERROR")</f>
        <v>ERROR</v>
      </c>
      <c r="Z46" s="83" t="str">
        <f>_xlfn.XLOOKUP(identities_t[[#This Row],[BNO ID]],'Input 1 - Billing Run'!A:A,'Input 1 - Billing Run'!C:C,"NOT FOUND")</f>
        <v>SUCCESS</v>
      </c>
      <c r="AA46" s="37">
        <f>COUNTIF('Input 2 - Transactions'!C:C,identities_t[[#This Row],[BNO ID]])</f>
        <v>0</v>
      </c>
      <c r="AB46" s="37">
        <f>_xlfn.IFNA(_xlfn.XLOOKUP(identities_t[[#This Row],[BNO ID]],'Input 1 - Billing Run'!A:A,'Input 1 - Billing Run'!F:F),0)</f>
        <v>0</v>
      </c>
      <c r="AC46" s="83" t="str">
        <f>IF(_xlfn.XLOOKUP(identities_t[[#This Row],[Full X500]],'BNO Recon'!B:B,'BNO Recon'!AC:AC,"ERROR")&lt;&gt;"ERROR","OK","ERROR")</f>
        <v>OK</v>
      </c>
      <c r="AD46" s="171"/>
    </row>
    <row r="47" spans="1:30">
      <c r="A47" s="83">
        <v>37</v>
      </c>
      <c r="B47" s="36" t="str">
        <f>_xlfn.XLOOKUP(identities_t[[#This Row],[Subscription ID]],'DB - Subscriptions'!A:A,'DB - Subscriptions'!c_parties,"ERROR")</f>
        <v>DBS BANK (HONG KONG) LIMITED</v>
      </c>
      <c r="C47" s="83">
        <f ca="1">_xlfn.XLOOKUP(identities_t[[#This Row],[Subscription ID]],'DB - Subscriptions'!A:A,'DB - Subscriptions'!Q:Q)</f>
        <v>294</v>
      </c>
      <c r="D47" s="36" t="str">
        <f>_xlfn.XLOOKUP(identities_t[[#This Row],[Contracting Party]],c_parties,'DB - Contracting Parties'!C:C)</f>
        <v>Bank</v>
      </c>
      <c r="E47" s="36" t="b">
        <f>IF(identities_t[[#This Row],[Contracting Party]]="Contour Pte. Ltd.", TRUE, FALSE)</f>
        <v>0</v>
      </c>
      <c r="F47" s="36" t="s">
        <v>1228</v>
      </c>
      <c r="G47" s="36"/>
      <c r="H47" s="113">
        <f>_xlfn.XLOOKUP(identities_t[[#This Row],[Initiative Code]],Codes!A:A,Codes!B:B,"N/A")</f>
        <v>0</v>
      </c>
      <c r="I47" s="36" t="s">
        <v>252</v>
      </c>
      <c r="J47" s="36" t="s">
        <v>252</v>
      </c>
      <c r="K47" s="206" t="s">
        <v>1229</v>
      </c>
      <c r="L47" s="202" t="s">
        <v>254</v>
      </c>
      <c r="M47" s="199" t="s">
        <v>253</v>
      </c>
      <c r="N47" s="36" t="str">
        <f>identities_t[[#This Row],[Identity Legal Entity Name (O)]]</f>
        <v>DBS BANK (HONG KONG) LIMITED</v>
      </c>
      <c r="O47" s="36" t="s">
        <v>1113</v>
      </c>
      <c r="P47" s="36" t="s">
        <v>1018</v>
      </c>
      <c r="Q47" s="36" t="s">
        <v>1019</v>
      </c>
      <c r="R47" s="111">
        <v>44386</v>
      </c>
      <c r="S47" s="36" t="s">
        <v>28</v>
      </c>
      <c r="T47" t="s">
        <v>1142</v>
      </c>
      <c r="U47" s="36" t="str">
        <f>LOWER("OU="&amp;'DB - Identities'!$O47&amp;", O="&amp;'DB - Identities'!$N47&amp;", L="&amp;'DB - Identities'!$P47&amp;", C="&amp;'DB - Identities'!$Q47)</f>
        <v>ou=trade finance, o=dbs bank (hong kong) limited, l=central district, c=hk</v>
      </c>
      <c r="V47" s="83" t="str">
        <f>_xlfn.XLOOKUP(identities_t[[#This Row],[Full X500]],'Input 3 - BNO Members'!A:A,'Input 3 - BNO Members'!C:C,"ERROR")</f>
        <v>Active</v>
      </c>
      <c r="W47" s="83">
        <f>_xlfn.XLOOKUP(identities_t[[#This Row],[Full X500]],'Input 3 - BNO Members'!A:A,'Input 3 - BNO Members'!B:B,"ERROR")</f>
        <v>112554448</v>
      </c>
      <c r="X47" s="83">
        <f>_xlfn.XLOOKUP(U:U,'Input 3 - BNO Members'!A:A,'Input 3 - BNO Members'!E:E)</f>
        <v>60100</v>
      </c>
      <c r="Y47" s="83" t="str">
        <f>IF(_xlfn.XLOOKUP(identities_t[[#This Row],[Full X500]],'CNF Sponsorship'!B:B,'CNF Sponsorship'!A:A,"ERROR")&lt;&gt;"ERROR","OK","ERROR")</f>
        <v>ERROR</v>
      </c>
      <c r="Z47" s="83" t="str">
        <f>_xlfn.XLOOKUP(identities_t[[#This Row],[BNO ID]],'Input 1 - Billing Run'!A:A,'Input 1 - Billing Run'!C:C,"NOT FOUND")</f>
        <v>SUCCESS</v>
      </c>
      <c r="AA47" s="37">
        <f>COUNTIF('Input 2 - Transactions'!C:C,identities_t[[#This Row],[BNO ID]])</f>
        <v>0</v>
      </c>
      <c r="AB47" s="37">
        <f>_xlfn.IFNA(_xlfn.XLOOKUP(identities_t[[#This Row],[BNO ID]],'Input 1 - Billing Run'!A:A,'Input 1 - Billing Run'!F:F),0)</f>
        <v>0</v>
      </c>
      <c r="AC47" s="83" t="str">
        <f>IF(_xlfn.XLOOKUP(identities_t[[#This Row],[Full X500]],'BNO Recon'!B:B,'BNO Recon'!AC:AC,"ERROR")&lt;&gt;"ERROR","OK","ERROR")</f>
        <v>OK</v>
      </c>
      <c r="AD47" s="171"/>
    </row>
    <row r="48" spans="1:30">
      <c r="A48" s="83">
        <v>39</v>
      </c>
      <c r="B48" s="36" t="str">
        <f>_xlfn.XLOOKUP(identities_t[[#This Row],[Subscription ID]],'DB - Subscriptions'!A:A,'DB - Subscriptions'!c_parties,"ERROR")</f>
        <v>Polyplex (Thailand) Public Company Limited</v>
      </c>
      <c r="C48" s="83">
        <f ca="1">_xlfn.XLOOKUP(identities_t[[#This Row],[Subscription ID]],'DB - Subscriptions'!A:A,'DB - Subscriptions'!Q:Q)</f>
        <v>325</v>
      </c>
      <c r="D48" s="36" t="str">
        <f>_xlfn.XLOOKUP(identities_t[[#This Row],[Contracting Party]],c_parties,'DB - Contracting Parties'!C:C)</f>
        <v>Corporate</v>
      </c>
      <c r="E48" s="36" t="b">
        <f>IF(identities_t[[#This Row],[Contracting Party]]="Contour Pte. Ltd.", TRUE, FALSE)</f>
        <v>0</v>
      </c>
      <c r="F48" s="36" t="s">
        <v>1230</v>
      </c>
      <c r="G48" s="103" t="s">
        <v>663</v>
      </c>
      <c r="H48" s="113" t="str">
        <f>_xlfn.XLOOKUP(identities_t[[#This Row],[Initiative Code]],Codes!A:A,Codes!B:B,"N/A")</f>
        <v>CWP</v>
      </c>
      <c r="I48" s="36" t="s">
        <v>266</v>
      </c>
      <c r="J48" s="36" t="s">
        <v>266</v>
      </c>
      <c r="K48" s="113" t="s">
        <v>1097</v>
      </c>
      <c r="L48" s="202" t="s">
        <v>1231</v>
      </c>
      <c r="M48" s="199" t="s">
        <v>267</v>
      </c>
      <c r="N48" s="36" t="str">
        <f>identities_t[[#This Row],[Identity Legal Entity Name (O)]]</f>
        <v>Polyplex (Thailand) Public Company Limited</v>
      </c>
      <c r="O48" s="36" t="s">
        <v>1113</v>
      </c>
      <c r="P48" s="36" t="s">
        <v>1105</v>
      </c>
      <c r="Q48" s="36" t="s">
        <v>1106</v>
      </c>
      <c r="R48" s="111">
        <v>44399</v>
      </c>
      <c r="S48" s="36" t="s">
        <v>28</v>
      </c>
      <c r="T48" s="121" t="s">
        <v>1232</v>
      </c>
      <c r="U48" s="36" t="str">
        <f>LOWER("OU="&amp;'DB - Identities'!$O48&amp;", O="&amp;'DB - Identities'!$N48&amp;", L="&amp;'DB - Identities'!$P48&amp;", C="&amp;'DB - Identities'!$Q48)</f>
        <v>ou=trade finance, o=polyplex (thailand) public company limited, l=bangkok, c=th</v>
      </c>
      <c r="V48" s="83" t="str">
        <f>_xlfn.XLOOKUP(identities_t[[#This Row],[Full X500]],'Input 3 - BNO Members'!A:A,'Input 3 - BNO Members'!C:C,"ERROR")</f>
        <v>Active</v>
      </c>
      <c r="W48" s="83">
        <f>_xlfn.XLOOKUP(identities_t[[#This Row],[Full X500]],'Input 3 - BNO Members'!A:A,'Input 3 - BNO Members'!B:B,"ERROR")</f>
        <v>510564880</v>
      </c>
      <c r="X48" s="83">
        <f>_xlfn.XLOOKUP(U:U,'Input 3 - BNO Members'!A:A,'Input 3 - BNO Members'!E:E)</f>
        <v>60100</v>
      </c>
      <c r="Y48" s="83" t="str">
        <f>IF(_xlfn.XLOOKUP(identities_t[[#This Row],[Full X500]],'CNF Sponsorship'!B:B,'CNF Sponsorship'!A:A,"ERROR")&lt;&gt;"ERROR","OK","ERROR")</f>
        <v>ERROR</v>
      </c>
      <c r="Z48" s="83" t="str">
        <f>_xlfn.XLOOKUP(identities_t[[#This Row],[BNO ID]],'Input 1 - Billing Run'!A:A,'Input 1 - Billing Run'!C:C,"NOT FOUND")</f>
        <v>SUCCESS</v>
      </c>
      <c r="AA48" s="37">
        <f>COUNTIF('Input 2 - Transactions'!C:C,identities_t[[#This Row],[BNO ID]])</f>
        <v>0</v>
      </c>
      <c r="AB48" s="37">
        <f>_xlfn.IFNA(_xlfn.XLOOKUP(identities_t[[#This Row],[BNO ID]],'Input 1 - Billing Run'!A:A,'Input 1 - Billing Run'!F:F),0)</f>
        <v>0</v>
      </c>
      <c r="AC48" s="83" t="str">
        <f>IF(_xlfn.XLOOKUP(identities_t[[#This Row],[Full X500]],'BNO Recon'!B:B,'BNO Recon'!AC:AC,"ERROR")&lt;&gt;"ERROR","OK","ERROR")</f>
        <v>OK</v>
      </c>
      <c r="AD48" s="171"/>
    </row>
    <row r="49" spans="1:30">
      <c r="A49" s="83">
        <v>41</v>
      </c>
      <c r="B49" s="36" t="str">
        <f>_xlfn.XLOOKUP(identities_t[[#This Row],[Subscription ID]],'DB - Subscriptions'!A:A,'DB - Subscriptions'!c_parties,"ERROR")</f>
        <v>Thailand Anthracite Company Limited</v>
      </c>
      <c r="C49" s="83">
        <f ca="1">_xlfn.XLOOKUP(identities_t[[#This Row],[Subscription ID]],'DB - Subscriptions'!A:A,'DB - Subscriptions'!Q:Q)</f>
        <v>325</v>
      </c>
      <c r="D49" s="36" t="str">
        <f>_xlfn.XLOOKUP(identities_t[[#This Row],[Contracting Party]],c_parties,'DB - Contracting Parties'!C:C)</f>
        <v>Corporate</v>
      </c>
      <c r="E49" s="36" t="b">
        <f>IF(identities_t[[#This Row],[Contracting Party]]="Contour Pte. Ltd.", TRUE, FALSE)</f>
        <v>0</v>
      </c>
      <c r="F49" s="36" t="s">
        <v>1233</v>
      </c>
      <c r="G49" s="103" t="s">
        <v>674</v>
      </c>
      <c r="H49" s="113" t="str">
        <f>_xlfn.XLOOKUP(identities_t[[#This Row],[Initiative Code]],Codes!A:A,Codes!B:B,"N/A")</f>
        <v>CWP</v>
      </c>
      <c r="I49" s="36" t="s">
        <v>280</v>
      </c>
      <c r="J49" s="36" t="s">
        <v>280</v>
      </c>
      <c r="K49" s="113" t="s">
        <v>1097</v>
      </c>
      <c r="L49" s="113"/>
      <c r="M49" s="208" t="s">
        <v>281</v>
      </c>
      <c r="N49" s="36" t="str">
        <f>identities_t[[#This Row],[Identity Legal Entity Name (O)]]</f>
        <v>Thailand Anthracite Company Limited</v>
      </c>
      <c r="O49" s="36" t="s">
        <v>1113</v>
      </c>
      <c r="P49" s="36" t="s">
        <v>1105</v>
      </c>
      <c r="Q49" s="36" t="s">
        <v>1106</v>
      </c>
      <c r="R49" s="111">
        <v>44399</v>
      </c>
      <c r="S49" s="36" t="s">
        <v>28</v>
      </c>
      <c r="T49" s="121" t="s">
        <v>1234</v>
      </c>
      <c r="U49" s="36" t="str">
        <f>LOWER("OU="&amp;'DB - Identities'!$O49&amp;", O="&amp;'DB - Identities'!$N49&amp;", L="&amp;'DB - Identities'!$P49&amp;", C="&amp;'DB - Identities'!$Q49)</f>
        <v>ou=trade finance, o=thailand anthracite company limited, l=bangkok, c=th</v>
      </c>
      <c r="V49" s="83" t="str">
        <f>_xlfn.XLOOKUP(identities_t[[#This Row],[Full X500]],'Input 3 - BNO Members'!A:A,'Input 3 - BNO Members'!C:C,"ERROR")</f>
        <v>Active</v>
      </c>
      <c r="W49" s="83">
        <f>_xlfn.XLOOKUP(identities_t[[#This Row],[Full X500]],'Input 3 - BNO Members'!A:A,'Input 3 - BNO Members'!B:B,"ERROR")</f>
        <v>140106384</v>
      </c>
      <c r="X49" s="83">
        <f>_xlfn.XLOOKUP(U:U,'Input 3 - BNO Members'!A:A,'Input 3 - BNO Members'!E:E)</f>
        <v>60100</v>
      </c>
      <c r="Y49" s="83" t="str">
        <f>IF(_xlfn.XLOOKUP(identities_t[[#This Row],[Full X500]],'CNF Sponsorship'!B:B,'CNF Sponsorship'!A:A,"ERROR")&lt;&gt;"ERROR","OK","ERROR")</f>
        <v>ERROR</v>
      </c>
      <c r="Z49" s="83" t="str">
        <f>_xlfn.XLOOKUP(identities_t[[#This Row],[BNO ID]],'Input 1 - Billing Run'!A:A,'Input 1 - Billing Run'!C:C,"NOT FOUND")</f>
        <v>SUCCESS</v>
      </c>
      <c r="AA49" s="37">
        <f>COUNTIF('Input 2 - Transactions'!C:C,identities_t[[#This Row],[BNO ID]])</f>
        <v>0</v>
      </c>
      <c r="AB49" s="37">
        <f>_xlfn.IFNA(_xlfn.XLOOKUP(identities_t[[#This Row],[BNO ID]],'Input 1 - Billing Run'!A:A,'Input 1 - Billing Run'!F:F),0)</f>
        <v>0</v>
      </c>
      <c r="AC49" s="83" t="str">
        <f>IF(_xlfn.XLOOKUP(identities_t[[#This Row],[Full X500]],'BNO Recon'!B:B,'BNO Recon'!AC:AC,"ERROR")&lt;&gt;"ERROR","OK","ERROR")</f>
        <v>OK</v>
      </c>
      <c r="AD49" s="171"/>
    </row>
    <row r="50" spans="1:30">
      <c r="A50" s="83">
        <v>42</v>
      </c>
      <c r="B50" s="36" t="str">
        <f>_xlfn.XLOOKUP(identities_t[[#This Row],[Subscription ID]],'DB - Subscriptions'!A:A,'DB - Subscriptions'!c_parties,"ERROR")</f>
        <v>STAVIAN CHEMICAL JOINT STOCK COMPANY</v>
      </c>
      <c r="C50" s="83">
        <f ca="1">_xlfn.XLOOKUP(identities_t[[#This Row],[Subscription ID]],'DB - Subscriptions'!A:A,'DB - Subscriptions'!Q:Q)</f>
        <v>325</v>
      </c>
      <c r="D50" s="36" t="str">
        <f>_xlfn.XLOOKUP(identities_t[[#This Row],[Contracting Party]],c_parties,'DB - Contracting Parties'!C:C)</f>
        <v>Corporate</v>
      </c>
      <c r="E50" s="36" t="b">
        <f>IF(identities_t[[#This Row],[Contracting Party]]="Contour Pte. Ltd.", TRUE, FALSE)</f>
        <v>0</v>
      </c>
      <c r="F50" s="36" t="s">
        <v>1235</v>
      </c>
      <c r="G50" s="36" t="s">
        <v>671</v>
      </c>
      <c r="H50" s="113" t="str">
        <f>_xlfn.XLOOKUP(identities_t[[#This Row],[Initiative Code]],Codes!A:A,Codes!B:B,"N/A")</f>
        <v>CWP</v>
      </c>
      <c r="I50" s="36" t="s">
        <v>286</v>
      </c>
      <c r="J50" s="36" t="s">
        <v>286</v>
      </c>
      <c r="K50" s="113" t="s">
        <v>1097</v>
      </c>
      <c r="L50" s="113"/>
      <c r="M50" s="197" t="s">
        <v>287</v>
      </c>
      <c r="N50" s="36" t="str">
        <f>identities_t[[#This Row],[Identity Legal Entity Name (O)]]</f>
        <v>STAVIAN CHEMICAL JOINT STOCK COMPANY</v>
      </c>
      <c r="O50" s="36" t="s">
        <v>1113</v>
      </c>
      <c r="P50" s="36" t="s">
        <v>1236</v>
      </c>
      <c r="Q50" s="36" t="s">
        <v>1164</v>
      </c>
      <c r="R50" s="111">
        <v>44404</v>
      </c>
      <c r="S50" s="36" t="s">
        <v>28</v>
      </c>
      <c r="T50" s="129" t="s">
        <v>1237</v>
      </c>
      <c r="U50" s="36" t="str">
        <f>LOWER("OU="&amp;'DB - Identities'!$O50&amp;", O="&amp;'DB - Identities'!$N50&amp;", L="&amp;'DB - Identities'!$P50&amp;", C="&amp;'DB - Identities'!$Q50)</f>
        <v>ou=trade finance, o=stavian chemical joint stock company, l=hung yen, c=vn</v>
      </c>
      <c r="V50" s="83" t="str">
        <f>_xlfn.XLOOKUP(identities_t[[#This Row],[Full X500]],'Input 3 - BNO Members'!A:A,'Input 3 - BNO Members'!C:C,"ERROR")</f>
        <v>Active</v>
      </c>
      <c r="W50" s="83">
        <f>_xlfn.XLOOKUP(identities_t[[#This Row],[Full X500]],'Input 3 - BNO Members'!A:A,'Input 3 - BNO Members'!B:B,"ERROR")</f>
        <v>260365413</v>
      </c>
      <c r="X50" s="83">
        <f>_xlfn.XLOOKUP(U:U,'Input 3 - BNO Members'!A:A,'Input 3 - BNO Members'!E:E)</f>
        <v>60100</v>
      </c>
      <c r="Y50" s="83" t="str">
        <f>IF(_xlfn.XLOOKUP(identities_t[[#This Row],[Full X500]],'CNF Sponsorship'!B:B,'CNF Sponsorship'!A:A,"ERROR")&lt;&gt;"ERROR","OK","ERROR")</f>
        <v>ERROR</v>
      </c>
      <c r="Z50" s="83" t="str">
        <f>_xlfn.XLOOKUP(identities_t[[#This Row],[BNO ID]],'Input 1 - Billing Run'!A:A,'Input 1 - Billing Run'!C:C,"NOT FOUND")</f>
        <v>SUCCESS</v>
      </c>
      <c r="AA50" s="37">
        <f>COUNTIF('Input 2 - Transactions'!C:C,identities_t[[#This Row],[BNO ID]])</f>
        <v>0</v>
      </c>
      <c r="AB50" s="37">
        <f>_xlfn.IFNA(_xlfn.XLOOKUP(identities_t[[#This Row],[BNO ID]],'Input 1 - Billing Run'!A:A,'Input 1 - Billing Run'!F:F),0)</f>
        <v>0</v>
      </c>
      <c r="AC50" s="83" t="str">
        <f>IF(_xlfn.XLOOKUP(identities_t[[#This Row],[Full X500]],'BNO Recon'!B:B,'BNO Recon'!AC:AC,"ERROR")&lt;&gt;"ERROR","OK","ERROR")</f>
        <v>OK</v>
      </c>
      <c r="AD50" s="171"/>
    </row>
    <row r="51" spans="1:30">
      <c r="A51" s="83">
        <v>36</v>
      </c>
      <c r="B51" s="36" t="str">
        <f>_xlfn.XLOOKUP(identities_t[[#This Row],[Subscription ID]],'DB - Subscriptions'!A:A,'DB - Subscriptions'!c_parties,"ERROR")</f>
        <v>MACWORLD INDUSTRIES LIMITED</v>
      </c>
      <c r="C51" s="83">
        <f ca="1">_xlfn.XLOOKUP(identities_t[[#This Row],[Subscription ID]],'DB - Subscriptions'!A:A,'DB - Subscriptions'!Q:Q)</f>
        <v>325</v>
      </c>
      <c r="D51" s="36" t="str">
        <f>_xlfn.XLOOKUP(identities_t[[#This Row],[Contracting Party]],c_parties,'DB - Contracting Parties'!C:C)</f>
        <v>Corporate</v>
      </c>
      <c r="E51" s="36" t="b">
        <f>IF(identities_t[[#This Row],[Contracting Party]]="Contour Pte. Ltd.", TRUE, FALSE)</f>
        <v>0</v>
      </c>
      <c r="F51" s="36" t="s">
        <v>1238</v>
      </c>
      <c r="G51" s="103" t="s">
        <v>475</v>
      </c>
      <c r="H51" s="113" t="str">
        <f>_xlfn.XLOOKUP(identities_t[[#This Row],[Initiative Code]],Codes!A:A,Codes!B:B,"N/A")</f>
        <v>CWP</v>
      </c>
      <c r="I51" s="36" t="s">
        <v>245</v>
      </c>
      <c r="J51" s="36" t="s">
        <v>245</v>
      </c>
      <c r="K51" s="113" t="s">
        <v>1097</v>
      </c>
      <c r="L51" s="187" t="s">
        <v>247</v>
      </c>
      <c r="M51" s="198" t="s">
        <v>246</v>
      </c>
      <c r="N51" s="36" t="str">
        <f>identities_t[[#This Row],[Identity Legal Entity Name (O)]]</f>
        <v>MACWORLD INDUSTRIES LIMITED</v>
      </c>
      <c r="O51" s="36" t="s">
        <v>1113</v>
      </c>
      <c r="P51" s="36" t="s">
        <v>1239</v>
      </c>
      <c r="Q51" s="36" t="s">
        <v>1052</v>
      </c>
      <c r="R51" s="111">
        <v>44404</v>
      </c>
      <c r="S51" s="36" t="s">
        <v>28</v>
      </c>
      <c r="T51" s="133" t="s">
        <v>1240</v>
      </c>
      <c r="U51" s="36" t="str">
        <f>LOWER("OU="&amp;'DB - Identities'!$O51&amp;", O="&amp;'DB - Identities'!$N51&amp;", L="&amp;'DB - Identities'!$P51&amp;", C="&amp;'DB - Identities'!$Q51)</f>
        <v>ou=trade finance, o=macworld industries limited, l=labuan, c=my</v>
      </c>
      <c r="V51" s="83" t="str">
        <f>_xlfn.XLOOKUP(identities_t[[#This Row],[Full X500]],'Input 3 - BNO Members'!A:A,'Input 3 - BNO Members'!C:C,"ERROR")</f>
        <v>Active</v>
      </c>
      <c r="W51" s="83">
        <f>_xlfn.XLOOKUP(identities_t[[#This Row],[Full X500]],'Input 3 - BNO Members'!A:A,'Input 3 - BNO Members'!B:B,"ERROR")</f>
        <v>242720749</v>
      </c>
      <c r="X51" s="83">
        <f>_xlfn.XLOOKUP(U:U,'Input 3 - BNO Members'!A:A,'Input 3 - BNO Members'!E:E)</f>
        <v>60100</v>
      </c>
      <c r="Y51" s="83" t="str">
        <f>IF(_xlfn.XLOOKUP(identities_t[[#This Row],[Full X500]],'CNF Sponsorship'!B:B,'CNF Sponsorship'!A:A,"ERROR")&lt;&gt;"ERROR","OK","ERROR")</f>
        <v>ERROR</v>
      </c>
      <c r="Z51" s="83" t="str">
        <f>_xlfn.XLOOKUP(identities_t[[#This Row],[BNO ID]],'Input 1 - Billing Run'!A:A,'Input 1 - Billing Run'!C:C,"NOT FOUND")</f>
        <v>SUCCESS</v>
      </c>
      <c r="AA51" s="37">
        <f>COUNTIF('Input 2 - Transactions'!C:C,identities_t[[#This Row],[BNO ID]])</f>
        <v>0</v>
      </c>
      <c r="AB51" s="37">
        <f>_xlfn.IFNA(_xlfn.XLOOKUP(identities_t[[#This Row],[BNO ID]],'Input 1 - Billing Run'!A:A,'Input 1 - Billing Run'!F:F),0)</f>
        <v>0</v>
      </c>
      <c r="AC51" s="83" t="str">
        <f>IF(_xlfn.XLOOKUP(identities_t[[#This Row],[Full X500]],'BNO Recon'!B:B,'BNO Recon'!AC:AC,"ERROR")&lt;&gt;"ERROR","OK","ERROR")</f>
        <v>OK</v>
      </c>
      <c r="AD51" s="171"/>
    </row>
    <row r="52" spans="1:30">
      <c r="A52" s="83">
        <v>43</v>
      </c>
      <c r="B52" s="36" t="str">
        <f>_xlfn.XLOOKUP(identities_t[[#This Row],[Subscription ID]],'DB - Subscriptions'!A:A,'DB - Subscriptions'!c_parties,"ERROR")</f>
        <v>Aptec Distribution FZ-LLC</v>
      </c>
      <c r="C52" s="83">
        <f ca="1">_xlfn.XLOOKUP(identities_t[[#This Row],[Subscription ID]],'DB - Subscriptions'!A:A,'DB - Subscriptions'!Q:Q)</f>
        <v>325</v>
      </c>
      <c r="D52" s="36" t="str">
        <f>_xlfn.XLOOKUP(identities_t[[#This Row],[Contracting Party]],c_parties,'DB - Contracting Parties'!C:C)</f>
        <v>Corporate</v>
      </c>
      <c r="E52" s="36" t="b">
        <f>IF(identities_t[[#This Row],[Contracting Party]]="Contour Pte. Ltd.", TRUE, FALSE)</f>
        <v>0</v>
      </c>
      <c r="F52" s="36" t="s">
        <v>1241</v>
      </c>
      <c r="G52" s="103" t="s">
        <v>469</v>
      </c>
      <c r="H52" s="113" t="str">
        <f>_xlfn.XLOOKUP(identities_t[[#This Row],[Initiative Code]],Codes!A:A,Codes!B:B,"N/A")</f>
        <v>CWP</v>
      </c>
      <c r="I52" s="36" t="s">
        <v>292</v>
      </c>
      <c r="J52" s="36" t="s">
        <v>292</v>
      </c>
      <c r="K52" s="113" t="s">
        <v>1097</v>
      </c>
      <c r="L52" s="113"/>
      <c r="M52" s="199">
        <v>20264</v>
      </c>
      <c r="N52" s="36" t="str">
        <f>identities_t[[#This Row],[Identity Legal Entity Name (O)]]</f>
        <v>Aptec Distribution FZ-LLC</v>
      </c>
      <c r="O52" s="36" t="s">
        <v>1113</v>
      </c>
      <c r="P52" s="36" t="s">
        <v>1035</v>
      </c>
      <c r="Q52" s="36" t="s">
        <v>1036</v>
      </c>
      <c r="R52" s="111">
        <v>44404</v>
      </c>
      <c r="S52" s="36" t="s">
        <v>28</v>
      </c>
      <c r="T52" s="133" t="s">
        <v>1242</v>
      </c>
      <c r="U52" s="36" t="str">
        <f>LOWER("OU="&amp;'DB - Identities'!$O52&amp;", O="&amp;'DB - Identities'!$N52&amp;", L="&amp;'DB - Identities'!$P52&amp;", C="&amp;'DB - Identities'!$Q52)</f>
        <v>ou=trade finance, o=aptec distribution fz-llc, l=dubai, c=ae</v>
      </c>
      <c r="V52" s="83" t="str">
        <f>_xlfn.XLOOKUP(identities_t[[#This Row],[Full X500]],'Input 3 - BNO Members'!A:A,'Input 3 - BNO Members'!C:C,"ERROR")</f>
        <v>Active</v>
      </c>
      <c r="W52" s="83">
        <f>_xlfn.XLOOKUP(identities_t[[#This Row],[Full X500]],'Input 3 - BNO Members'!A:A,'Input 3 - BNO Members'!B:B,"ERROR")</f>
        <v>408372966</v>
      </c>
      <c r="X52" s="83">
        <f>_xlfn.XLOOKUP(U:U,'Input 3 - BNO Members'!A:A,'Input 3 - BNO Members'!E:E)</f>
        <v>60100</v>
      </c>
      <c r="Y52" s="83" t="str">
        <f>IF(_xlfn.XLOOKUP(identities_t[[#This Row],[Full X500]],'CNF Sponsorship'!B:B,'CNF Sponsorship'!A:A,"ERROR")&lt;&gt;"ERROR","OK","ERROR")</f>
        <v>ERROR</v>
      </c>
      <c r="Z52" s="83" t="str">
        <f>_xlfn.XLOOKUP(identities_t[[#This Row],[BNO ID]],'Input 1 - Billing Run'!A:A,'Input 1 - Billing Run'!C:C,"NOT FOUND")</f>
        <v>SUCCESS</v>
      </c>
      <c r="AA52" s="37">
        <f>COUNTIF('Input 2 - Transactions'!C:C,identities_t[[#This Row],[BNO ID]])</f>
        <v>0</v>
      </c>
      <c r="AB52" s="37">
        <f>_xlfn.IFNA(_xlfn.XLOOKUP(identities_t[[#This Row],[BNO ID]],'Input 1 - Billing Run'!A:A,'Input 1 - Billing Run'!F:F),0)</f>
        <v>0</v>
      </c>
      <c r="AC52" s="83" t="str">
        <f>IF(_xlfn.XLOOKUP(identities_t[[#This Row],[Full X500]],'BNO Recon'!B:B,'BNO Recon'!AC:AC,"ERROR")&lt;&gt;"ERROR","OK","ERROR")</f>
        <v>OK</v>
      </c>
      <c r="AD52" s="171"/>
    </row>
    <row r="53" spans="1:30">
      <c r="A53" s="83">
        <v>45</v>
      </c>
      <c r="B53" s="36" t="str">
        <f>_xlfn.XLOOKUP(identities_t[[#This Row],[Subscription ID]],'DB - Subscriptions'!A:A,'DB - Subscriptions'!c_parties,"ERROR")</f>
        <v>LONGTEX RUBBER INDUSTRY CO.,LTD.</v>
      </c>
      <c r="C53" s="83">
        <f ca="1">_xlfn.XLOOKUP(identities_t[[#This Row],[Subscription ID]],'DB - Subscriptions'!A:A,'DB - Subscriptions'!Q:Q)</f>
        <v>325</v>
      </c>
      <c r="D53" s="36" t="str">
        <f>_xlfn.XLOOKUP(identities_t[[#This Row],[Contracting Party]],c_parties,'DB - Contracting Parties'!C:C)</f>
        <v>Corporate</v>
      </c>
      <c r="E53" s="36" t="b">
        <f>IF(identities_t[[#This Row],[Contracting Party]]="Contour Pte. Ltd.", TRUE, FALSE)</f>
        <v>0</v>
      </c>
      <c r="F53" s="36" t="s">
        <v>1243</v>
      </c>
      <c r="G53" s="103" t="s">
        <v>698</v>
      </c>
      <c r="H53" s="113" t="str">
        <f>_xlfn.XLOOKUP(identities_t[[#This Row],[Initiative Code]],Codes!A:A,Codes!B:B,"N/A")</f>
        <v>IP</v>
      </c>
      <c r="I53" s="36" t="s">
        <v>1244</v>
      </c>
      <c r="J53" s="36" t="s">
        <v>1244</v>
      </c>
      <c r="K53" s="113" t="s">
        <v>1097</v>
      </c>
      <c r="L53" s="113"/>
      <c r="M53" s="199" t="s">
        <v>305</v>
      </c>
      <c r="N53" s="36" t="str">
        <f>identities_t[[#This Row],[Identity Legal Entity Name (O)]]</f>
        <v>LONGTEX RUBBER INDUSTRY CO. LTD.</v>
      </c>
      <c r="O53" s="36" t="s">
        <v>1113</v>
      </c>
      <c r="P53" s="36" t="s">
        <v>1245</v>
      </c>
      <c r="Q53" s="36" t="s">
        <v>1106</v>
      </c>
      <c r="R53" s="111">
        <v>44406</v>
      </c>
      <c r="S53" s="36" t="s">
        <v>28</v>
      </c>
      <c r="T53" s="133" t="s">
        <v>1246</v>
      </c>
      <c r="U53" s="36" t="str">
        <f>LOWER("OU="&amp;'DB - Identities'!$O53&amp;", O="&amp;'DB - Identities'!$N53&amp;", L="&amp;'DB - Identities'!$P53&amp;", C="&amp;'DB - Identities'!$Q53)</f>
        <v>ou=trade finance, o=longtex rubber industry co. ltd., l=samut prakan, c=th</v>
      </c>
      <c r="V53" s="83" t="str">
        <f>_xlfn.XLOOKUP(identities_t[[#This Row],[Full X500]],'Input 3 - BNO Members'!A:A,'Input 3 - BNO Members'!C:C,"ERROR")</f>
        <v>Active</v>
      </c>
      <c r="W53" s="83">
        <f>_xlfn.XLOOKUP(identities_t[[#This Row],[Full X500]],'Input 3 - BNO Members'!A:A,'Input 3 - BNO Members'!B:B,"ERROR")</f>
        <v>160967364</v>
      </c>
      <c r="X53" s="83">
        <f>_xlfn.XLOOKUP(U:U,'Input 3 - BNO Members'!A:A,'Input 3 - BNO Members'!E:E)</f>
        <v>60100</v>
      </c>
      <c r="Y53" s="83" t="str">
        <f>IF(_xlfn.XLOOKUP(identities_t[[#This Row],[Full X500]],'CNF Sponsorship'!B:B,'CNF Sponsorship'!A:A,"ERROR")&lt;&gt;"ERROR","OK","ERROR")</f>
        <v>ERROR</v>
      </c>
      <c r="Z53" s="83" t="str">
        <f>_xlfn.XLOOKUP(identities_t[[#This Row],[BNO ID]],'Input 1 - Billing Run'!A:A,'Input 1 - Billing Run'!C:C,"NOT FOUND")</f>
        <v>SUCCESS</v>
      </c>
      <c r="AA53" s="37">
        <f>COUNTIF('Input 2 - Transactions'!C:C,identities_t[[#This Row],[BNO ID]])</f>
        <v>0</v>
      </c>
      <c r="AB53" s="37">
        <f>_xlfn.IFNA(_xlfn.XLOOKUP(identities_t[[#This Row],[BNO ID]],'Input 1 - Billing Run'!A:A,'Input 1 - Billing Run'!F:F),0)</f>
        <v>0</v>
      </c>
      <c r="AC53" s="83" t="str">
        <f>IF(_xlfn.XLOOKUP(identities_t[[#This Row],[Full X500]],'BNO Recon'!B:B,'BNO Recon'!AC:AC,"ERROR")&lt;&gt;"ERROR","OK","ERROR")</f>
        <v>OK</v>
      </c>
      <c r="AD53" s="171"/>
    </row>
    <row r="54" spans="1:30">
      <c r="A54" s="83">
        <v>21</v>
      </c>
      <c r="B54" s="36" t="str">
        <f>_xlfn.XLOOKUP(identities_t[[#This Row],[Subscription ID]],'DB - Subscriptions'!A:A,'DB - Subscriptions'!c_parties,"ERROR")</f>
        <v>Sumitomo Mitsui Banking Corporation (SMBC)</v>
      </c>
      <c r="C54" s="83">
        <f ca="1">_xlfn.XLOOKUP(identities_t[[#This Row],[Subscription ID]],'DB - Subscriptions'!A:A,'DB - Subscriptions'!Q:Q)</f>
        <v>264</v>
      </c>
      <c r="D54" s="36" t="str">
        <f>_xlfn.XLOOKUP(identities_t[[#This Row],[Contracting Party]],c_parties,'DB - Contracting Parties'!C:C)</f>
        <v>Bank</v>
      </c>
      <c r="E54" s="36" t="b">
        <f>IF(identities_t[[#This Row],[Contracting Party]]="Contour Pte. Ltd.", TRUE, FALSE)</f>
        <v>0</v>
      </c>
      <c r="F54" s="36" t="s">
        <v>1247</v>
      </c>
      <c r="G54" s="36"/>
      <c r="H54" s="113">
        <f>_xlfn.XLOOKUP(identities_t[[#This Row],[Initiative Code]],Codes!A:A,Codes!B:B,"N/A")</f>
        <v>0</v>
      </c>
      <c r="I54" s="36" t="s">
        <v>1248</v>
      </c>
      <c r="J54" s="36" t="s">
        <v>1248</v>
      </c>
      <c r="K54" s="206" t="s">
        <v>1249</v>
      </c>
      <c r="L54" s="113"/>
      <c r="M54" s="199" t="s">
        <v>1250</v>
      </c>
      <c r="N54" s="36" t="str">
        <f>identities_t[[#This Row],[Identity Legal Entity Name (O)]]</f>
        <v>SUMITOMO MITSUI BANKING CORPORATION SINGAPORE BRANCH</v>
      </c>
      <c r="O54" s="36" t="s">
        <v>1113</v>
      </c>
      <c r="P54" s="36" t="s">
        <v>1024</v>
      </c>
      <c r="Q54" s="36" t="s">
        <v>1025</v>
      </c>
      <c r="R54" s="111">
        <v>44406</v>
      </c>
      <c r="S54" s="36" t="s">
        <v>28</v>
      </c>
      <c r="T54" s="134" t="s">
        <v>1251</v>
      </c>
      <c r="U54" s="36" t="str">
        <f>LOWER("OU="&amp;'DB - Identities'!$O54&amp;", O="&amp;'DB - Identities'!$N54&amp;", L="&amp;'DB - Identities'!$P54&amp;", C="&amp;'DB - Identities'!$Q54)</f>
        <v>ou=trade finance, o=sumitomo mitsui banking corporation singapore branch, l=singapore, c=sg</v>
      </c>
      <c r="V54" s="83" t="str">
        <f>_xlfn.XLOOKUP(identities_t[[#This Row],[Full X500]],'Input 3 - BNO Members'!A:A,'Input 3 - BNO Members'!C:C,"ERROR")</f>
        <v>Active</v>
      </c>
      <c r="W54" s="83">
        <f>_xlfn.XLOOKUP(identities_t[[#This Row],[Full X500]],'Input 3 - BNO Members'!A:A,'Input 3 - BNO Members'!B:B,"ERROR")</f>
        <v>697593286</v>
      </c>
      <c r="X54" s="83">
        <f>_xlfn.XLOOKUP(U:U,'Input 3 - BNO Members'!A:A,'Input 3 - BNO Members'!E:E)</f>
        <v>60100</v>
      </c>
      <c r="Y54" s="83" t="str">
        <f>IF(_xlfn.XLOOKUP(identities_t[[#This Row],[Full X500]],'CNF Sponsorship'!B:B,'CNF Sponsorship'!A:A,"ERROR")&lt;&gt;"ERROR","OK","ERROR")</f>
        <v>ERROR</v>
      </c>
      <c r="Z54" s="83" t="str">
        <f>_xlfn.XLOOKUP(identities_t[[#This Row],[BNO ID]],'Input 1 - Billing Run'!A:A,'Input 1 - Billing Run'!C:C,"NOT FOUND")</f>
        <v>SUCCESS</v>
      </c>
      <c r="AA54" s="37">
        <f>COUNTIF('Input 2 - Transactions'!C:C,identities_t[[#This Row],[BNO ID]])</f>
        <v>0</v>
      </c>
      <c r="AB54" s="37">
        <f>_xlfn.IFNA(_xlfn.XLOOKUP(identities_t[[#This Row],[BNO ID]],'Input 1 - Billing Run'!A:A,'Input 1 - Billing Run'!F:F),0)</f>
        <v>0</v>
      </c>
      <c r="AC54" s="83" t="str">
        <f>IF(_xlfn.XLOOKUP(identities_t[[#This Row],[Full X500]],'BNO Recon'!B:B,'BNO Recon'!AC:AC,"ERROR")&lt;&gt;"ERROR","OK","ERROR")</f>
        <v>OK</v>
      </c>
      <c r="AD54" s="171"/>
    </row>
    <row r="55" spans="1:30">
      <c r="A55" s="83">
        <v>44</v>
      </c>
      <c r="B55" s="36" t="str">
        <f>_xlfn.XLOOKUP(identities_t[[#This Row],[Subscription ID]],'DB - Subscriptions'!A:A,'DB - Subscriptions'!c_parties,"ERROR")</f>
        <v>Singapore (Cogeneration) Steel Pte Ltd</v>
      </c>
      <c r="C55" s="83">
        <f ca="1">_xlfn.XLOOKUP(identities_t[[#This Row],[Subscription ID]],'DB - Subscriptions'!A:A,'DB - Subscriptions'!Q:Q)</f>
        <v>325</v>
      </c>
      <c r="D55" s="36" t="str">
        <f>_xlfn.XLOOKUP(identities_t[[#This Row],[Contracting Party]],c_parties,'DB - Contracting Parties'!C:C)</f>
        <v>Corporate</v>
      </c>
      <c r="E55" s="36" t="b">
        <f>IF(identities_t[[#This Row],[Contracting Party]]="Contour Pte. Ltd.", TRUE, FALSE)</f>
        <v>0</v>
      </c>
      <c r="F55" s="36" t="s">
        <v>1252</v>
      </c>
      <c r="G55" s="103" t="s">
        <v>781</v>
      </c>
      <c r="H55" s="113" t="str">
        <f>_xlfn.XLOOKUP(identities_t[[#This Row],[Initiative Code]],Codes!A:A,Codes!B:B,"N/A")</f>
        <v>CWP</v>
      </c>
      <c r="I55" s="36" t="s">
        <v>1253</v>
      </c>
      <c r="J55" s="36" t="s">
        <v>1253</v>
      </c>
      <c r="K55" s="113" t="s">
        <v>1097</v>
      </c>
      <c r="L55" s="187" t="s">
        <v>300</v>
      </c>
      <c r="M55" s="199" t="s">
        <v>299</v>
      </c>
      <c r="N55" s="36" t="str">
        <f>identities_t[[#This Row],[Identity Legal Entity Name (O)]]</f>
        <v>SINGAPORE (COGENERATION) STEEL PTE. LTD.</v>
      </c>
      <c r="O55" s="36" t="s">
        <v>1113</v>
      </c>
      <c r="P55" s="36" t="s">
        <v>1024</v>
      </c>
      <c r="Q55" s="36" t="s">
        <v>1025</v>
      </c>
      <c r="R55" s="111">
        <v>44406</v>
      </c>
      <c r="S55" s="36" t="s">
        <v>28</v>
      </c>
      <c r="T55" s="134" t="s">
        <v>1254</v>
      </c>
      <c r="U55" s="36" t="str">
        <f>LOWER("OU="&amp;'DB - Identities'!$O55&amp;", O="&amp;'DB - Identities'!$N55&amp;", L="&amp;'DB - Identities'!$P55&amp;", C="&amp;'DB - Identities'!$Q55)</f>
        <v>ou=trade finance, o=singapore (cogeneration) steel pte. ltd., l=singapore, c=sg</v>
      </c>
      <c r="V55" s="83" t="str">
        <f>_xlfn.XLOOKUP(identities_t[[#This Row],[Full X500]],'Input 3 - BNO Members'!A:A,'Input 3 - BNO Members'!C:C,"ERROR")</f>
        <v>Active</v>
      </c>
      <c r="W55" s="83">
        <f>_xlfn.XLOOKUP(identities_t[[#This Row],[Full X500]],'Input 3 - BNO Members'!A:A,'Input 3 - BNO Members'!B:B,"ERROR")</f>
        <v>672528621</v>
      </c>
      <c r="X55" s="83">
        <f>_xlfn.XLOOKUP(U:U,'Input 3 - BNO Members'!A:A,'Input 3 - BNO Members'!E:E)</f>
        <v>60100</v>
      </c>
      <c r="Y55" s="83" t="str">
        <f>IF(_xlfn.XLOOKUP(identities_t[[#This Row],[Full X500]],'CNF Sponsorship'!B:B,'CNF Sponsorship'!A:A,"ERROR")&lt;&gt;"ERROR","OK","ERROR")</f>
        <v>ERROR</v>
      </c>
      <c r="Z55" s="83" t="str">
        <f>_xlfn.XLOOKUP(identities_t[[#This Row],[BNO ID]],'Input 1 - Billing Run'!A:A,'Input 1 - Billing Run'!C:C,"NOT FOUND")</f>
        <v>SUCCESS</v>
      </c>
      <c r="AA55" s="37">
        <f>COUNTIF('Input 2 - Transactions'!C:C,identities_t[[#This Row],[BNO ID]])</f>
        <v>0</v>
      </c>
      <c r="AB55" s="37">
        <f>_xlfn.IFNA(_xlfn.XLOOKUP(identities_t[[#This Row],[BNO ID]],'Input 1 - Billing Run'!A:A,'Input 1 - Billing Run'!F:F),0)</f>
        <v>0</v>
      </c>
      <c r="AC55" s="83" t="str">
        <f>IF(_xlfn.XLOOKUP(identities_t[[#This Row],[Full X500]],'BNO Recon'!B:B,'BNO Recon'!AC:AC,"ERROR")&lt;&gt;"ERROR","OK","ERROR")</f>
        <v>OK</v>
      </c>
      <c r="AD55" s="171"/>
    </row>
    <row r="56" spans="1:30">
      <c r="A56" s="83">
        <v>47</v>
      </c>
      <c r="B56" s="36" t="str">
        <f>_xlfn.XLOOKUP(identities_t[[#This Row],[Subscription ID]],'DB - Subscriptions'!A:A,'DB - Subscriptions'!c_parties,"ERROR")</f>
        <v>Anglo American Marketing Limited, Singapore Branch</v>
      </c>
      <c r="C56" s="83">
        <f ca="1">_xlfn.XLOOKUP(identities_t[[#This Row],[Subscription ID]],'DB - Subscriptions'!A:A,'DB - Subscriptions'!Q:Q)</f>
        <v>325</v>
      </c>
      <c r="D56" s="36" t="e">
        <f>_xlfn.XLOOKUP(identities_t[[#This Row],[Contracting Party]],c_parties,'DB - Contracting Parties'!C:C)</f>
        <v>#N/A</v>
      </c>
      <c r="E56" s="36" t="b">
        <f>IF(identities_t[[#This Row],[Contracting Party]]="Contour Pte. Ltd.", TRUE, FALSE)</f>
        <v>0</v>
      </c>
      <c r="F56" s="36" t="s">
        <v>1255</v>
      </c>
      <c r="G56" s="36"/>
      <c r="H56" s="113">
        <f>_xlfn.XLOOKUP(identities_t[[#This Row],[Initiative Code]],Codes!A:A,Codes!B:B,"N/A")</f>
        <v>0</v>
      </c>
      <c r="I56" s="36" t="s">
        <v>1256</v>
      </c>
      <c r="J56" s="36" t="s">
        <v>1256</v>
      </c>
      <c r="K56" s="113" t="s">
        <v>1097</v>
      </c>
      <c r="L56" s="113"/>
      <c r="M56" s="198" t="s">
        <v>317</v>
      </c>
      <c r="N56" s="36" t="str">
        <f>identities_t[[#This Row],[Identity Legal Entity Name (O)]]</f>
        <v>Anglo American Marketing Limited Singapore Branch</v>
      </c>
      <c r="O56" s="36" t="s">
        <v>1113</v>
      </c>
      <c r="P56" s="36" t="s">
        <v>1024</v>
      </c>
      <c r="Q56" s="36" t="s">
        <v>1025</v>
      </c>
      <c r="R56" s="111">
        <v>44413</v>
      </c>
      <c r="S56" s="36" t="s">
        <v>28</v>
      </c>
      <c r="T56" t="s">
        <v>1257</v>
      </c>
      <c r="U56" s="36" t="str">
        <f>LOWER("OU="&amp;'DB - Identities'!$O56&amp;", O="&amp;'DB - Identities'!$N56&amp;", L="&amp;'DB - Identities'!$P56&amp;", C="&amp;'DB - Identities'!$Q56)</f>
        <v>ou=trade finance, o=anglo american marketing limited singapore branch, l=singapore, c=sg</v>
      </c>
      <c r="V56" s="83" t="str">
        <f>_xlfn.XLOOKUP(identities_t[[#This Row],[Full X500]],'Input 3 - BNO Members'!A:A,'Input 3 - BNO Members'!C:C,"ERROR")</f>
        <v>Active</v>
      </c>
      <c r="W56" s="83">
        <f>_xlfn.XLOOKUP(identities_t[[#This Row],[Full X500]],'Input 3 - BNO Members'!A:A,'Input 3 - BNO Members'!B:B,"ERROR")</f>
        <v>839391795</v>
      </c>
      <c r="X56" s="83">
        <f>_xlfn.XLOOKUP(U:U,'Input 3 - BNO Members'!A:A,'Input 3 - BNO Members'!E:E)</f>
        <v>60100</v>
      </c>
      <c r="Y56" s="83" t="str">
        <f>IF(_xlfn.XLOOKUP(identities_t[[#This Row],[Full X500]],'CNF Sponsorship'!B:B,'CNF Sponsorship'!A:A,"ERROR")&lt;&gt;"ERROR","OK","ERROR")</f>
        <v>ERROR</v>
      </c>
      <c r="Z56" s="83" t="str">
        <f>_xlfn.XLOOKUP(identities_t[[#This Row],[BNO ID]],'Input 1 - Billing Run'!A:A,'Input 1 - Billing Run'!C:C,"NOT FOUND")</f>
        <v>SUCCESS</v>
      </c>
      <c r="AA56" s="37">
        <f>COUNTIF('Input 2 - Transactions'!C:C,identities_t[[#This Row],[BNO ID]])</f>
        <v>0</v>
      </c>
      <c r="AB56" s="37">
        <f>_xlfn.IFNA(_xlfn.XLOOKUP(identities_t[[#This Row],[BNO ID]],'Input 1 - Billing Run'!A:A,'Input 1 - Billing Run'!F:F),0)</f>
        <v>0</v>
      </c>
      <c r="AC56" s="83" t="str">
        <f>IF(_xlfn.XLOOKUP(identities_t[[#This Row],[Full X500]],'BNO Recon'!B:B,'BNO Recon'!AC:AC,"ERROR")&lt;&gt;"ERROR","OK","ERROR")</f>
        <v>OK</v>
      </c>
      <c r="AD56" s="171"/>
    </row>
    <row r="57" spans="1:30">
      <c r="A57" s="83">
        <v>48</v>
      </c>
      <c r="B57" s="36" t="str">
        <f>_xlfn.XLOOKUP(identities_t[[#This Row],[Subscription ID]],'DB - Subscriptions'!A:A,'DB - Subscriptions'!c_parties,"ERROR")</f>
        <v>THAI ACRYLIC FIBRE CO. LTD.</v>
      </c>
      <c r="C57" s="83">
        <f ca="1">_xlfn.XLOOKUP(identities_t[[#This Row],[Subscription ID]],'DB - Subscriptions'!A:A,'DB - Subscriptions'!Q:Q)</f>
        <v>356</v>
      </c>
      <c r="D57" s="36" t="str">
        <f>_xlfn.XLOOKUP(identities_t[[#This Row],[Contracting Party]],c_parties,'DB - Contracting Parties'!C:C)</f>
        <v>Corporate</v>
      </c>
      <c r="E57" s="36" t="b">
        <f>IF(identities_t[[#This Row],[Contracting Party]]="Contour Pte. Ltd.", TRUE, FALSE)</f>
        <v>0</v>
      </c>
      <c r="F57" s="36" t="s">
        <v>1258</v>
      </c>
      <c r="G57" s="103" t="s">
        <v>695</v>
      </c>
      <c r="H57" s="113" t="str">
        <f>_xlfn.XLOOKUP(identities_t[[#This Row],[Initiative Code]],Codes!A:A,Codes!B:B,"N/A")</f>
        <v>IP</v>
      </c>
      <c r="I57" s="210" t="s">
        <v>1259</v>
      </c>
      <c r="J57" s="36" t="s">
        <v>1259</v>
      </c>
      <c r="K57" s="113" t="s">
        <v>1097</v>
      </c>
      <c r="L57" s="113"/>
      <c r="M57" s="198" t="s">
        <v>319</v>
      </c>
      <c r="N57" s="36" t="str">
        <f>identities_t[[#This Row],[Identity Legal Entity Name (O)]]</f>
        <v>THAI ACRYLIC FIBRE COMPANY LIMITED</v>
      </c>
      <c r="O57" s="36" t="s">
        <v>1113</v>
      </c>
      <c r="P57" s="36" t="s">
        <v>1105</v>
      </c>
      <c r="Q57" s="36" t="s">
        <v>1106</v>
      </c>
      <c r="R57" s="111">
        <v>44413</v>
      </c>
      <c r="S57" s="36" t="s">
        <v>28</v>
      </c>
      <c r="T57" s="36" t="s">
        <v>1260</v>
      </c>
      <c r="U57" s="36" t="str">
        <f>LOWER("OU="&amp;'DB - Identities'!$O57&amp;", O="&amp;'DB - Identities'!$N57&amp;", L="&amp;'DB - Identities'!$P57&amp;", C="&amp;'DB - Identities'!$Q57)</f>
        <v>ou=trade finance, o=thai acrylic fibre company limited, l=bangkok, c=th</v>
      </c>
      <c r="V57" s="83" t="str">
        <f>_xlfn.XLOOKUP(identities_t[[#This Row],[Full X500]],'Input 3 - BNO Members'!A:A,'Input 3 - BNO Members'!C:C,"ERROR")</f>
        <v>Active</v>
      </c>
      <c r="W57" s="83">
        <f>_xlfn.XLOOKUP(identities_t[[#This Row],[Full X500]],'Input 3 - BNO Members'!A:A,'Input 3 - BNO Members'!B:B,"ERROR")</f>
        <v>214986782</v>
      </c>
      <c r="X57" s="83">
        <f>_xlfn.XLOOKUP(U:U,'Input 3 - BNO Members'!A:A,'Input 3 - BNO Members'!E:E)</f>
        <v>60100</v>
      </c>
      <c r="Y57" s="83" t="str">
        <f>IF(_xlfn.XLOOKUP(identities_t[[#This Row],[Full X500]],'CNF Sponsorship'!B:B,'CNF Sponsorship'!A:A,"ERROR")&lt;&gt;"ERROR","OK","ERROR")</f>
        <v>ERROR</v>
      </c>
      <c r="Z57" s="83" t="str">
        <f>_xlfn.XLOOKUP(identities_t[[#This Row],[BNO ID]],'Input 1 - Billing Run'!A:A,'Input 1 - Billing Run'!C:C,"NOT FOUND")</f>
        <v>SUCCESS</v>
      </c>
      <c r="AA57" s="37">
        <f>COUNTIF('Input 2 - Transactions'!C:C,identities_t[[#This Row],[BNO ID]])</f>
        <v>0</v>
      </c>
      <c r="AB57" s="37">
        <f>_xlfn.IFNA(_xlfn.XLOOKUP(identities_t[[#This Row],[BNO ID]],'Input 1 - Billing Run'!A:A,'Input 1 - Billing Run'!F:F),0)</f>
        <v>0</v>
      </c>
      <c r="AC57" s="83" t="str">
        <f>IF(_xlfn.XLOOKUP(identities_t[[#This Row],[Full X500]],'BNO Recon'!B:B,'BNO Recon'!AC:AC,"ERROR")&lt;&gt;"ERROR","OK","ERROR")</f>
        <v>OK</v>
      </c>
      <c r="AD57" s="171"/>
    </row>
    <row r="58" spans="1:30">
      <c r="A58" s="83">
        <v>46</v>
      </c>
      <c r="B58" s="36" t="str">
        <f>_xlfn.XLOOKUP(identities_t[[#This Row],[Subscription ID]],'DB - Subscriptions'!A:A,'DB - Subscriptions'!c_parties,"ERROR")</f>
        <v>Anglo American Marketing Limited</v>
      </c>
      <c r="C58" s="83">
        <f ca="1">_xlfn.XLOOKUP(identities_t[[#This Row],[Subscription ID]],'DB - Subscriptions'!A:A,'DB - Subscriptions'!Q:Q)</f>
        <v>325</v>
      </c>
      <c r="D58" s="36" t="str">
        <f>_xlfn.XLOOKUP(identities_t[[#This Row],[Contracting Party]],c_parties,'DB - Contracting Parties'!C:C)</f>
        <v>Corporate</v>
      </c>
      <c r="E58" s="36" t="b">
        <f>IF(identities_t[[#This Row],[Contracting Party]]="Contour Pte. Ltd.", TRUE, FALSE)</f>
        <v>0</v>
      </c>
      <c r="F58" s="36" t="s">
        <v>1261</v>
      </c>
      <c r="G58" s="36"/>
      <c r="H58" s="113">
        <f>_xlfn.XLOOKUP(identities_t[[#This Row],[Initiative Code]],Codes!A:A,Codes!B:B,"N/A")</f>
        <v>0</v>
      </c>
      <c r="I58" s="36" t="s">
        <v>310</v>
      </c>
      <c r="J58" s="36" t="s">
        <v>310</v>
      </c>
      <c r="K58" s="113" t="s">
        <v>1097</v>
      </c>
      <c r="L58" s="202" t="s">
        <v>312</v>
      </c>
      <c r="M58" s="200" t="s">
        <v>311</v>
      </c>
      <c r="N58" s="36" t="str">
        <f>identities_t[[#This Row],[Identity Legal Entity Name (O)]]</f>
        <v>Anglo American Marketing Limited</v>
      </c>
      <c r="O58" s="36" t="s">
        <v>1113</v>
      </c>
      <c r="P58" s="36" t="s">
        <v>1262</v>
      </c>
      <c r="Q58" s="36" t="s">
        <v>1263</v>
      </c>
      <c r="R58" s="111">
        <v>44414</v>
      </c>
      <c r="S58" s="36" t="s">
        <v>28</v>
      </c>
      <c r="T58" s="36" t="s">
        <v>1264</v>
      </c>
      <c r="U58" s="36" t="str">
        <f>LOWER("OU="&amp;'DB - Identities'!$O58&amp;", O="&amp;'DB - Identities'!$N58&amp;", L="&amp;'DB - Identities'!$P58&amp;", C="&amp;'DB - Identities'!$Q58)</f>
        <v>ou=trade finance, o=anglo american marketing limited, l=london, c=gb</v>
      </c>
      <c r="V58" s="83" t="str">
        <f>_xlfn.XLOOKUP(identities_t[[#This Row],[Full X500]],'Input 3 - BNO Members'!A:A,'Input 3 - BNO Members'!C:C,"ERROR")</f>
        <v>Active</v>
      </c>
      <c r="W58" s="83">
        <f>_xlfn.XLOOKUP(identities_t[[#This Row],[Full X500]],'Input 3 - BNO Members'!A:A,'Input 3 - BNO Members'!B:B,"ERROR")</f>
        <v>698169473</v>
      </c>
      <c r="X58" s="83">
        <f>_xlfn.XLOOKUP(U:U,'Input 3 - BNO Members'!A:A,'Input 3 - BNO Members'!E:E)</f>
        <v>60100</v>
      </c>
      <c r="Y58" s="83" t="str">
        <f>IF(_xlfn.XLOOKUP(identities_t[[#This Row],[Full X500]],'CNF Sponsorship'!B:B,'CNF Sponsorship'!A:A,"ERROR")&lt;&gt;"ERROR","OK","ERROR")</f>
        <v>ERROR</v>
      </c>
      <c r="Z58" s="83" t="str">
        <f>_xlfn.XLOOKUP(identities_t[[#This Row],[BNO ID]],'Input 1 - Billing Run'!A:A,'Input 1 - Billing Run'!C:C,"NOT FOUND")</f>
        <v>SUCCESS</v>
      </c>
      <c r="AA58" s="37">
        <f>COUNTIF('Input 2 - Transactions'!C:C,identities_t[[#This Row],[BNO ID]])</f>
        <v>0</v>
      </c>
      <c r="AB58" s="37">
        <f>_xlfn.IFNA(_xlfn.XLOOKUP(identities_t[[#This Row],[BNO ID]],'Input 1 - Billing Run'!A:A,'Input 1 - Billing Run'!F:F),0)</f>
        <v>0</v>
      </c>
      <c r="AC58" s="83" t="str">
        <f>IF(_xlfn.XLOOKUP(identities_t[[#This Row],[Full X500]],'BNO Recon'!B:B,'BNO Recon'!AC:AC,"ERROR")&lt;&gt;"ERROR","OK","ERROR")</f>
        <v>OK</v>
      </c>
      <c r="AD58" s="171"/>
    </row>
    <row r="59" spans="1:30">
      <c r="A59" s="83">
        <v>49</v>
      </c>
      <c r="B59" s="36" t="str">
        <f>_xlfn.XLOOKUP(identities_t[[#This Row],[Subscription ID]],'DB - Subscriptions'!A:A,'DB - Subscriptions'!c_parties,"ERROR")</f>
        <v>WIN FAITH TRADING LIMITED</v>
      </c>
      <c r="C59" s="83">
        <f ca="1">_xlfn.XLOOKUP(identities_t[[#This Row],[Subscription ID]],'DB - Subscriptions'!A:A,'DB - Subscriptions'!Q:Q)</f>
        <v>356</v>
      </c>
      <c r="D59" s="36" t="str">
        <f>_xlfn.XLOOKUP(identities_t[[#This Row],[Contracting Party]],c_parties,'DB - Contracting Parties'!C:C)</f>
        <v>Corporate</v>
      </c>
      <c r="E59" s="36" t="b">
        <f>IF(identities_t[[#This Row],[Contracting Party]]="Contour Pte. Ltd.", TRUE, FALSE)</f>
        <v>0</v>
      </c>
      <c r="F59" s="36" t="s">
        <v>1265</v>
      </c>
      <c r="G59" s="103" t="s">
        <v>482</v>
      </c>
      <c r="H59" s="113" t="str">
        <f>_xlfn.XLOOKUP(identities_t[[#This Row],[Initiative Code]],Codes!A:A,Codes!B:B,"N/A")</f>
        <v>CWP</v>
      </c>
      <c r="I59" s="36" t="s">
        <v>324</v>
      </c>
      <c r="J59" s="36" t="s">
        <v>324</v>
      </c>
      <c r="K59" s="113" t="s">
        <v>1097</v>
      </c>
      <c r="L59" s="113"/>
      <c r="M59" s="199" t="s">
        <v>325</v>
      </c>
      <c r="N59" s="36" t="str">
        <f>identities_t[[#This Row],[Identity Legal Entity Name (O)]]</f>
        <v>WIN FAITH TRADING LIMITED</v>
      </c>
      <c r="O59" s="36" t="s">
        <v>1113</v>
      </c>
      <c r="P59" s="36" t="s">
        <v>1128</v>
      </c>
      <c r="Q59" s="36" t="s">
        <v>1019</v>
      </c>
      <c r="R59" s="111">
        <v>44419</v>
      </c>
      <c r="S59" s="36" t="s">
        <v>28</v>
      </c>
      <c r="T59" s="36" t="s">
        <v>1266</v>
      </c>
      <c r="U59" s="36" t="str">
        <f>LOWER("OU="&amp;'DB - Identities'!$O59&amp;", O="&amp;'DB - Identities'!$N59&amp;", L="&amp;'DB - Identities'!$P59&amp;", C="&amp;'DB - Identities'!$Q59)</f>
        <v>ou=trade finance, o=win faith trading limited, l=hong kong, c=hk</v>
      </c>
      <c r="V59" s="83" t="str">
        <f>_xlfn.XLOOKUP(identities_t[[#This Row],[Full X500]],'Input 3 - BNO Members'!A:A,'Input 3 - BNO Members'!C:C,"ERROR")</f>
        <v>Active</v>
      </c>
      <c r="W59" s="83">
        <f>_xlfn.XLOOKUP(identities_t[[#This Row],[Full X500]],'Input 3 - BNO Members'!A:A,'Input 3 - BNO Members'!B:B,"ERROR")</f>
        <v>180770833</v>
      </c>
      <c r="X59" s="83">
        <f>_xlfn.XLOOKUP(U:U,'Input 3 - BNO Members'!A:A,'Input 3 - BNO Members'!E:E)</f>
        <v>60100</v>
      </c>
      <c r="Y59" s="83" t="str">
        <f>IF(_xlfn.XLOOKUP(identities_t[[#This Row],[Full X500]],'CNF Sponsorship'!B:B,'CNF Sponsorship'!A:A,"ERROR")&lt;&gt;"ERROR","OK","ERROR")</f>
        <v>ERROR</v>
      </c>
      <c r="Z59" s="83" t="str">
        <f>_xlfn.XLOOKUP(identities_t[[#This Row],[BNO ID]],'Input 1 - Billing Run'!A:A,'Input 1 - Billing Run'!C:C,"NOT FOUND")</f>
        <v>SUCCESS</v>
      </c>
      <c r="AA59" s="37">
        <f>COUNTIF('Input 2 - Transactions'!C:C,identities_t[[#This Row],[BNO ID]])</f>
        <v>0</v>
      </c>
      <c r="AB59" s="37">
        <f>_xlfn.IFNA(_xlfn.XLOOKUP(identities_t[[#This Row],[BNO ID]],'Input 1 - Billing Run'!A:A,'Input 1 - Billing Run'!F:F),0)</f>
        <v>0</v>
      </c>
      <c r="AC59" s="83" t="str">
        <f>IF(_xlfn.XLOOKUP(identities_t[[#This Row],[Full X500]],'BNO Recon'!B:B,'BNO Recon'!AC:AC,"ERROR")&lt;&gt;"ERROR","OK","ERROR")</f>
        <v>OK</v>
      </c>
      <c r="AD59" s="171"/>
    </row>
    <row r="60" spans="1:30">
      <c r="A60" s="83">
        <v>52</v>
      </c>
      <c r="B60" s="36" t="str">
        <f>_xlfn.XLOOKUP(identities_t[[#This Row],[Subscription ID]],'DB - Subscriptions'!A:A,'DB - Subscriptions'!c_parties,"ERROR")</f>
        <v>HBIS Group Singapore Pte Ltd</v>
      </c>
      <c r="C60" s="83">
        <f ca="1">_xlfn.XLOOKUP(identities_t[[#This Row],[Subscription ID]],'DB - Subscriptions'!A:A,'DB - Subscriptions'!Q:Q)</f>
        <v>356</v>
      </c>
      <c r="D60" s="36" t="str">
        <f>_xlfn.XLOOKUP(identities_t[[#This Row],[Contracting Party]],c_parties,'DB - Contracting Parties'!C:C)</f>
        <v>Corporate</v>
      </c>
      <c r="E60" s="36" t="b">
        <f>IF(identities_t[[#This Row],[Contracting Party]]="Contour Pte. Ltd.", TRUE, FALSE)</f>
        <v>0</v>
      </c>
      <c r="F60" s="36" t="s">
        <v>1267</v>
      </c>
      <c r="G60" s="103" t="s">
        <v>471</v>
      </c>
      <c r="H60" s="113" t="str">
        <f>_xlfn.XLOOKUP(identities_t[[#This Row],[Initiative Code]],Codes!A:A,Codes!B:B,"N/A")</f>
        <v>CWP</v>
      </c>
      <c r="I60" s="36" t="s">
        <v>1268</v>
      </c>
      <c r="J60" s="36" t="s">
        <v>1268</v>
      </c>
      <c r="K60" s="113" t="s">
        <v>1097</v>
      </c>
      <c r="L60" s="202" t="s">
        <v>343</v>
      </c>
      <c r="M60" s="198" t="s">
        <v>342</v>
      </c>
      <c r="N60" s="36" t="str">
        <f>identities_t[[#This Row],[Identity Legal Entity Name (O)]]</f>
        <v>HBIS GROUP SINGAPORE PTE. LTD.</v>
      </c>
      <c r="O60" s="36" t="s">
        <v>1113</v>
      </c>
      <c r="P60" s="36" t="s">
        <v>1024</v>
      </c>
      <c r="Q60" s="36" t="s">
        <v>1025</v>
      </c>
      <c r="R60" s="111">
        <v>44419</v>
      </c>
      <c r="S60" s="36" t="s">
        <v>28</v>
      </c>
      <c r="T60" s="36" t="s">
        <v>1269</v>
      </c>
      <c r="U60" s="36" t="str">
        <f>LOWER("OU="&amp;'DB - Identities'!$O60&amp;", O="&amp;'DB - Identities'!$N60&amp;", L="&amp;'DB - Identities'!$P60&amp;", C="&amp;'DB - Identities'!$Q60)</f>
        <v>ou=trade finance, o=hbis group singapore pte. ltd., l=singapore, c=sg</v>
      </c>
      <c r="V60" s="83" t="str">
        <f>_xlfn.XLOOKUP(identities_t[[#This Row],[Full X500]],'Input 3 - BNO Members'!A:A,'Input 3 - BNO Members'!C:C,"ERROR")</f>
        <v>Active</v>
      </c>
      <c r="W60" s="83">
        <f>_xlfn.XLOOKUP(identities_t[[#This Row],[Full X500]],'Input 3 - BNO Members'!A:A,'Input 3 - BNO Members'!B:B,"ERROR")</f>
        <v>755701683</v>
      </c>
      <c r="X60" s="83">
        <f>_xlfn.XLOOKUP(U:U,'Input 3 - BNO Members'!A:A,'Input 3 - BNO Members'!E:E)</f>
        <v>60100</v>
      </c>
      <c r="Y60" s="83" t="str">
        <f>IF(_xlfn.XLOOKUP(identities_t[[#This Row],[Full X500]],'CNF Sponsorship'!B:B,'CNF Sponsorship'!A:A,"ERROR")&lt;&gt;"ERROR","OK","ERROR")</f>
        <v>ERROR</v>
      </c>
      <c r="Z60" s="83" t="str">
        <f>_xlfn.XLOOKUP(identities_t[[#This Row],[BNO ID]],'Input 1 - Billing Run'!A:A,'Input 1 - Billing Run'!C:C,"NOT FOUND")</f>
        <v>SUCCESS</v>
      </c>
      <c r="AA60" s="37">
        <f>COUNTIF('Input 2 - Transactions'!C:C,identities_t[[#This Row],[BNO ID]])</f>
        <v>0</v>
      </c>
      <c r="AB60" s="37">
        <f>_xlfn.IFNA(_xlfn.XLOOKUP(identities_t[[#This Row],[BNO ID]],'Input 1 - Billing Run'!A:A,'Input 1 - Billing Run'!F:F),0)</f>
        <v>0</v>
      </c>
      <c r="AC60" s="83" t="str">
        <f>IF(_xlfn.XLOOKUP(identities_t[[#This Row],[Full X500]],'BNO Recon'!B:B,'BNO Recon'!AC:AC,"ERROR")&lt;&gt;"ERROR","OK","ERROR")</f>
        <v>OK</v>
      </c>
      <c r="AD60" s="171"/>
    </row>
    <row r="61" spans="1:30">
      <c r="A61" s="83">
        <v>50</v>
      </c>
      <c r="B61" s="36" t="str">
        <f>_xlfn.XLOOKUP(identities_t[[#This Row],[Subscription ID]],'DB - Subscriptions'!A:A,'DB - Subscriptions'!c_parties,"ERROR")</f>
        <v>PT Chandra Asri Petrochemical Tbk</v>
      </c>
      <c r="C61" s="83">
        <f ca="1">_xlfn.XLOOKUP(identities_t[[#This Row],[Subscription ID]],'DB - Subscriptions'!A:A,'DB - Subscriptions'!Q:Q)</f>
        <v>325</v>
      </c>
      <c r="D61" s="36" t="str">
        <f>_xlfn.XLOOKUP(identities_t[[#This Row],[Contracting Party]],c_parties,'DB - Contracting Parties'!C:C)</f>
        <v>Corporate</v>
      </c>
      <c r="E61" s="36" t="b">
        <f>IF(identities_t[[#This Row],[Contracting Party]]="Contour Pte. Ltd.", TRUE, FALSE)</f>
        <v>0</v>
      </c>
      <c r="F61" s="36" t="s">
        <v>1270</v>
      </c>
      <c r="G61" s="103" t="s">
        <v>691</v>
      </c>
      <c r="H61" s="113" t="str">
        <f>_xlfn.XLOOKUP(identities_t[[#This Row],[Initiative Code]],Codes!A:A,Codes!B:B,"N/A")</f>
        <v>CWP</v>
      </c>
      <c r="I61" s="36" t="s">
        <v>1271</v>
      </c>
      <c r="J61" s="36" t="s">
        <v>1271</v>
      </c>
      <c r="K61" s="113" t="s">
        <v>1097</v>
      </c>
      <c r="L61" s="113"/>
      <c r="M61" s="198">
        <v>8120011061265</v>
      </c>
      <c r="N61" s="36" t="str">
        <f>identities_t[[#This Row],[Identity Legal Entity Name (O)]]</f>
        <v>PT. CHANDRA ASRI PETROCHEMICAL TBK</v>
      </c>
      <c r="O61" s="36" t="s">
        <v>1113</v>
      </c>
      <c r="P61" s="36" t="s">
        <v>1059</v>
      </c>
      <c r="Q61" s="36" t="s">
        <v>1060</v>
      </c>
      <c r="R61" s="111">
        <v>44420</v>
      </c>
      <c r="S61" s="36" t="s">
        <v>28</v>
      </c>
      <c r="T61" s="36" t="s">
        <v>1272</v>
      </c>
      <c r="U61" s="36" t="str">
        <f>LOWER("OU="&amp;'DB - Identities'!$O61&amp;", O="&amp;'DB - Identities'!$N61&amp;", L="&amp;'DB - Identities'!$P61&amp;", C="&amp;'DB - Identities'!$Q61)</f>
        <v>ou=trade finance, o=pt. chandra asri petrochemical tbk, l=jakarta, c=id</v>
      </c>
      <c r="V61" s="83" t="str">
        <f>_xlfn.XLOOKUP(identities_t[[#This Row],[Full X500]],'Input 3 - BNO Members'!A:A,'Input 3 - BNO Members'!C:C,"ERROR")</f>
        <v>Active</v>
      </c>
      <c r="W61" s="83">
        <f>_xlfn.XLOOKUP(identities_t[[#This Row],[Full X500]],'Input 3 - BNO Members'!A:A,'Input 3 - BNO Members'!B:B,"ERROR")</f>
        <v>627200948</v>
      </c>
      <c r="X61" s="83">
        <f>_xlfn.XLOOKUP(U:U,'Input 3 - BNO Members'!A:A,'Input 3 - BNO Members'!E:E)</f>
        <v>60100</v>
      </c>
      <c r="Y61" s="83" t="str">
        <f>IF(_xlfn.XLOOKUP(identities_t[[#This Row],[Full X500]],'CNF Sponsorship'!B:B,'CNF Sponsorship'!A:A,"ERROR")&lt;&gt;"ERROR","OK","ERROR")</f>
        <v>ERROR</v>
      </c>
      <c r="Z61" s="83" t="str">
        <f>_xlfn.XLOOKUP(identities_t[[#This Row],[BNO ID]],'Input 1 - Billing Run'!A:A,'Input 1 - Billing Run'!C:C,"NOT FOUND")</f>
        <v>SUCCESS</v>
      </c>
      <c r="AA61" s="37">
        <f>COUNTIF('Input 2 - Transactions'!C:C,identities_t[[#This Row],[BNO ID]])</f>
        <v>0</v>
      </c>
      <c r="AB61" s="37">
        <f>_xlfn.IFNA(_xlfn.XLOOKUP(identities_t[[#This Row],[BNO ID]],'Input 1 - Billing Run'!A:A,'Input 1 - Billing Run'!F:F),0)</f>
        <v>0</v>
      </c>
      <c r="AC61" s="83" t="str">
        <f>IF(_xlfn.XLOOKUP(identities_t[[#This Row],[Full X500]],'BNO Recon'!B:B,'BNO Recon'!AC:AC,"ERROR")&lt;&gt;"ERROR","OK","ERROR")</f>
        <v>OK</v>
      </c>
      <c r="AD61" s="171"/>
    </row>
    <row r="62" spans="1:30">
      <c r="A62" s="83">
        <v>51</v>
      </c>
      <c r="B62" s="36" t="str">
        <f>_xlfn.XLOOKUP(identities_t[[#This Row],[Subscription ID]],'DB - Subscriptions'!A:A,'DB - Subscriptions'!c_parties,"ERROR")</f>
        <v>RANGPUR METAL INDUSTRIES LIMITED</v>
      </c>
      <c r="C62" s="83">
        <f ca="1">_xlfn.XLOOKUP(identities_t[[#This Row],[Subscription ID]],'DB - Subscriptions'!A:A,'DB - Subscriptions'!Q:Q)</f>
        <v>356</v>
      </c>
      <c r="D62" s="36" t="str">
        <f>_xlfn.XLOOKUP(identities_t[[#This Row],[Contracting Party]],c_parties,'DB - Contracting Parties'!C:C)</f>
        <v>Corporate</v>
      </c>
      <c r="E62" s="36" t="b">
        <f>IF(identities_t[[#This Row],[Contracting Party]]="Contour Pte. Ltd.", TRUE, FALSE)</f>
        <v>0</v>
      </c>
      <c r="F62" s="36" t="s">
        <v>1273</v>
      </c>
      <c r="G62" s="103" t="s">
        <v>477</v>
      </c>
      <c r="H62" s="113" t="str">
        <f>_xlfn.XLOOKUP(identities_t[[#This Row],[Initiative Code]],Codes!A:A,Codes!B:B,"N/A")</f>
        <v>CWP</v>
      </c>
      <c r="I62" s="36" t="s">
        <v>335</v>
      </c>
      <c r="J62" s="36" t="s">
        <v>335</v>
      </c>
      <c r="K62" s="113" t="s">
        <v>1097</v>
      </c>
      <c r="L62" s="113"/>
      <c r="M62" s="198" t="s">
        <v>336</v>
      </c>
      <c r="N62" s="36" t="str">
        <f>identities_t[[#This Row],[Identity Legal Entity Name (O)]]</f>
        <v>RANGPUR METAL INDUSTRIES LIMITED</v>
      </c>
      <c r="O62" s="36" t="s">
        <v>1113</v>
      </c>
      <c r="P62" s="36" t="s">
        <v>1274</v>
      </c>
      <c r="Q62" s="36" t="s">
        <v>1031</v>
      </c>
      <c r="R62" s="111">
        <v>44420</v>
      </c>
      <c r="S62" s="36" t="s">
        <v>28</v>
      </c>
      <c r="T62" s="121" t="s">
        <v>1275</v>
      </c>
      <c r="U62" s="36" t="str">
        <f>LOWER("OU="&amp;'DB - Identities'!$O62&amp;", O="&amp;'DB - Identities'!$N62&amp;", L="&amp;'DB - Identities'!$P62&amp;", C="&amp;'DB - Identities'!$Q62)</f>
        <v>ou=trade finance, o=rangpur metal industries limited, l=hobigonj, c=bd</v>
      </c>
      <c r="V62" s="83" t="str">
        <f>_xlfn.XLOOKUP(identities_t[[#This Row],[Full X500]],'Input 3 - BNO Members'!A:A,'Input 3 - BNO Members'!C:C,"ERROR")</f>
        <v>Active</v>
      </c>
      <c r="W62" s="83">
        <f>_xlfn.XLOOKUP(identities_t[[#This Row],[Full X500]],'Input 3 - BNO Members'!A:A,'Input 3 - BNO Members'!B:B,"ERROR")</f>
        <v>16001518</v>
      </c>
      <c r="X62" s="83">
        <f>_xlfn.XLOOKUP(U:U,'Input 3 - BNO Members'!A:A,'Input 3 - BNO Members'!E:E)</f>
        <v>60100</v>
      </c>
      <c r="Y62" s="83" t="str">
        <f>IF(_xlfn.XLOOKUP(identities_t[[#This Row],[Full X500]],'CNF Sponsorship'!B:B,'CNF Sponsorship'!A:A,"ERROR")&lt;&gt;"ERROR","OK","ERROR")</f>
        <v>ERROR</v>
      </c>
      <c r="Z62" s="83" t="str">
        <f>_xlfn.XLOOKUP(identities_t[[#This Row],[BNO ID]],'Input 1 - Billing Run'!A:A,'Input 1 - Billing Run'!C:C,"NOT FOUND")</f>
        <v>SUCCESS</v>
      </c>
      <c r="AA62" s="37">
        <f>COUNTIF('Input 2 - Transactions'!C:C,identities_t[[#This Row],[BNO ID]])</f>
        <v>0</v>
      </c>
      <c r="AB62" s="37">
        <f>_xlfn.IFNA(_xlfn.XLOOKUP(identities_t[[#This Row],[BNO ID]],'Input 1 - Billing Run'!A:A,'Input 1 - Billing Run'!F:F),0)</f>
        <v>0</v>
      </c>
      <c r="AC62" s="83" t="str">
        <f>IF(_xlfn.XLOOKUP(identities_t[[#This Row],[Full X500]],'BNO Recon'!B:B,'BNO Recon'!AC:AC,"ERROR")&lt;&gt;"ERROR","OK","ERROR")</f>
        <v>OK</v>
      </c>
      <c r="AD62" s="171"/>
    </row>
    <row r="63" spans="1:30">
      <c r="A63" s="83">
        <v>54</v>
      </c>
      <c r="B63" s="36" t="str">
        <f>_xlfn.XLOOKUP(identities_t[[#This Row],[Subscription ID]],'DB - Subscriptions'!A:A,'DB - Subscriptions'!c_parties,"ERROR")</f>
        <v>Eldon Development Ltd</v>
      </c>
      <c r="C63" s="83">
        <f ca="1">_xlfn.XLOOKUP(identities_t[[#This Row],[Subscription ID]],'DB - Subscriptions'!A:A,'DB - Subscriptions'!Q:Q)</f>
        <v>356</v>
      </c>
      <c r="D63" s="36" t="str">
        <f>_xlfn.XLOOKUP(identities_t[[#This Row],[Contracting Party]],c_parties,'DB - Contracting Parties'!C:C)</f>
        <v>Corporate</v>
      </c>
      <c r="E63" s="36" t="b">
        <f>IF(identities_t[[#This Row],[Contracting Party]]="Contour Pte. Ltd.", TRUE, FALSE)</f>
        <v>0</v>
      </c>
      <c r="F63" s="36" t="s">
        <v>1276</v>
      </c>
      <c r="G63" s="36"/>
      <c r="H63" s="113">
        <f>_xlfn.XLOOKUP(identities_t[[#This Row],[Initiative Code]],Codes!A:A,Codes!B:B,"N/A")</f>
        <v>0</v>
      </c>
      <c r="I63" s="36" t="s">
        <v>1277</v>
      </c>
      <c r="J63" s="36" t="s">
        <v>1277</v>
      </c>
      <c r="K63" s="113" t="s">
        <v>1097</v>
      </c>
      <c r="L63" s="113"/>
      <c r="M63" s="198">
        <v>249979</v>
      </c>
      <c r="N63" s="36" t="str">
        <f>identities_t[[#This Row],[Identity Legal Entity Name (O)]]</f>
        <v>Eldon Development Limited</v>
      </c>
      <c r="O63" s="36" t="s">
        <v>1113</v>
      </c>
      <c r="P63" s="36" t="s">
        <v>1278</v>
      </c>
      <c r="Q63" s="36" t="s">
        <v>1019</v>
      </c>
      <c r="R63" s="111">
        <v>44426</v>
      </c>
      <c r="S63" s="36" t="s">
        <v>28</v>
      </c>
      <c r="T63" s="134" t="s">
        <v>1279</v>
      </c>
      <c r="U63" s="36" t="str">
        <f>LOWER("OU="&amp;'DB - Identities'!$O63&amp;", O="&amp;'DB - Identities'!$N63&amp;", L="&amp;'DB - Identities'!$P63&amp;", C="&amp;'DB - Identities'!$Q63)</f>
        <v>ou=trade finance, o=eldon development limited, l=wan chai, c=hk</v>
      </c>
      <c r="V63" s="83" t="str">
        <f>_xlfn.XLOOKUP(identities_t[[#This Row],[Full X500]],'Input 3 - BNO Members'!A:A,'Input 3 - BNO Members'!C:C,"ERROR")</f>
        <v>Active</v>
      </c>
      <c r="W63" s="83">
        <f>_xlfn.XLOOKUP(identities_t[[#This Row],[Full X500]],'Input 3 - BNO Members'!A:A,'Input 3 - BNO Members'!B:B,"ERROR")</f>
        <v>863576436</v>
      </c>
      <c r="X63" s="83">
        <f>_xlfn.XLOOKUP(U:U,'Input 3 - BNO Members'!A:A,'Input 3 - BNO Members'!E:E)</f>
        <v>60100</v>
      </c>
      <c r="Y63" s="83" t="str">
        <f>IF(_xlfn.XLOOKUP(identities_t[[#This Row],[Full X500]],'CNF Sponsorship'!B:B,'CNF Sponsorship'!A:A,"ERROR")&lt;&gt;"ERROR","OK","ERROR")</f>
        <v>ERROR</v>
      </c>
      <c r="Z63" s="83" t="str">
        <f>_xlfn.XLOOKUP(identities_t[[#This Row],[BNO ID]],'Input 1 - Billing Run'!A:A,'Input 1 - Billing Run'!C:C,"NOT FOUND")</f>
        <v>SUCCESS</v>
      </c>
      <c r="AA63" s="37">
        <f>COUNTIF('Input 2 - Transactions'!C:C,identities_t[[#This Row],[BNO ID]])</f>
        <v>0</v>
      </c>
      <c r="AB63" s="37">
        <f>_xlfn.IFNA(_xlfn.XLOOKUP(identities_t[[#This Row],[BNO ID]],'Input 1 - Billing Run'!A:A,'Input 1 - Billing Run'!F:F),0)</f>
        <v>0</v>
      </c>
      <c r="AC63" s="83" t="str">
        <f>IF(_xlfn.XLOOKUP(identities_t[[#This Row],[Full X500]],'BNO Recon'!B:B,'BNO Recon'!AC:AC,"ERROR")&lt;&gt;"ERROR","OK","ERROR")</f>
        <v>OK</v>
      </c>
      <c r="AD63" s="171"/>
    </row>
    <row r="64" spans="1:30">
      <c r="A64" s="83">
        <v>55</v>
      </c>
      <c r="B64" s="36" t="str">
        <f>_xlfn.XLOOKUP(identities_t[[#This Row],[Subscription ID]],'DB - Subscriptions'!A:A,'DB - Subscriptions'!c_parties,"ERROR")</f>
        <v>Kumba Singapore Pte Ltd</v>
      </c>
      <c r="C64" s="83">
        <f ca="1">_xlfn.XLOOKUP(identities_t[[#This Row],[Subscription ID]],'DB - Subscriptions'!A:A,'DB - Subscriptions'!Q:Q)</f>
        <v>356</v>
      </c>
      <c r="D64" s="36" t="str">
        <f>_xlfn.XLOOKUP(identities_t[[#This Row],[Contracting Party]],c_parties,'DB - Contracting Parties'!C:C)</f>
        <v>Corporate</v>
      </c>
      <c r="E64" s="36" t="b">
        <f>IF(identities_t[[#This Row],[Contracting Party]]="Contour Pte. Ltd.", TRUE, FALSE)</f>
        <v>0</v>
      </c>
      <c r="F64" s="36" t="s">
        <v>1280</v>
      </c>
      <c r="G64" s="36"/>
      <c r="H64" s="113">
        <f>_xlfn.XLOOKUP(identities_t[[#This Row],[Initiative Code]],Codes!A:A,Codes!B:B,"N/A")</f>
        <v>0</v>
      </c>
      <c r="I64" s="36" t="s">
        <v>358</v>
      </c>
      <c r="J64" s="36" t="s">
        <v>358</v>
      </c>
      <c r="K64" s="113" t="s">
        <v>1097</v>
      </c>
      <c r="L64" s="202" t="s">
        <v>1281</v>
      </c>
      <c r="M64" s="198" t="s">
        <v>359</v>
      </c>
      <c r="N64" s="36" t="str">
        <f>identities_t[[#This Row],[Identity Legal Entity Name (O)]]</f>
        <v>Kumba Singapore Pte Ltd</v>
      </c>
      <c r="O64" s="36" t="s">
        <v>1113</v>
      </c>
      <c r="P64" s="36" t="s">
        <v>1024</v>
      </c>
      <c r="Q64" s="36" t="s">
        <v>1025</v>
      </c>
      <c r="R64" s="111">
        <v>44426</v>
      </c>
      <c r="S64" s="36" t="s">
        <v>28</v>
      </c>
      <c r="T64" s="134" t="s">
        <v>1282</v>
      </c>
      <c r="U64" s="36" t="str">
        <f>LOWER("OU="&amp;'DB - Identities'!$O64&amp;", O="&amp;'DB - Identities'!$N64&amp;", L="&amp;'DB - Identities'!$P64&amp;", C="&amp;'DB - Identities'!$Q64)</f>
        <v>ou=trade finance, o=kumba singapore pte ltd, l=singapore, c=sg</v>
      </c>
      <c r="V64" s="83" t="str">
        <f>_xlfn.XLOOKUP(identities_t[[#This Row],[Full X500]],'Input 3 - BNO Members'!A:A,'Input 3 - BNO Members'!C:C,"ERROR")</f>
        <v>Active</v>
      </c>
      <c r="W64" s="83">
        <f>_xlfn.XLOOKUP(identities_t[[#This Row],[Full X500]],'Input 3 - BNO Members'!A:A,'Input 3 - BNO Members'!B:B,"ERROR")</f>
        <v>157362304</v>
      </c>
      <c r="X64" s="83">
        <f>_xlfn.XLOOKUP(U:U,'Input 3 - BNO Members'!A:A,'Input 3 - BNO Members'!E:E)</f>
        <v>60100</v>
      </c>
      <c r="Y64" s="83" t="str">
        <f>IF(_xlfn.XLOOKUP(identities_t[[#This Row],[Full X500]],'CNF Sponsorship'!B:B,'CNF Sponsorship'!A:A,"ERROR")&lt;&gt;"ERROR","OK","ERROR")</f>
        <v>ERROR</v>
      </c>
      <c r="Z64" s="83" t="str">
        <f>_xlfn.XLOOKUP(identities_t[[#This Row],[BNO ID]],'Input 1 - Billing Run'!A:A,'Input 1 - Billing Run'!C:C,"NOT FOUND")</f>
        <v>SUCCESS</v>
      </c>
      <c r="AA64" s="37">
        <f>COUNTIF('Input 2 - Transactions'!C:C,identities_t[[#This Row],[BNO ID]])</f>
        <v>0</v>
      </c>
      <c r="AB64" s="37">
        <f>_xlfn.IFNA(_xlfn.XLOOKUP(identities_t[[#This Row],[BNO ID]],'Input 1 - Billing Run'!A:A,'Input 1 - Billing Run'!F:F),0)</f>
        <v>0</v>
      </c>
      <c r="AC64" s="83" t="str">
        <f>IF(_xlfn.XLOOKUP(identities_t[[#This Row],[Full X500]],'BNO Recon'!B:B,'BNO Recon'!AC:AC,"ERROR")&lt;&gt;"ERROR","OK","ERROR")</f>
        <v>OK</v>
      </c>
      <c r="AD64" s="171"/>
    </row>
    <row r="65" spans="1:30">
      <c r="A65" s="83">
        <v>53</v>
      </c>
      <c r="B65" s="36" t="str">
        <f>_xlfn.XLOOKUP(identities_t[[#This Row],[Subscription ID]],'DB - Subscriptions'!A:A,'DB - Subscriptions'!c_parties,"ERROR")</f>
        <v>Industrial and Commercial Bank of China (Asia) Limited</v>
      </c>
      <c r="C65" s="83">
        <f ca="1">_xlfn.XLOOKUP(identities_t[[#This Row],[Subscription ID]],'DB - Subscriptions'!A:A,'DB - Subscriptions'!Q:Q)</f>
        <v>356</v>
      </c>
      <c r="D65" s="36" t="str">
        <f>_xlfn.XLOOKUP(identities_t[[#This Row],[Contracting Party]],c_parties,'DB - Contracting Parties'!C:C)</f>
        <v>Bank</v>
      </c>
      <c r="E65" s="36" t="b">
        <f>IF(identities_t[[#This Row],[Contracting Party]]="Contour Pte. Ltd.", TRUE, FALSE)</f>
        <v>0</v>
      </c>
      <c r="F65" s="36" t="s">
        <v>1283</v>
      </c>
      <c r="G65" s="36"/>
      <c r="H65" s="113">
        <f>_xlfn.XLOOKUP(identities_t[[#This Row],[Initiative Code]],Codes!A:A,Codes!B:B,"N/A")</f>
        <v>0</v>
      </c>
      <c r="I65" s="36" t="s">
        <v>1284</v>
      </c>
      <c r="J65" s="36" t="s">
        <v>1284</v>
      </c>
      <c r="K65" s="206" t="s">
        <v>1285</v>
      </c>
      <c r="L65" s="113"/>
      <c r="M65" s="198">
        <v>10837</v>
      </c>
      <c r="N65" s="36" t="str">
        <f>identities_t[[#This Row],[Identity Legal Entity Name (O)]]</f>
        <v>INDUSTRIAL AND COMMERCIAL BANK OF CHINA (ASIA) LIMITED</v>
      </c>
      <c r="O65" s="36" t="s">
        <v>1113</v>
      </c>
      <c r="P65" s="36" t="s">
        <v>1128</v>
      </c>
      <c r="Q65" s="36" t="s">
        <v>1019</v>
      </c>
      <c r="R65" s="111">
        <v>44426</v>
      </c>
      <c r="S65" s="36" t="s">
        <v>28</v>
      </c>
      <c r="T65" s="156" t="s">
        <v>352</v>
      </c>
      <c r="U65" s="36" t="str">
        <f>LOWER("OU="&amp;'DB - Identities'!$O65&amp;", O="&amp;'DB - Identities'!$N65&amp;", L="&amp;'DB - Identities'!$P65&amp;", C="&amp;'DB - Identities'!$Q65)</f>
        <v>ou=trade finance, o=industrial and commercial bank of china (asia) limited, l=hong kong, c=hk</v>
      </c>
      <c r="V65" s="83" t="str">
        <f>_xlfn.XLOOKUP(identities_t[[#This Row],[Full X500]],'Input 3 - BNO Members'!A:A,'Input 3 - BNO Members'!C:C,"ERROR")</f>
        <v>Active</v>
      </c>
      <c r="W65" s="83">
        <f>_xlfn.XLOOKUP(identities_t[[#This Row],[Full X500]],'Input 3 - BNO Members'!A:A,'Input 3 - BNO Members'!B:B,"ERROR")</f>
        <v>187135132</v>
      </c>
      <c r="X65" s="83">
        <f>_xlfn.XLOOKUP(U:U,'Input 3 - BNO Members'!A:A,'Input 3 - BNO Members'!E:E)</f>
        <v>60100</v>
      </c>
      <c r="Y65" s="83" t="str">
        <f>IF(_xlfn.XLOOKUP(identities_t[[#This Row],[Full X500]],'CNF Sponsorship'!B:B,'CNF Sponsorship'!A:A,"ERROR")&lt;&gt;"ERROR","OK","ERROR")</f>
        <v>ERROR</v>
      </c>
      <c r="Z65" s="83" t="str">
        <f>_xlfn.XLOOKUP(identities_t[[#This Row],[BNO ID]],'Input 1 - Billing Run'!A:A,'Input 1 - Billing Run'!C:C,"NOT FOUND")</f>
        <v>SUCCESS</v>
      </c>
      <c r="AA65" s="37">
        <f>COUNTIF('Input 2 - Transactions'!C:C,identities_t[[#This Row],[BNO ID]])</f>
        <v>0</v>
      </c>
      <c r="AB65" s="37">
        <f>_xlfn.IFNA(_xlfn.XLOOKUP(identities_t[[#This Row],[BNO ID]],'Input 1 - Billing Run'!A:A,'Input 1 - Billing Run'!F:F),0)</f>
        <v>0</v>
      </c>
      <c r="AC65" s="83" t="str">
        <f>IF(_xlfn.XLOOKUP(identities_t[[#This Row],[Full X500]],'BNO Recon'!B:B,'BNO Recon'!AC:AC,"ERROR")&lt;&gt;"ERROR","OK","ERROR")</f>
        <v>OK</v>
      </c>
      <c r="AD65" s="171"/>
    </row>
    <row r="66" spans="1:30">
      <c r="A66" s="83">
        <v>58</v>
      </c>
      <c r="B66" s="167" t="str">
        <f>_xlfn.XLOOKUP(identities_t[[#This Row],[Subscription ID]],'DB - Subscriptions'!A:A,'DB - Subscriptions'!c_parties,"ERROR")</f>
        <v>Jidong Development (HK) International Limited</v>
      </c>
      <c r="C66" s="171">
        <f ca="1">_xlfn.XLOOKUP(identities_t[[#This Row],[Subscription ID]],'DB - Subscriptions'!A:A,'DB - Subscriptions'!Q:Q)</f>
        <v>356</v>
      </c>
      <c r="D66" s="167" t="str">
        <f>_xlfn.XLOOKUP(identities_t[[#This Row],[Contracting Party]],c_parties,'DB - Contracting Parties'!C:C)</f>
        <v>Corporate</v>
      </c>
      <c r="E66" s="167" t="b">
        <f>IF(identities_t[[#This Row],[Contracting Party]]="Contour Pte. Ltd.", TRUE, FALSE)</f>
        <v>0</v>
      </c>
      <c r="F66" s="168" t="s">
        <v>1286</v>
      </c>
      <c r="G66" s="169" t="str">
        <f>_xlfn.XLOOKUP(identities_t[[#This Row],[Contracting Party]],Codes!$F:$F,Codes!$A:$A,"NA")</f>
        <v>313H57</v>
      </c>
      <c r="H66" s="170" t="str">
        <f>_xlfn.XLOOKUP(identities_t[[#This Row],[Initiative Code]],Codes!A:A,Codes!B:B,"N/A")</f>
        <v>CWP</v>
      </c>
      <c r="I66" s="167" t="s">
        <v>372</v>
      </c>
      <c r="J66" s="167" t="s">
        <v>372</v>
      </c>
      <c r="K66" s="170" t="s">
        <v>1097</v>
      </c>
      <c r="L66" s="113"/>
      <c r="M66" s="198">
        <v>1704590</v>
      </c>
      <c r="N66" s="36" t="str">
        <f>identities_t[[#This Row],[Identity Legal Entity Name (O)]]</f>
        <v>Jidong Development (HK) International Limited</v>
      </c>
      <c r="O66" s="36" t="s">
        <v>1113</v>
      </c>
      <c r="P66" s="36" t="s">
        <v>1287</v>
      </c>
      <c r="Q66" s="36" t="s">
        <v>1019</v>
      </c>
      <c r="R66" s="111">
        <v>44428</v>
      </c>
      <c r="S66" s="36" t="s">
        <v>28</v>
      </c>
      <c r="T66" s="36" t="s">
        <v>1288</v>
      </c>
      <c r="U66" s="167" t="str">
        <f>LOWER("OU="&amp;'DB - Identities'!$O66&amp;", O="&amp;'DB - Identities'!$N66&amp;", L="&amp;'DB - Identities'!$P66&amp;", C="&amp;'DB - Identities'!$Q66)</f>
        <v>ou=trade finance, o=jidong development (hk) international limited, l=kowloon bay, c=hk</v>
      </c>
      <c r="V66" s="171" t="str">
        <f>_xlfn.XLOOKUP(identities_t[[#This Row],[Full X500]],'Input 3 - BNO Members'!A:A,'Input 3 - BNO Members'!C:C,"ERROR")</f>
        <v>Active</v>
      </c>
      <c r="W66" s="171">
        <f>_xlfn.XLOOKUP(identities_t[[#This Row],[Full X500]],'Input 3 - BNO Members'!A:A,'Input 3 - BNO Members'!B:B,"ERROR")</f>
        <v>786604617</v>
      </c>
      <c r="X66" s="83">
        <f>_xlfn.XLOOKUP(U:U,'Input 3 - BNO Members'!A:A,'Input 3 - BNO Members'!E:E)</f>
        <v>60100</v>
      </c>
      <c r="Y66" s="171" t="str">
        <f>IF(_xlfn.XLOOKUP(identities_t[[#This Row],[Full X500]],'CNF Sponsorship'!B:B,'CNF Sponsorship'!A:A,"ERROR")&lt;&gt;"ERROR","OK","ERROR")</f>
        <v>ERROR</v>
      </c>
      <c r="Z66" s="171" t="str">
        <f>_xlfn.XLOOKUP(identities_t[[#This Row],[BNO ID]],'Input 1 - Billing Run'!A:A,'Input 1 - Billing Run'!C:C,"NOT FOUND")</f>
        <v>SUCCESS</v>
      </c>
      <c r="AA66" s="172">
        <f>COUNTIF('Input 2 - Transactions'!C:C,identities_t[[#This Row],[BNO ID]])</f>
        <v>0</v>
      </c>
      <c r="AB66" s="37">
        <f>_xlfn.IFNA(_xlfn.XLOOKUP(identities_t[[#This Row],[BNO ID]],'Input 1 - Billing Run'!A:A,'Input 1 - Billing Run'!F:F),0)</f>
        <v>0</v>
      </c>
      <c r="AC66" s="171" t="str">
        <f>IF(_xlfn.XLOOKUP(identities_t[[#This Row],[Full X500]],'BNO Recon'!B:B,'BNO Recon'!AC:AC,"ERROR")&lt;&gt;"ERROR","OK","ERROR")</f>
        <v>OK</v>
      </c>
      <c r="AD66" s="171"/>
    </row>
    <row r="67" spans="1:30">
      <c r="A67" s="83">
        <v>60</v>
      </c>
      <c r="B67" s="167" t="str">
        <f>_xlfn.XLOOKUP(identities_t[[#This Row],[Subscription ID]],'DB - Subscriptions'!A:A,'DB - Subscriptions'!c_parties,"ERROR")</f>
        <v>Bajaj Auto Limited</v>
      </c>
      <c r="C67" s="171">
        <f ca="1">_xlfn.XLOOKUP(identities_t[[#This Row],[Subscription ID]],'DB - Subscriptions'!A:A,'DB - Subscriptions'!Q:Q)</f>
        <v>356</v>
      </c>
      <c r="D67" s="167" t="str">
        <f>_xlfn.XLOOKUP(identities_t[[#This Row],[Contracting Party]],c_parties,'DB - Contracting Parties'!C:C)</f>
        <v>Corporate</v>
      </c>
      <c r="E67" s="167" t="b">
        <f>IF(identities_t[[#This Row],[Contracting Party]]="Contour Pte. Ltd.", TRUE, FALSE)</f>
        <v>0</v>
      </c>
      <c r="F67" s="168" t="s">
        <v>1289</v>
      </c>
      <c r="G67" s="169" t="str">
        <f>_xlfn.XLOOKUP(identities_t[[#This Row],[Contracting Party]],Codes!$F:$F,Codes!$A:$A,"NA")</f>
        <v>743V98</v>
      </c>
      <c r="H67" s="170" t="str">
        <f>_xlfn.XLOOKUP(identities_t[[#This Row],[Initiative Code]],Codes!A:A,Codes!B:B,"N/A")</f>
        <v>CWP</v>
      </c>
      <c r="I67" s="167" t="s">
        <v>379</v>
      </c>
      <c r="J67" s="167" t="s">
        <v>379</v>
      </c>
      <c r="K67" s="170" t="s">
        <v>1097</v>
      </c>
      <c r="L67" s="202" t="s">
        <v>380</v>
      </c>
      <c r="M67" s="198">
        <v>130076</v>
      </c>
      <c r="N67" s="36" t="str">
        <f>identities_t[[#This Row],[Identity Legal Entity Name (O)]]</f>
        <v>Bajaj Auto Limited</v>
      </c>
      <c r="O67" s="36" t="s">
        <v>1113</v>
      </c>
      <c r="P67" s="36" t="s">
        <v>1290</v>
      </c>
      <c r="Q67" s="36" t="s">
        <v>1011</v>
      </c>
      <c r="R67" s="111">
        <v>44432</v>
      </c>
      <c r="S67" s="36" t="s">
        <v>28</v>
      </c>
      <c r="T67" s="36" t="s">
        <v>1291</v>
      </c>
      <c r="U67" s="167" t="str">
        <f>LOWER("OU="&amp;'DB - Identities'!$O67&amp;", O="&amp;'DB - Identities'!$N67&amp;", L="&amp;'DB - Identities'!$P67&amp;", C="&amp;'DB - Identities'!$Q67)</f>
        <v>ou=trade finance, o=bajaj auto limited, l=pune, c=in</v>
      </c>
      <c r="V67" s="171" t="str">
        <f>_xlfn.XLOOKUP(identities_t[[#This Row],[Full X500]],'Input 3 - BNO Members'!A:A,'Input 3 - BNO Members'!C:C,"ERROR")</f>
        <v>Active</v>
      </c>
      <c r="W67" s="171">
        <f>_xlfn.XLOOKUP(identities_t[[#This Row],[Full X500]],'Input 3 - BNO Members'!A:A,'Input 3 - BNO Members'!B:B,"ERROR")</f>
        <v>266516712</v>
      </c>
      <c r="X67" s="83">
        <f>_xlfn.XLOOKUP(U:U,'Input 3 - BNO Members'!A:A,'Input 3 - BNO Members'!E:E)</f>
        <v>60100</v>
      </c>
      <c r="Y67" s="171" t="str">
        <f>IF(_xlfn.XLOOKUP(identities_t[[#This Row],[Full X500]],'CNF Sponsorship'!B:B,'CNF Sponsorship'!A:A,"ERROR")&lt;&gt;"ERROR","OK","ERROR")</f>
        <v>ERROR</v>
      </c>
      <c r="Z67" s="171" t="str">
        <f>_xlfn.XLOOKUP(identities_t[[#This Row],[BNO ID]],'Input 1 - Billing Run'!A:A,'Input 1 - Billing Run'!C:C,"NOT FOUND")</f>
        <v>SUCCESS</v>
      </c>
      <c r="AA67" s="172">
        <f>COUNTIF('Input 2 - Transactions'!C:C,identities_t[[#This Row],[BNO ID]])</f>
        <v>0</v>
      </c>
      <c r="AB67" s="37">
        <f>_xlfn.IFNA(_xlfn.XLOOKUP(identities_t[[#This Row],[BNO ID]],'Input 1 - Billing Run'!A:A,'Input 1 - Billing Run'!F:F),0)</f>
        <v>0</v>
      </c>
      <c r="AC67" s="171" t="str">
        <f>IF(_xlfn.XLOOKUP(identities_t[[#This Row],[Full X500]],'BNO Recon'!B:B,'BNO Recon'!AC:AC,"ERROR")&lt;&gt;"ERROR","OK","ERROR")</f>
        <v>OK</v>
      </c>
      <c r="AD67" s="171"/>
    </row>
    <row r="68" spans="1:30">
      <c r="A68" s="83">
        <v>61</v>
      </c>
      <c r="B68" s="167" t="str">
        <f>_xlfn.XLOOKUP(identities_t[[#This Row],[Subscription ID]],'DB - Subscriptions'!A:A,'DB - Subscriptions'!c_parties,"ERROR")</f>
        <v>TPT Petrochemicals PCL</v>
      </c>
      <c r="C68" s="171">
        <f ca="1">_xlfn.XLOOKUP(identities_t[[#This Row],[Subscription ID]],'DB - Subscriptions'!A:A,'DB - Subscriptions'!Q:Q)</f>
        <v>356</v>
      </c>
      <c r="D68" s="167" t="str">
        <f>_xlfn.XLOOKUP(identities_t[[#This Row],[Contracting Party]],c_parties,'DB - Contracting Parties'!C:C)</f>
        <v>Corporate</v>
      </c>
      <c r="E68" s="167" t="b">
        <f>IF(identities_t[[#This Row],[Contracting Party]]="Contour Pte. Ltd.", TRUE, FALSE)</f>
        <v>0</v>
      </c>
      <c r="F68" s="168" t="s">
        <v>1292</v>
      </c>
      <c r="G68" s="169" t="str">
        <f>_xlfn.XLOOKUP(identities_t[[#This Row],[Contracting Party]],Codes!$F:$F,Codes!$A:$A,"NA")</f>
        <v>279P56</v>
      </c>
      <c r="H68" s="170" t="str">
        <f>_xlfn.XLOOKUP(identities_t[[#This Row],[Initiative Code]],Codes!A:A,Codes!B:B,"N/A")</f>
        <v>CWP</v>
      </c>
      <c r="I68" s="36" t="s">
        <v>1293</v>
      </c>
      <c r="J68" s="36" t="s">
        <v>1293</v>
      </c>
      <c r="K68" s="113" t="s">
        <v>1097</v>
      </c>
      <c r="L68" s="113"/>
      <c r="M68" s="207" t="s">
        <v>386</v>
      </c>
      <c r="N68" s="36" t="str">
        <f>identities_t[[#This Row],[Identity Legal Entity Name (O)]]</f>
        <v>TPT PETROCHEMICALS PUBLIC COMPANY LIMITED</v>
      </c>
      <c r="O68" s="36" t="s">
        <v>1113</v>
      </c>
      <c r="P68" s="36" t="s">
        <v>1105</v>
      </c>
      <c r="Q68" s="36" t="s">
        <v>1106</v>
      </c>
      <c r="R68" s="111">
        <v>44433</v>
      </c>
      <c r="S68" s="36" t="s">
        <v>28</v>
      </c>
      <c r="T68" s="121" t="s">
        <v>1294</v>
      </c>
      <c r="U68" s="167" t="str">
        <f>LOWER("OU="&amp;'DB - Identities'!$O68&amp;", O="&amp;'DB - Identities'!$N68&amp;", L="&amp;'DB - Identities'!$P68&amp;", C="&amp;'DB - Identities'!$Q68)</f>
        <v>ou=trade finance, o=tpt petrochemicals public company limited, l=bangkok, c=th</v>
      </c>
      <c r="V68" s="171" t="str">
        <f>_xlfn.XLOOKUP(identities_t[[#This Row],[Full X500]],'Input 3 - BNO Members'!A:A,'Input 3 - BNO Members'!C:C,"ERROR")</f>
        <v>Active</v>
      </c>
      <c r="W68" s="171">
        <f>_xlfn.XLOOKUP(identities_t[[#This Row],[Full X500]],'Input 3 - BNO Members'!A:A,'Input 3 - BNO Members'!B:B,"ERROR")</f>
        <v>419250959</v>
      </c>
      <c r="X68" s="83">
        <f>_xlfn.XLOOKUP(U:U,'Input 3 - BNO Members'!A:A,'Input 3 - BNO Members'!E:E)</f>
        <v>60100</v>
      </c>
      <c r="Y68" s="171" t="str">
        <f>IF(_xlfn.XLOOKUP(identities_t[[#This Row],[Full X500]],'CNF Sponsorship'!B:B,'CNF Sponsorship'!A:A,"ERROR")&lt;&gt;"ERROR","OK","ERROR")</f>
        <v>ERROR</v>
      </c>
      <c r="Z68" s="171" t="str">
        <f>_xlfn.XLOOKUP(identities_t[[#This Row],[BNO ID]],'Input 1 - Billing Run'!A:A,'Input 1 - Billing Run'!C:C,"NOT FOUND")</f>
        <v>SUCCESS</v>
      </c>
      <c r="AA68" s="172">
        <f>COUNTIF('Input 2 - Transactions'!C:C,identities_t[[#This Row],[BNO ID]])</f>
        <v>0</v>
      </c>
      <c r="AB68" s="37">
        <f>_xlfn.IFNA(_xlfn.XLOOKUP(identities_t[[#This Row],[BNO ID]],'Input 1 - Billing Run'!A:A,'Input 1 - Billing Run'!F:F),0)</f>
        <v>0</v>
      </c>
      <c r="AC68" s="171" t="str">
        <f>IF(_xlfn.XLOOKUP(identities_t[[#This Row],[Full X500]],'BNO Recon'!B:B,'BNO Recon'!AC:AC,"ERROR")&lt;&gt;"ERROR","OK","ERROR")</f>
        <v>OK</v>
      </c>
      <c r="AD68" s="171"/>
    </row>
    <row r="69" spans="1:30">
      <c r="A69" s="83">
        <v>62</v>
      </c>
      <c r="B69" s="167" t="str">
        <f>_xlfn.XLOOKUP(identities_t[[#This Row],[Subscription ID]],'DB - Subscriptions'!A:A,'DB - Subscriptions'!c_parties,"ERROR")</f>
        <v>Indorama Petrochem Ltd</v>
      </c>
      <c r="C69" s="171">
        <f ca="1">_xlfn.XLOOKUP(identities_t[[#This Row],[Subscription ID]],'DB - Subscriptions'!A:A,'DB - Subscriptions'!Q:Q)</f>
        <v>356</v>
      </c>
      <c r="D69" s="167" t="str">
        <f>_xlfn.XLOOKUP(identities_t[[#This Row],[Contracting Party]],c_parties,'DB - Contracting Parties'!C:C)</f>
        <v>Corporate</v>
      </c>
      <c r="E69" s="167" t="b">
        <f>IF(identities_t[[#This Row],[Contracting Party]]="Contour Pte. Ltd.", TRUE, FALSE)</f>
        <v>0</v>
      </c>
      <c r="F69" s="168" t="s">
        <v>1295</v>
      </c>
      <c r="G69" s="103" t="s">
        <v>452</v>
      </c>
      <c r="H69" s="170" t="str">
        <f>_xlfn.XLOOKUP(identities_t[[#This Row],[Initiative Code]],Codes!A:A,Codes!B:B,"N/A")</f>
        <v>CWP</v>
      </c>
      <c r="I69" s="36" t="s">
        <v>1296</v>
      </c>
      <c r="J69" s="36" t="s">
        <v>1296</v>
      </c>
      <c r="K69" s="113" t="s">
        <v>1097</v>
      </c>
      <c r="L69" s="202" t="s">
        <v>390</v>
      </c>
      <c r="M69" s="207" t="s">
        <v>389</v>
      </c>
      <c r="N69" s="36" t="str">
        <f>identities_t[[#This Row],[Identity Legal Entity Name (O)]]</f>
        <v>INDORAMA PETROCHEM LIMITED</v>
      </c>
      <c r="O69" s="36" t="s">
        <v>1113</v>
      </c>
      <c r="P69" s="36" t="s">
        <v>1105</v>
      </c>
      <c r="Q69" s="36" t="s">
        <v>1106</v>
      </c>
      <c r="R69" s="111">
        <v>44433</v>
      </c>
      <c r="S69" s="36" t="s">
        <v>28</v>
      </c>
      <c r="T69" s="121" t="s">
        <v>1294</v>
      </c>
      <c r="U69" s="167" t="str">
        <f>LOWER("OU="&amp;'DB - Identities'!$O69&amp;", O="&amp;'DB - Identities'!$N69&amp;", L="&amp;'DB - Identities'!$P69&amp;", C="&amp;'DB - Identities'!$Q69)</f>
        <v>ou=trade finance, o=indorama petrochem limited, l=bangkok, c=th</v>
      </c>
      <c r="V69" s="171" t="str">
        <f>_xlfn.XLOOKUP(identities_t[[#This Row],[Full X500]],'Input 3 - BNO Members'!A:A,'Input 3 - BNO Members'!C:C,"ERROR")</f>
        <v>Active</v>
      </c>
      <c r="W69" s="171">
        <f>_xlfn.XLOOKUP(identities_t[[#This Row],[Full X500]],'Input 3 - BNO Members'!A:A,'Input 3 - BNO Members'!B:B,"ERROR")</f>
        <v>76611502</v>
      </c>
      <c r="X69" s="83">
        <f>_xlfn.XLOOKUP(U:U,'Input 3 - BNO Members'!A:A,'Input 3 - BNO Members'!E:E)</f>
        <v>60100</v>
      </c>
      <c r="Y69" s="171" t="str">
        <f>IF(_xlfn.XLOOKUP(identities_t[[#This Row],[Full X500]],'CNF Sponsorship'!B:B,'CNF Sponsorship'!A:A,"ERROR")&lt;&gt;"ERROR","OK","ERROR")</f>
        <v>ERROR</v>
      </c>
      <c r="Z69" s="171" t="str">
        <f>_xlfn.XLOOKUP(identities_t[[#This Row],[BNO ID]],'Input 1 - Billing Run'!A:A,'Input 1 - Billing Run'!C:C,"NOT FOUND")</f>
        <v>SUCCESS</v>
      </c>
      <c r="AA69" s="172">
        <f>COUNTIF('Input 2 - Transactions'!C:C,identities_t[[#This Row],[BNO ID]])</f>
        <v>0</v>
      </c>
      <c r="AB69" s="37">
        <f>_xlfn.IFNA(_xlfn.XLOOKUP(identities_t[[#This Row],[BNO ID]],'Input 1 - Billing Run'!A:A,'Input 1 - Billing Run'!F:F),0)</f>
        <v>0</v>
      </c>
      <c r="AC69" s="171" t="str">
        <f>IF(_xlfn.XLOOKUP(identities_t[[#This Row],[Full X500]],'BNO Recon'!B:B,'BNO Recon'!AC:AC,"ERROR")&lt;&gt;"ERROR","OK","ERROR")</f>
        <v>OK</v>
      </c>
      <c r="AD69" s="171"/>
    </row>
    <row r="70" spans="1:30">
      <c r="A70" s="83">
        <v>57</v>
      </c>
      <c r="B70" s="167" t="str">
        <f>_xlfn.XLOOKUP(identities_t[[#This Row],[Subscription ID]],'DB - Subscriptions'!A:A,'DB - Subscriptions'!c_parties,"ERROR")</f>
        <v>Indorama Polyster Industries PCL</v>
      </c>
      <c r="C70" s="171">
        <f ca="1">_xlfn.XLOOKUP(identities_t[[#This Row],[Subscription ID]],'DB - Subscriptions'!A:A,'DB - Subscriptions'!Q:Q)</f>
        <v>356</v>
      </c>
      <c r="D70" s="167" t="str">
        <f>_xlfn.XLOOKUP(identities_t[[#This Row],[Contracting Party]],c_parties,'DB - Contracting Parties'!C:C)</f>
        <v>Corporate</v>
      </c>
      <c r="E70" s="167" t="b">
        <f>IF(identities_t[[#This Row],[Contracting Party]]="Contour Pte. Ltd.", TRUE, FALSE)</f>
        <v>0</v>
      </c>
      <c r="F70" s="168" t="s">
        <v>1297</v>
      </c>
      <c r="G70" s="103" t="s">
        <v>665</v>
      </c>
      <c r="H70" s="170" t="str">
        <f>_xlfn.XLOOKUP(identities_t[[#This Row],[Initiative Code]],Codes!A:A,Codes!B:B,"N/A")</f>
        <v>CWP</v>
      </c>
      <c r="I70" s="36" t="s">
        <v>1298</v>
      </c>
      <c r="J70" s="36" t="s">
        <v>1298</v>
      </c>
      <c r="K70" s="113" t="s">
        <v>1097</v>
      </c>
      <c r="L70" s="113"/>
      <c r="M70" s="207" t="s">
        <v>367</v>
      </c>
      <c r="N70" s="36" t="str">
        <f>identities_t[[#This Row],[Identity Legal Entity Name (O)]]</f>
        <v>Indorama Polyester Industries Public Company Limited</v>
      </c>
      <c r="O70" s="36" t="s">
        <v>1113</v>
      </c>
      <c r="P70" s="36" t="s">
        <v>1105</v>
      </c>
      <c r="Q70" s="36" t="s">
        <v>1106</v>
      </c>
      <c r="R70" s="111">
        <v>44432</v>
      </c>
      <c r="S70" s="36" t="s">
        <v>28</v>
      </c>
      <c r="T70" s="121" t="s">
        <v>1294</v>
      </c>
      <c r="U70" s="167" t="str">
        <f>LOWER("OU="&amp;'DB - Identities'!$O70&amp;", O="&amp;'DB - Identities'!$N70&amp;", L="&amp;'DB - Identities'!$P70&amp;", C="&amp;'DB - Identities'!$Q70)</f>
        <v>ou=trade finance, o=indorama polyester industries public company limited, l=bangkok, c=th</v>
      </c>
      <c r="V70" s="171" t="str">
        <f>_xlfn.XLOOKUP(identities_t[[#This Row],[Full X500]],'Input 3 - BNO Members'!A:A,'Input 3 - BNO Members'!C:C,"ERROR")</f>
        <v>Active</v>
      </c>
      <c r="W70" s="171">
        <f>_xlfn.XLOOKUP(identities_t[[#This Row],[Full X500]],'Input 3 - BNO Members'!A:A,'Input 3 - BNO Members'!B:B,"ERROR")</f>
        <v>299071760</v>
      </c>
      <c r="X70" s="83">
        <f>_xlfn.XLOOKUP(U:U,'Input 3 - BNO Members'!A:A,'Input 3 - BNO Members'!E:E)</f>
        <v>60100</v>
      </c>
      <c r="Y70" s="171" t="str">
        <f>IF(_xlfn.XLOOKUP(identities_t[[#This Row],[Full X500]],'CNF Sponsorship'!B:B,'CNF Sponsorship'!A:A,"ERROR")&lt;&gt;"ERROR","OK","ERROR")</f>
        <v>ERROR</v>
      </c>
      <c r="Z70" s="171" t="str">
        <f>_xlfn.XLOOKUP(identities_t[[#This Row],[BNO ID]],'Input 1 - Billing Run'!A:A,'Input 1 - Billing Run'!C:C,"NOT FOUND")</f>
        <v>SUCCESS</v>
      </c>
      <c r="AA70" s="172">
        <f>COUNTIF('Input 2 - Transactions'!C:C,identities_t[[#This Row],[BNO ID]])</f>
        <v>0</v>
      </c>
      <c r="AB70" s="37">
        <f>_xlfn.IFNA(_xlfn.XLOOKUP(identities_t[[#This Row],[BNO ID]],'Input 1 - Billing Run'!A:A,'Input 1 - Billing Run'!F:F),0)</f>
        <v>0</v>
      </c>
      <c r="AC70" s="171" t="str">
        <f>IF(_xlfn.XLOOKUP(identities_t[[#This Row],[Full X500]],'BNO Recon'!B:B,'BNO Recon'!AC:AC,"ERROR")&lt;&gt;"ERROR","OK","ERROR")</f>
        <v>OK</v>
      </c>
      <c r="AD70" s="171"/>
    </row>
    <row r="71" spans="1:30">
      <c r="A71" s="83">
        <v>38</v>
      </c>
      <c r="B71" s="167" t="str">
        <f>_xlfn.XLOOKUP(identities_t[[#This Row],[Subscription ID]],'DB - Subscriptions'!A:A,'DB - Subscriptions'!c_parties,"ERROR")</f>
        <v>DBS BANK (CHINA) LIMITED</v>
      </c>
      <c r="C71" s="171">
        <f ca="1">_xlfn.XLOOKUP(identities_t[[#This Row],[Subscription ID]],'DB - Subscriptions'!A:A,'DB - Subscriptions'!Q:Q)</f>
        <v>264</v>
      </c>
      <c r="D71" s="167" t="str">
        <f>_xlfn.XLOOKUP(identities_t[[#This Row],[Contracting Party]],c_parties,'DB - Contracting Parties'!C:C)</f>
        <v>Bank</v>
      </c>
      <c r="E71" s="167" t="b">
        <f>IF(identities_t[[#This Row],[Contracting Party]]="Contour Pte. Ltd.", TRUE, FALSE)</f>
        <v>0</v>
      </c>
      <c r="F71" s="168" t="s">
        <v>1299</v>
      </c>
      <c r="G71" s="169"/>
      <c r="H71" s="170">
        <f>_xlfn.XLOOKUP(identities_t[[#This Row],[Initiative Code]],Codes!A:A,Codes!B:B,"N/A")</f>
        <v>0</v>
      </c>
      <c r="I71" s="14" t="s">
        <v>1300</v>
      </c>
      <c r="J71" s="167" t="s">
        <v>1300</v>
      </c>
      <c r="K71" s="199" t="s">
        <v>1301</v>
      </c>
      <c r="L71" s="202" t="s">
        <v>261</v>
      </c>
      <c r="M71" s="198">
        <v>9.1310000664264704E+16</v>
      </c>
      <c r="N71" s="36" t="str">
        <f>identities_t[[#This Row],[Identity Legal Entity Name (O)]]</f>
        <v>DBS Bank (China) Limited</v>
      </c>
      <c r="O71" s="36" t="s">
        <v>1113</v>
      </c>
      <c r="P71" s="36" t="s">
        <v>1074</v>
      </c>
      <c r="Q71" s="36" t="s">
        <v>1075</v>
      </c>
      <c r="R71" s="111">
        <v>44434</v>
      </c>
      <c r="S71" s="36" t="s">
        <v>28</v>
      </c>
      <c r="T71" s="134" t="s">
        <v>1302</v>
      </c>
      <c r="U71" s="167" t="str">
        <f>LOWER("OU="&amp;'DB - Identities'!$O71&amp;", O="&amp;'DB - Identities'!$N71&amp;", L="&amp;'DB - Identities'!$P71&amp;", C="&amp;'DB - Identities'!$Q71)</f>
        <v>ou=trade finance, o=dbs bank (china) limited, l=shanghai, c=cn</v>
      </c>
      <c r="V71" s="171" t="str">
        <f>_xlfn.XLOOKUP(identities_t[[#This Row],[Full X500]],'Input 3 - BNO Members'!A:A,'Input 3 - BNO Members'!C:C,"ERROR")</f>
        <v>Active</v>
      </c>
      <c r="W71" s="171">
        <f>_xlfn.XLOOKUP(identities_t[[#This Row],[Full X500]],'Input 3 - BNO Members'!A:A,'Input 3 - BNO Members'!B:B,"ERROR")</f>
        <v>364992398</v>
      </c>
      <c r="X71" s="83">
        <f>_xlfn.XLOOKUP(U:U,'Input 3 - BNO Members'!A:A,'Input 3 - BNO Members'!E:E)</f>
        <v>60100</v>
      </c>
      <c r="Y71" s="171" t="str">
        <f>IF(_xlfn.XLOOKUP(identities_t[[#This Row],[Full X500]],'CNF Sponsorship'!B:B,'CNF Sponsorship'!A:A,"ERROR")&lt;&gt;"ERROR","OK","ERROR")</f>
        <v>ERROR</v>
      </c>
      <c r="Z71" s="171" t="str">
        <f>_xlfn.XLOOKUP(identities_t[[#This Row],[BNO ID]],'Input 1 - Billing Run'!A:A,'Input 1 - Billing Run'!C:C,"NOT FOUND")</f>
        <v>SUCCESS</v>
      </c>
      <c r="AA71" s="172">
        <f>COUNTIF('Input 2 - Transactions'!C:C,identities_t[[#This Row],[BNO ID]])</f>
        <v>0</v>
      </c>
      <c r="AB71" s="37">
        <f>_xlfn.IFNA(_xlfn.XLOOKUP(identities_t[[#This Row],[BNO ID]],'Input 1 - Billing Run'!A:A,'Input 1 - Billing Run'!F:F),0)</f>
        <v>0</v>
      </c>
      <c r="AC71" s="171" t="str">
        <f>IF(_xlfn.XLOOKUP(identities_t[[#This Row],[Full X500]],'BNO Recon'!B:B,'BNO Recon'!AC:AC,"ERROR")&lt;&gt;"ERROR","OK","ERROR")</f>
        <v>OK</v>
      </c>
      <c r="AD71" s="171"/>
    </row>
    <row r="72" spans="1:30">
      <c r="A72" s="83">
        <v>64</v>
      </c>
      <c r="B72" s="167" t="str">
        <f>_xlfn.XLOOKUP(identities_t[[#This Row],[Subscription ID]],'DB - Subscriptions'!A:A,'DB - Subscriptions'!c_parties,"ERROR")</f>
        <v>Asia Pet (Thailand) Ltd.</v>
      </c>
      <c r="C72" s="171">
        <f ca="1">_xlfn.XLOOKUP(identities_t[[#This Row],[Subscription ID]],'DB - Subscriptions'!A:A,'DB - Subscriptions'!Q:Q)</f>
        <v>356</v>
      </c>
      <c r="D72" s="167" t="str">
        <f>_xlfn.XLOOKUP(identities_t[[#This Row],[Contracting Party]],c_parties,'DB - Contracting Parties'!C:C)</f>
        <v>Corporate</v>
      </c>
      <c r="E72" s="167" t="b">
        <f>IF(identities_t[[#This Row],[Contracting Party]]="Contour Pte. Ltd.", TRUE, FALSE)</f>
        <v>0</v>
      </c>
      <c r="F72" s="168" t="s">
        <v>1303</v>
      </c>
      <c r="G72" s="36" t="str">
        <f>_xlfn.XLOOKUP(identities_t[[#This Row],[Contracting Party]],Codes!$F:$F,Codes!$A:$A,"NA")</f>
        <v>987I53</v>
      </c>
      <c r="H72" s="170" t="str">
        <f>_xlfn.XLOOKUP(identities_t[[#This Row],[Initiative Code]],Codes!A:A,Codes!B:B,"N/A")</f>
        <v>CWP</v>
      </c>
      <c r="I72" s="167" t="s">
        <v>1304</v>
      </c>
      <c r="J72" s="167" t="s">
        <v>1304</v>
      </c>
      <c r="K72" s="113" t="s">
        <v>1097</v>
      </c>
      <c r="L72" s="113"/>
      <c r="M72" s="198">
        <v>105544061679</v>
      </c>
      <c r="N72" s="36" t="str">
        <f>identities_t[[#This Row],[Identity Legal Entity Name (O)]]</f>
        <v>ASIA PET (THAILAND) LIMITED</v>
      </c>
      <c r="O72" s="36" t="s">
        <v>1113</v>
      </c>
      <c r="P72" s="36" t="s">
        <v>1105</v>
      </c>
      <c r="Q72" s="36" t="s">
        <v>1106</v>
      </c>
      <c r="R72" s="111">
        <v>44435</v>
      </c>
      <c r="S72" s="36" t="s">
        <v>28</v>
      </c>
      <c r="T72" s="121" t="s">
        <v>1294</v>
      </c>
      <c r="U72" s="167" t="str">
        <f>LOWER("OU="&amp;'DB - Identities'!$O72&amp;", O="&amp;'DB - Identities'!$N72&amp;", L="&amp;'DB - Identities'!$P72&amp;", C="&amp;'DB - Identities'!$Q72)</f>
        <v>ou=trade finance, o=asia pet (thailand) limited, l=bangkok, c=th</v>
      </c>
      <c r="V72" s="171" t="str">
        <f>_xlfn.XLOOKUP(identities_t[[#This Row],[Full X500]],'Input 3 - BNO Members'!A:A,'Input 3 - BNO Members'!C:C,"ERROR")</f>
        <v>Active</v>
      </c>
      <c r="W72" s="171">
        <f>_xlfn.XLOOKUP(identities_t[[#This Row],[Full X500]],'Input 3 - BNO Members'!A:A,'Input 3 - BNO Members'!B:B,"ERROR")</f>
        <v>34682411</v>
      </c>
      <c r="X72" s="83">
        <f>_xlfn.XLOOKUP(U:U,'Input 3 - BNO Members'!A:A,'Input 3 - BNO Members'!E:E)</f>
        <v>60100</v>
      </c>
      <c r="Y72" s="171" t="str">
        <f>IF(_xlfn.XLOOKUP(identities_t[[#This Row],[Full X500]],'CNF Sponsorship'!B:B,'CNF Sponsorship'!A:A,"ERROR")&lt;&gt;"ERROR","OK","ERROR")</f>
        <v>ERROR</v>
      </c>
      <c r="Z72" s="171" t="str">
        <f>_xlfn.XLOOKUP(identities_t[[#This Row],[BNO ID]],'Input 1 - Billing Run'!A:A,'Input 1 - Billing Run'!C:C,"NOT FOUND")</f>
        <v>SUCCESS</v>
      </c>
      <c r="AA72" s="172">
        <f>COUNTIF('Input 2 - Transactions'!C:C,identities_t[[#This Row],[BNO ID]])</f>
        <v>0</v>
      </c>
      <c r="AB72" s="37">
        <f>_xlfn.IFNA(_xlfn.XLOOKUP(identities_t[[#This Row],[BNO ID]],'Input 1 - Billing Run'!A:A,'Input 1 - Billing Run'!F:F),0)</f>
        <v>0</v>
      </c>
      <c r="AC72" s="171" t="str">
        <f>IF(_xlfn.XLOOKUP(identities_t[[#This Row],[Full X500]],'BNO Recon'!B:B,'BNO Recon'!AC:AC,"ERROR")&lt;&gt;"ERROR","OK","ERROR")</f>
        <v>OK</v>
      </c>
      <c r="AD72" s="171"/>
    </row>
    <row r="73" spans="1:30">
      <c r="A73" s="83">
        <v>65</v>
      </c>
      <c r="B73" s="167" t="str">
        <f>_xlfn.XLOOKUP(identities_t[[#This Row],[Subscription ID]],'DB - Subscriptions'!A:A,'DB - Subscriptions'!c_parties,"ERROR")</f>
        <v>EMIRCOM LLC</v>
      </c>
      <c r="C73" s="171">
        <f ca="1">_xlfn.XLOOKUP(identities_t[[#This Row],[Subscription ID]],'DB - Subscriptions'!A:A,'DB - Subscriptions'!Q:Q)</f>
        <v>356</v>
      </c>
      <c r="D73" s="167" t="str">
        <f>_xlfn.XLOOKUP(identities_t[[#This Row],[Contracting Party]],c_parties,'DB - Contracting Parties'!C:C)</f>
        <v>Corporate</v>
      </c>
      <c r="E73" s="167" t="b">
        <f>IF(identities_t[[#This Row],[Contracting Party]]="Contour Pte. Ltd.", TRUE, FALSE)</f>
        <v>0</v>
      </c>
      <c r="F73" s="168" t="s">
        <v>1305</v>
      </c>
      <c r="G73" s="36" t="str">
        <f>_xlfn.XLOOKUP(identities_t[[#This Row],[Contracting Party]],Codes!$F:$F,Codes!$A:$A,"NA")</f>
        <v>410K14</v>
      </c>
      <c r="H73" s="170" t="str">
        <f>_xlfn.XLOOKUP(identities_t[[#This Row],[Initiative Code]],Codes!A:A,Codes!B:B,"N/A")</f>
        <v>CWP</v>
      </c>
      <c r="I73" s="167" t="s">
        <v>399</v>
      </c>
      <c r="J73" s="167" t="s">
        <v>399</v>
      </c>
      <c r="K73" s="170" t="s">
        <v>1097</v>
      </c>
      <c r="L73" s="113"/>
      <c r="M73" s="199" t="s">
        <v>400</v>
      </c>
      <c r="N73" s="36" t="str">
        <f>identities_t[[#This Row],[Identity Legal Entity Name (O)]]</f>
        <v>EMIRCOM LLC</v>
      </c>
      <c r="O73" s="36" t="s">
        <v>1113</v>
      </c>
      <c r="P73" s="36" t="s">
        <v>1306</v>
      </c>
      <c r="Q73" s="36" t="s">
        <v>1036</v>
      </c>
      <c r="R73" s="111">
        <v>44440</v>
      </c>
      <c r="S73" s="36" t="s">
        <v>28</v>
      </c>
      <c r="T73" s="134" t="s">
        <v>1307</v>
      </c>
      <c r="U73" s="167" t="str">
        <f>LOWER("OU="&amp;'DB - Identities'!$O73&amp;", O="&amp;'DB - Identities'!$N73&amp;", L="&amp;'DB - Identities'!$P73&amp;", C="&amp;'DB - Identities'!$Q73)</f>
        <v>ou=trade finance, o=emircom llc, l=abu dhabi, c=ae</v>
      </c>
      <c r="V73" s="171" t="str">
        <f>_xlfn.XLOOKUP(identities_t[[#This Row],[Full X500]],'Input 3 - BNO Members'!A:A,'Input 3 - BNO Members'!C:C,"ERROR")</f>
        <v>Active</v>
      </c>
      <c r="W73" s="171">
        <f>_xlfn.XLOOKUP(identities_t[[#This Row],[Full X500]],'Input 3 - BNO Members'!A:A,'Input 3 - BNO Members'!B:B,"ERROR")</f>
        <v>364873783</v>
      </c>
      <c r="X73" s="83">
        <f>_xlfn.XLOOKUP(U:U,'Input 3 - BNO Members'!A:A,'Input 3 - BNO Members'!E:E)</f>
        <v>60100</v>
      </c>
      <c r="Y73" s="171" t="str">
        <f>IF(_xlfn.XLOOKUP(identities_t[[#This Row],[Full X500]],'CNF Sponsorship'!B:B,'CNF Sponsorship'!A:A,"ERROR")&lt;&gt;"ERROR","OK","ERROR")</f>
        <v>ERROR</v>
      </c>
      <c r="Z73" s="171" t="str">
        <f>_xlfn.XLOOKUP(identities_t[[#This Row],[BNO ID]],'Input 1 - Billing Run'!A:A,'Input 1 - Billing Run'!C:C,"NOT FOUND")</f>
        <v>SUCCESS</v>
      </c>
      <c r="AA73" s="172">
        <f>COUNTIF('Input 2 - Transactions'!C:C,identities_t[[#This Row],[BNO ID]])</f>
        <v>0</v>
      </c>
      <c r="AB73" s="37">
        <f>_xlfn.IFNA(_xlfn.XLOOKUP(identities_t[[#This Row],[BNO ID]],'Input 1 - Billing Run'!A:A,'Input 1 - Billing Run'!F:F),0)</f>
        <v>0</v>
      </c>
      <c r="AC73" s="171" t="str">
        <f>IF(_xlfn.XLOOKUP(identities_t[[#This Row],[Full X500]],'BNO Recon'!B:B,'BNO Recon'!AC:AC,"ERROR")&lt;&gt;"ERROR","OK","ERROR")</f>
        <v>OK</v>
      </c>
      <c r="AD73" s="171"/>
    </row>
    <row r="74" spans="1:30">
      <c r="A74" s="83">
        <v>56</v>
      </c>
      <c r="B74" s="167" t="str">
        <f>_xlfn.XLOOKUP(identities_t[[#This Row],[Subscription ID]],'DB - Subscriptions'!A:A,'DB - Subscriptions'!c_parties,"ERROR")</f>
        <v>Military Commercial Joint Stock Bank</v>
      </c>
      <c r="C74" s="171">
        <f ca="1">_xlfn.XLOOKUP(identities_t[[#This Row],[Subscription ID]],'DB - Subscriptions'!A:A,'DB - Subscriptions'!Q:Q)</f>
        <v>356</v>
      </c>
      <c r="D74" s="167" t="str">
        <f>_xlfn.XLOOKUP(identities_t[[#This Row],[Contracting Party]],c_parties,'DB - Contracting Parties'!C:C)</f>
        <v>Bank</v>
      </c>
      <c r="E74" s="167" t="b">
        <f>IF(identities_t[[#This Row],[Contracting Party]]="Contour Pte. Ltd.", TRUE, FALSE)</f>
        <v>0</v>
      </c>
      <c r="F74" s="168" t="s">
        <v>1308</v>
      </c>
      <c r="G74" s="36"/>
      <c r="H74" s="170">
        <f>_xlfn.XLOOKUP(identities_t[[#This Row],[Initiative Code]],Codes!A:A,Codes!B:B,"N/A")</f>
        <v>0</v>
      </c>
      <c r="I74" s="167" t="s">
        <v>1309</v>
      </c>
      <c r="J74" s="167" t="s">
        <v>1309</v>
      </c>
      <c r="K74" s="199" t="s">
        <v>1310</v>
      </c>
      <c r="L74" s="113"/>
      <c r="M74" s="199">
        <v>100283873</v>
      </c>
      <c r="N74" s="36" t="str">
        <f>identities_t[[#This Row],[Identity Legal Entity Name (O)]]</f>
        <v>MILITARY COMMERCIAL JOINT STOCK BANK</v>
      </c>
      <c r="O74" s="36" t="s">
        <v>1113</v>
      </c>
      <c r="P74" s="36" t="s">
        <v>1311</v>
      </c>
      <c r="Q74" s="36" t="s">
        <v>1164</v>
      </c>
      <c r="R74" s="111">
        <v>44441</v>
      </c>
      <c r="S74" s="36" t="s">
        <v>28</v>
      </c>
      <c r="T74" s="134" t="s">
        <v>1312</v>
      </c>
      <c r="U74" s="167" t="str">
        <f>LOWER("OU="&amp;'DB - Identities'!$O74&amp;", O="&amp;'DB - Identities'!$N74&amp;", L="&amp;'DB - Identities'!$P74&amp;", C="&amp;'DB - Identities'!$Q74)</f>
        <v>ou=trade finance, o=military commercial joint stock bank, l=ha noi, c=vn</v>
      </c>
      <c r="V74" s="171" t="str">
        <f>_xlfn.XLOOKUP(identities_t[[#This Row],[Full X500]],'Input 3 - BNO Members'!A:A,'Input 3 - BNO Members'!C:C,"ERROR")</f>
        <v>Active</v>
      </c>
      <c r="W74" s="171">
        <f>_xlfn.XLOOKUP(identities_t[[#This Row],[Full X500]],'Input 3 - BNO Members'!A:A,'Input 3 - BNO Members'!B:B,"ERROR")</f>
        <v>331079860</v>
      </c>
      <c r="X74" s="83">
        <f>_xlfn.XLOOKUP(U:U,'Input 3 - BNO Members'!A:A,'Input 3 - BNO Members'!E:E)</f>
        <v>60100</v>
      </c>
      <c r="Y74" s="171" t="str">
        <f>IF(_xlfn.XLOOKUP(identities_t[[#This Row],[Full X500]],'CNF Sponsorship'!B:B,'CNF Sponsorship'!A:A,"ERROR")&lt;&gt;"ERROR","OK","ERROR")</f>
        <v>ERROR</v>
      </c>
      <c r="Z74" s="171" t="str">
        <f>_xlfn.XLOOKUP(identities_t[[#This Row],[BNO ID]],'Input 1 - Billing Run'!A:A,'Input 1 - Billing Run'!C:C,"NOT FOUND")</f>
        <v>SUCCESS</v>
      </c>
      <c r="AA74" s="172">
        <f>COUNTIF('Input 2 - Transactions'!C:C,identities_t[[#This Row],[BNO ID]])</f>
        <v>0</v>
      </c>
      <c r="AB74" s="37">
        <f>_xlfn.IFNA(_xlfn.XLOOKUP(identities_t[[#This Row],[BNO ID]],'Input 1 - Billing Run'!A:A,'Input 1 - Billing Run'!F:F),0)</f>
        <v>0</v>
      </c>
      <c r="AC74" s="171" t="str">
        <f>IF(_xlfn.XLOOKUP(identities_t[[#This Row],[Full X500]],'BNO Recon'!B:B,'BNO Recon'!AC:AC,"ERROR")&lt;&gt;"ERROR","OK","ERROR")</f>
        <v>OK</v>
      </c>
      <c r="AD74" s="171"/>
    </row>
    <row r="75" spans="1:30">
      <c r="A75" s="83">
        <v>66</v>
      </c>
      <c r="B75" s="167" t="str">
        <f>_xlfn.XLOOKUP(identities_t[[#This Row],[Subscription ID]],'DB - Subscriptions'!A:A,'DB - Subscriptions'!c_parties,"ERROR")</f>
        <v>Genesis Fashions Ltd.</v>
      </c>
      <c r="C75" s="171">
        <f ca="1">_xlfn.XLOOKUP(identities_t[[#This Row],[Subscription ID]],'DB - Subscriptions'!A:A,'DB - Subscriptions'!Q:Q)</f>
        <v>356</v>
      </c>
      <c r="D75" s="167" t="str">
        <f>_xlfn.XLOOKUP(identities_t[[#This Row],[Contracting Party]],c_parties,'DB - Contracting Parties'!C:C)</f>
        <v>Corporate</v>
      </c>
      <c r="E75" s="167" t="b">
        <f>IF(identities_t[[#This Row],[Contracting Party]]="Contour Pte. Ltd.", TRUE, FALSE)</f>
        <v>0</v>
      </c>
      <c r="F75" s="168" t="s">
        <v>1313</v>
      </c>
      <c r="G75" s="36"/>
      <c r="H75" s="170">
        <f>_xlfn.XLOOKUP(identities_t[[#This Row],[Initiative Code]],Codes!A:A,Codes!B:B,"N/A")</f>
        <v>0</v>
      </c>
      <c r="I75" s="36" t="s">
        <v>405</v>
      </c>
      <c r="J75" s="167" t="s">
        <v>405</v>
      </c>
      <c r="K75" s="170" t="s">
        <v>1097</v>
      </c>
      <c r="L75" s="202" t="s">
        <v>1314</v>
      </c>
      <c r="M75" s="199" t="s">
        <v>406</v>
      </c>
      <c r="N75" s="36" t="str">
        <f>identities_t[[#This Row],[Identity Legal Entity Name (O)]]</f>
        <v>Genesis Fashions Ltd.</v>
      </c>
      <c r="O75" s="36" t="s">
        <v>1113</v>
      </c>
      <c r="P75" s="36" t="s">
        <v>1315</v>
      </c>
      <c r="Q75" s="36" t="s">
        <v>1031</v>
      </c>
      <c r="R75" s="111">
        <v>44442</v>
      </c>
      <c r="S75" s="36" t="s">
        <v>28</v>
      </c>
      <c r="T75" s="134" t="s">
        <v>1316</v>
      </c>
      <c r="U75" s="167" t="str">
        <f>LOWER("OU="&amp;'DB - Identities'!$O75&amp;", O="&amp;'DB - Identities'!$N75&amp;", L="&amp;'DB - Identities'!$P75&amp;", C="&amp;'DB - Identities'!$Q75)</f>
        <v>ou=trade finance, o=genesis fashions ltd., l=gazipur, c=bd</v>
      </c>
      <c r="V75" s="171" t="str">
        <f>_xlfn.XLOOKUP(identities_t[[#This Row],[Full X500]],'Input 3 - BNO Members'!A:A,'Input 3 - BNO Members'!C:C,"ERROR")</f>
        <v>ERROR</v>
      </c>
      <c r="W75" s="171" t="str">
        <f>_xlfn.XLOOKUP(identities_t[[#This Row],[Full X500]],'Input 3 - BNO Members'!A:A,'Input 3 - BNO Members'!B:B,"ERROR")</f>
        <v>ERROR</v>
      </c>
      <c r="X75" s="171" t="e">
        <f>_xlfn.XLOOKUP(U:U,'Input 3 - BNO Members'!A:A,'Input 3 - BNO Members'!E:E)</f>
        <v>#N/A</v>
      </c>
      <c r="Y75" s="171" t="str">
        <f>IF(_xlfn.XLOOKUP(identities_t[[#This Row],[Full X500]],'CNF Sponsorship'!B:B,'CNF Sponsorship'!A:A,"ERROR")&lt;&gt;"ERROR","OK","ERROR")</f>
        <v>ERROR</v>
      </c>
      <c r="Z75" s="171" t="str">
        <f>_xlfn.XLOOKUP(identities_t[[#This Row],[BNO ID]],'Input 1 - Billing Run'!A:A,'Input 1 - Billing Run'!C:C,"NOT FOUND")</f>
        <v>NOT FOUND</v>
      </c>
      <c r="AA75" s="172">
        <f>COUNTIF('Input 2 - Transactions'!C:C,identities_t[[#This Row],[BNO ID]])</f>
        <v>0</v>
      </c>
      <c r="AB75" s="172">
        <f>_xlfn.IFNA(_xlfn.XLOOKUP(identities_t[[#This Row],[BNO ID]],'Input 1 - Billing Run'!A:A,'Input 1 - Billing Run'!F:F),0)</f>
        <v>0</v>
      </c>
      <c r="AC75" s="171" t="str">
        <f>IF(_xlfn.XLOOKUP(identities_t[[#This Row],[Full X500]],'BNO Recon'!B:B,'BNO Recon'!AC:AC,"ERROR")&lt;&gt;"ERROR","OK","ERROR")</f>
        <v>ERROR</v>
      </c>
      <c r="AD75" s="171"/>
    </row>
    <row r="76" spans="1:30">
      <c r="A76" s="83">
        <v>68</v>
      </c>
      <c r="B76" s="167" t="str">
        <f>_xlfn.XLOOKUP(identities_t[[#This Row],[Subscription ID]],'DB - Subscriptions'!A:A,'DB - Subscriptions'!c_parties,"ERROR")</f>
        <v>Columbia Apparels Ltd.</v>
      </c>
      <c r="C76" s="171">
        <f ca="1">_xlfn.XLOOKUP(identities_t[[#This Row],[Subscription ID]],'DB - Subscriptions'!A:A,'DB - Subscriptions'!Q:Q)</f>
        <v>356</v>
      </c>
      <c r="D76" s="167" t="str">
        <f>_xlfn.XLOOKUP(identities_t[[#This Row],[Contracting Party]],c_parties,'DB - Contracting Parties'!C:C)</f>
        <v>Corporate</v>
      </c>
      <c r="E76" s="167" t="b">
        <f>IF(identities_t[[#This Row],[Contracting Party]]="Contour Pte. Ltd.", TRUE, FALSE)</f>
        <v>0</v>
      </c>
      <c r="F76" s="168" t="s">
        <v>1317</v>
      </c>
      <c r="G76" s="36"/>
      <c r="H76" s="170">
        <f>_xlfn.XLOOKUP(identities_t[[#This Row],[Initiative Code]],Codes!A:A,Codes!B:B,"N/A")</f>
        <v>0</v>
      </c>
      <c r="I76" s="36" t="s">
        <v>415</v>
      </c>
      <c r="J76" s="167" t="s">
        <v>415</v>
      </c>
      <c r="K76" s="170" t="s">
        <v>1097</v>
      </c>
      <c r="L76" s="202" t="s">
        <v>1318</v>
      </c>
      <c r="M76" s="199" t="s">
        <v>416</v>
      </c>
      <c r="N76" s="36" t="str">
        <f>identities_t[[#This Row],[Identity Legal Entity Name (O)]]</f>
        <v>Columbia Apparels Ltd.</v>
      </c>
      <c r="O76" s="36" t="s">
        <v>1113</v>
      </c>
      <c r="P76" s="36" t="s">
        <v>1315</v>
      </c>
      <c r="Q76" s="36" t="s">
        <v>1031</v>
      </c>
      <c r="R76" s="111">
        <v>44446</v>
      </c>
      <c r="S76" s="36" t="s">
        <v>28</v>
      </c>
      <c r="T76" s="134" t="s">
        <v>1316</v>
      </c>
      <c r="U76" s="167" t="str">
        <f>LOWER("OU="&amp;'DB - Identities'!$O76&amp;", O="&amp;'DB - Identities'!$N76&amp;", L="&amp;'DB - Identities'!$P76&amp;", C="&amp;'DB - Identities'!$Q76)</f>
        <v>ou=trade finance, o=columbia apparels ltd., l=gazipur, c=bd</v>
      </c>
      <c r="V76" s="171" t="str">
        <f>_xlfn.XLOOKUP(identities_t[[#This Row],[Full X500]],'Input 3 - BNO Members'!A:A,'Input 3 - BNO Members'!C:C,"ERROR")</f>
        <v>ERROR</v>
      </c>
      <c r="W76" s="171" t="str">
        <f>_xlfn.XLOOKUP(identities_t[[#This Row],[Full X500]],'Input 3 - BNO Members'!A:A,'Input 3 - BNO Members'!B:B,"ERROR")</f>
        <v>ERROR</v>
      </c>
      <c r="X76" s="171" t="e">
        <f>_xlfn.XLOOKUP(U:U,'Input 3 - BNO Members'!A:A,'Input 3 - BNO Members'!E:E)</f>
        <v>#N/A</v>
      </c>
      <c r="Y76" s="171" t="str">
        <f>IF(_xlfn.XLOOKUP(identities_t[[#This Row],[Full X500]],'CNF Sponsorship'!B:B,'CNF Sponsorship'!A:A,"ERROR")&lt;&gt;"ERROR","OK","ERROR")</f>
        <v>ERROR</v>
      </c>
      <c r="Z76" s="171" t="str">
        <f>_xlfn.XLOOKUP(identities_t[[#This Row],[BNO ID]],'Input 1 - Billing Run'!A:A,'Input 1 - Billing Run'!C:C,"NOT FOUND")</f>
        <v>NOT FOUND</v>
      </c>
      <c r="AA76" s="172">
        <f>COUNTIF('Input 2 - Transactions'!C:C,identities_t[[#This Row],[BNO ID]])</f>
        <v>0</v>
      </c>
      <c r="AB76" s="172">
        <f>_xlfn.IFNA(_xlfn.XLOOKUP(identities_t[[#This Row],[BNO ID]],'Input 1 - Billing Run'!A:A,'Input 1 - Billing Run'!F:F),0)</f>
        <v>0</v>
      </c>
      <c r="AC76" s="171" t="str">
        <f>IF(_xlfn.XLOOKUP(identities_t[[#This Row],[Full X500]],'BNO Recon'!B:B,'BNO Recon'!AC:AC,"ERROR")&lt;&gt;"ERROR","OK","ERROR")</f>
        <v>ERROR</v>
      </c>
      <c r="AD76" s="171"/>
    </row>
    <row r="77" spans="1:30">
      <c r="A77" s="83">
        <v>70</v>
      </c>
      <c r="B77" s="167" t="str">
        <f>_xlfn.XLOOKUP(identities_t[[#This Row],[Subscription ID]],'DB - Subscriptions'!A:A,'DB - Subscriptions'!c_parties,"ERROR")</f>
        <v>Epyllion Style Ltd</v>
      </c>
      <c r="C77" s="171">
        <f ca="1">_xlfn.XLOOKUP(identities_t[[#This Row],[Subscription ID]],'DB - Subscriptions'!A:A,'DB - Subscriptions'!Q:Q)</f>
        <v>386</v>
      </c>
      <c r="D77" s="167" t="str">
        <f>_xlfn.XLOOKUP(identities_t[[#This Row],[Contracting Party]],c_parties,'DB - Contracting Parties'!C:C)</f>
        <v>Corporate</v>
      </c>
      <c r="E77" s="167" t="b">
        <f>IF(identities_t[[#This Row],[Contracting Party]]="Contour Pte. Ltd.", TRUE, FALSE)</f>
        <v>0</v>
      </c>
      <c r="F77" s="168" t="s">
        <v>1319</v>
      </c>
      <c r="G77" s="169"/>
      <c r="H77" s="170" t="s">
        <v>143</v>
      </c>
      <c r="I77" s="36" t="s">
        <v>1320</v>
      </c>
      <c r="J77" s="167" t="s">
        <v>1320</v>
      </c>
      <c r="K77" s="170" t="s">
        <v>1097</v>
      </c>
      <c r="L77" s="202" t="s">
        <v>1321</v>
      </c>
      <c r="M77" s="222" t="s">
        <v>420</v>
      </c>
      <c r="N77" s="36" t="str">
        <f>identities_t[[#This Row],[Identity Legal Entity Name (O)]]</f>
        <v>Epyllion Style Limited</v>
      </c>
      <c r="O77" s="36" t="s">
        <v>1113</v>
      </c>
      <c r="P77" s="36" t="s">
        <v>1030</v>
      </c>
      <c r="Q77" s="36" t="s">
        <v>1031</v>
      </c>
      <c r="R77" s="111">
        <v>44446</v>
      </c>
      <c r="S77" s="36" t="s">
        <v>28</v>
      </c>
      <c r="T77" s="134" t="s">
        <v>1322</v>
      </c>
      <c r="U77" s="167" t="str">
        <f>LOWER("OU="&amp;'DB - Identities'!$O77&amp;", O="&amp;'DB - Identities'!$N77&amp;", L="&amp;'DB - Identities'!$P77&amp;", C="&amp;'DB - Identities'!$Q77)</f>
        <v>ou=trade finance, o=epyllion style limited, l=dhaka, c=bd</v>
      </c>
      <c r="V77" s="171" t="str">
        <f>_xlfn.XLOOKUP(identities_t[[#This Row],[Full X500]],'Input 3 - BNO Members'!A:A,'Input 3 - BNO Members'!C:C,"ERROR")</f>
        <v>ERROR</v>
      </c>
      <c r="W77" s="171" t="str">
        <f>_xlfn.XLOOKUP(identities_t[[#This Row],[Full X500]],'Input 3 - BNO Members'!A:A,'Input 3 - BNO Members'!B:B,"ERROR")</f>
        <v>ERROR</v>
      </c>
      <c r="X77" s="171" t="e">
        <f>_xlfn.XLOOKUP(U:U,'Input 3 - BNO Members'!A:A,'Input 3 - BNO Members'!E:E)</f>
        <v>#N/A</v>
      </c>
      <c r="Y77" s="171" t="str">
        <f>IF(_xlfn.XLOOKUP(identities_t[[#This Row],[Full X500]],'CNF Sponsorship'!B:B,'CNF Sponsorship'!A:A,"ERROR")&lt;&gt;"ERROR","OK","ERROR")</f>
        <v>ERROR</v>
      </c>
      <c r="Z77" s="171" t="str">
        <f>_xlfn.XLOOKUP(identities_t[[#This Row],[BNO ID]],'Input 1 - Billing Run'!A:A,'Input 1 - Billing Run'!C:C,"NOT FOUND")</f>
        <v>NOT FOUND</v>
      </c>
      <c r="AA77" s="172">
        <f>COUNTIF('Input 2 - Transactions'!C:C,identities_t[[#This Row],[BNO ID]])</f>
        <v>0</v>
      </c>
      <c r="AB77" s="172">
        <f>_xlfn.IFNA(_xlfn.XLOOKUP(identities_t[[#This Row],[BNO ID]],'Input 1 - Billing Run'!A:A,'Input 1 - Billing Run'!F:F),0)</f>
        <v>0</v>
      </c>
      <c r="AC77" s="171" t="str">
        <f>IF(_xlfn.XLOOKUP(identities_t[[#This Row],[Full X500]],'BNO Recon'!B:B,'BNO Recon'!AC:AC,"ERROR")&lt;&gt;"ERROR","OK","ERROR")</f>
        <v>ERROR</v>
      </c>
      <c r="AD77" s="171"/>
    </row>
    <row r="78" spans="1:30">
      <c r="A78" s="83">
        <v>67</v>
      </c>
      <c r="B78" s="167" t="str">
        <f>_xlfn.XLOOKUP(identities_t[[#This Row],[Subscription ID]],'DB - Subscriptions'!A:A,'DB - Subscriptions'!c_parties,"ERROR")</f>
        <v>Columbia Garments Ltd.</v>
      </c>
      <c r="C78" s="171">
        <f ca="1">_xlfn.XLOOKUP(identities_t[[#This Row],[Subscription ID]],'DB - Subscriptions'!A:A,'DB - Subscriptions'!Q:Q)</f>
        <v>356</v>
      </c>
      <c r="D78" s="167" t="str">
        <f>_xlfn.XLOOKUP(identities_t[[#This Row],[Contracting Party]],c_parties,'DB - Contracting Parties'!C:C)</f>
        <v>Corporate</v>
      </c>
      <c r="E78" s="167" t="b">
        <f>IF(identities_t[[#This Row],[Contracting Party]]="Contour Pte. Ltd.", TRUE, FALSE)</f>
        <v>0</v>
      </c>
      <c r="F78" s="168" t="s">
        <v>1323</v>
      </c>
      <c r="G78" s="103" t="s">
        <v>861</v>
      </c>
      <c r="H78" s="170" t="str">
        <f>_xlfn.XLOOKUP(identities_t[[#This Row],[Initiative Code]],Codes!A:A,Codes!B:B,"N/A")</f>
        <v>BGWG</v>
      </c>
      <c r="I78" s="36" t="s">
        <v>411</v>
      </c>
      <c r="J78" s="36" t="s">
        <v>411</v>
      </c>
      <c r="K78" s="170" t="s">
        <v>1097</v>
      </c>
      <c r="L78" s="202" t="s">
        <v>413</v>
      </c>
      <c r="M78" s="222" t="s">
        <v>1324</v>
      </c>
      <c r="N78" s="36" t="str">
        <f>identities_t[[#This Row],[Identity Legal Entity Name (O)]]</f>
        <v>Columbia Garments Ltd.</v>
      </c>
      <c r="O78" s="36" t="s">
        <v>1113</v>
      </c>
      <c r="P78" s="36" t="s">
        <v>1315</v>
      </c>
      <c r="Q78" s="36" t="s">
        <v>1031</v>
      </c>
      <c r="R78" s="111">
        <v>44446</v>
      </c>
      <c r="S78" s="36" t="s">
        <v>28</v>
      </c>
      <c r="T78" s="134" t="s">
        <v>1325</v>
      </c>
      <c r="U78" s="167" t="str">
        <f>LOWER("OU="&amp;'DB - Identities'!$O78&amp;", O="&amp;'DB - Identities'!$N78&amp;", L="&amp;'DB - Identities'!$P78&amp;", C="&amp;'DB - Identities'!$Q78)</f>
        <v>ou=trade finance, o=columbia garments ltd., l=gazipur, c=bd</v>
      </c>
      <c r="V78" s="171" t="str">
        <f>_xlfn.XLOOKUP(identities_t[[#This Row],[Full X500]],'Input 3 - BNO Members'!A:A,'Input 3 - BNO Members'!C:C,"ERROR")</f>
        <v>ERROR</v>
      </c>
      <c r="W78" s="171" t="str">
        <f>_xlfn.XLOOKUP(identities_t[[#This Row],[Full X500]],'Input 3 - BNO Members'!A:A,'Input 3 - BNO Members'!B:B,"ERROR")</f>
        <v>ERROR</v>
      </c>
      <c r="X78" s="171" t="e">
        <f>_xlfn.XLOOKUP(U:U,'Input 3 - BNO Members'!A:A,'Input 3 - BNO Members'!E:E)</f>
        <v>#N/A</v>
      </c>
      <c r="Y78" s="171" t="str">
        <f>IF(_xlfn.XLOOKUP(identities_t[[#This Row],[Full X500]],'CNF Sponsorship'!B:B,'CNF Sponsorship'!A:A,"ERROR")&lt;&gt;"ERROR","OK","ERROR")</f>
        <v>ERROR</v>
      </c>
      <c r="Z78" s="171" t="str">
        <f>_xlfn.XLOOKUP(identities_t[[#This Row],[BNO ID]],'Input 1 - Billing Run'!A:A,'Input 1 - Billing Run'!C:C,"NOT FOUND")</f>
        <v>NOT FOUND</v>
      </c>
      <c r="AA78" s="172">
        <f>COUNTIF('Input 2 - Transactions'!C:C,identities_t[[#This Row],[BNO ID]])</f>
        <v>0</v>
      </c>
      <c r="AB78" s="172">
        <f>_xlfn.IFNA(_xlfn.XLOOKUP(identities_t[[#This Row],[BNO ID]],'Input 1 - Billing Run'!A:A,'Input 1 - Billing Run'!F:F),0)</f>
        <v>0</v>
      </c>
      <c r="AC78" s="171" t="str">
        <f>IF(_xlfn.XLOOKUP(identities_t[[#This Row],[Full X500]],'BNO Recon'!B:B,'BNO Recon'!AC:AC,"ERROR")&lt;&gt;"ERROR","OK","ERROR")</f>
        <v>ERROR</v>
      </c>
      <c r="AD78" s="171"/>
    </row>
    <row r="79" spans="1:30">
      <c r="A79" s="83">
        <v>71</v>
      </c>
      <c r="B79" s="167" t="str">
        <f>_xlfn.XLOOKUP(identities_t[[#This Row],[Subscription ID]],'DB - Subscriptions'!A:A,'DB - Subscriptions'!c_parties,"ERROR")</f>
        <v>Epyllion Knitwears Ltd</v>
      </c>
      <c r="C79" s="171">
        <f ca="1">_xlfn.XLOOKUP(identities_t[[#This Row],[Subscription ID]],'DB - Subscriptions'!A:A,'DB - Subscriptions'!Q:Q)</f>
        <v>386</v>
      </c>
      <c r="D79" s="167" t="str">
        <f>_xlfn.XLOOKUP(identities_t[[#This Row],[Contracting Party]],c_parties,'DB - Contracting Parties'!C:C)</f>
        <v>Corporate</v>
      </c>
      <c r="E79" s="167" t="b">
        <f>IF(identities_t[[#This Row],[Contracting Party]]="Contour Pte. Ltd.", TRUE, FALSE)</f>
        <v>0</v>
      </c>
      <c r="F79" s="168" t="s">
        <v>1326</v>
      </c>
      <c r="G79" s="103" t="s">
        <v>834</v>
      </c>
      <c r="H79" s="170" t="str">
        <f>_xlfn.XLOOKUP(identities_t[[#This Row],[Initiative Code]],Codes!A:A,Codes!B:B,"N/A")</f>
        <v>BGWG</v>
      </c>
      <c r="I79" s="223" t="s">
        <v>1327</v>
      </c>
      <c r="J79" s="167" t="s">
        <v>1327</v>
      </c>
      <c r="K79" s="170" t="s">
        <v>1097</v>
      </c>
      <c r="L79" s="202" t="s">
        <v>427</v>
      </c>
      <c r="M79" s="222" t="s">
        <v>1328</v>
      </c>
      <c r="N79" s="36" t="str">
        <f>identities_t[[#This Row],[Identity Legal Entity Name (O)]]</f>
        <v>EPYLLION KNITWEARS LTD.</v>
      </c>
      <c r="O79" s="36" t="s">
        <v>1113</v>
      </c>
      <c r="P79" s="36" t="s">
        <v>1030</v>
      </c>
      <c r="Q79" s="36" t="s">
        <v>1031</v>
      </c>
      <c r="R79" s="111">
        <v>44446</v>
      </c>
      <c r="S79" s="36" t="s">
        <v>28</v>
      </c>
      <c r="T79" s="134" t="s">
        <v>1329</v>
      </c>
      <c r="U79" s="167" t="str">
        <f>LOWER("OU="&amp;'DB - Identities'!$O79&amp;", O="&amp;'DB - Identities'!$N79&amp;", L="&amp;'DB - Identities'!$P79&amp;", C="&amp;'DB - Identities'!$Q79)</f>
        <v>ou=trade finance, o=epyllion knitwears ltd., l=dhaka, c=bd</v>
      </c>
      <c r="V79" s="171" t="str">
        <f>_xlfn.XLOOKUP(identities_t[[#This Row],[Full X500]],'Input 3 - BNO Members'!A:A,'Input 3 - BNO Members'!C:C,"ERROR")</f>
        <v>ERROR</v>
      </c>
      <c r="W79" s="171" t="str">
        <f>_xlfn.XLOOKUP(identities_t[[#This Row],[Full X500]],'Input 3 - BNO Members'!A:A,'Input 3 - BNO Members'!B:B,"ERROR")</f>
        <v>ERROR</v>
      </c>
      <c r="X79" s="171" t="e">
        <f>_xlfn.XLOOKUP(U:U,'Input 3 - BNO Members'!A:A,'Input 3 - BNO Members'!E:E)</f>
        <v>#N/A</v>
      </c>
      <c r="Y79" s="171" t="str">
        <f>IF(_xlfn.XLOOKUP(identities_t[[#This Row],[Full X500]],'CNF Sponsorship'!B:B,'CNF Sponsorship'!A:A,"ERROR")&lt;&gt;"ERROR","OK","ERROR")</f>
        <v>ERROR</v>
      </c>
      <c r="Z79" s="171" t="str">
        <f>_xlfn.XLOOKUP(identities_t[[#This Row],[BNO ID]],'Input 1 - Billing Run'!A:A,'Input 1 - Billing Run'!C:C,"NOT FOUND")</f>
        <v>NOT FOUND</v>
      </c>
      <c r="AA79" s="172">
        <f>COUNTIF('Input 2 - Transactions'!C:C,identities_t[[#This Row],[BNO ID]])</f>
        <v>0</v>
      </c>
      <c r="AB79" s="172">
        <f>_xlfn.IFNA(_xlfn.XLOOKUP(identities_t[[#This Row],[BNO ID]],'Input 1 - Billing Run'!A:A,'Input 1 - Billing Run'!F:F),0)</f>
        <v>0</v>
      </c>
      <c r="AC79" s="171" t="str">
        <f>IF(_xlfn.XLOOKUP(identities_t[[#This Row],[Full X500]],'BNO Recon'!B:B,'BNO Recon'!AC:AC,"ERROR")&lt;&gt;"ERROR","OK","ERROR")</f>
        <v>ERROR</v>
      </c>
      <c r="AD79" s="171"/>
    </row>
    <row r="80" spans="1:30" ht="20">
      <c r="A80" s="83">
        <v>69</v>
      </c>
      <c r="B80" s="167" t="str">
        <f>_xlfn.XLOOKUP(identities_t[[#This Row],[Subscription ID]],'DB - Subscriptions'!A:A,'DB - Subscriptions'!c_parties,"ERROR")</f>
        <v>Columbia Washing Plant Ltd.</v>
      </c>
      <c r="C80" s="171">
        <f ca="1">_xlfn.XLOOKUP(identities_t[[#This Row],[Subscription ID]],'DB - Subscriptions'!A:A,'DB - Subscriptions'!Q:Q)</f>
        <v>356</v>
      </c>
      <c r="D80" s="167" t="str">
        <f>_xlfn.XLOOKUP(identities_t[[#This Row],[Contracting Party]],c_parties,'DB - Contracting Parties'!C:C)</f>
        <v>Corporate</v>
      </c>
      <c r="E80" s="167" t="b">
        <f>IF(identities_t[[#This Row],[Contracting Party]]="Contour Pte. Ltd.", TRUE, FALSE)</f>
        <v>0</v>
      </c>
      <c r="F80" s="168" t="s">
        <v>1330</v>
      </c>
      <c r="G80" s="224" t="s">
        <v>858</v>
      </c>
      <c r="H80" s="170" t="str">
        <f>_xlfn.XLOOKUP(identities_t[[#This Row],[Initiative Code]],Codes!A:A,Codes!B:B,"N/A")</f>
        <v>BGWG</v>
      </c>
      <c r="I80" s="223" t="s">
        <v>417</v>
      </c>
      <c r="J80" s="167" t="s">
        <v>417</v>
      </c>
      <c r="K80" s="170" t="s">
        <v>1097</v>
      </c>
      <c r="L80" s="202" t="s">
        <v>1331</v>
      </c>
      <c r="M80" s="222" t="s">
        <v>418</v>
      </c>
      <c r="N80" s="36" t="str">
        <f>identities_t[[#This Row],[Identity Legal Entity Name (O)]]</f>
        <v>Columbia Washing Plant Ltd.</v>
      </c>
      <c r="O80" s="36" t="s">
        <v>1113</v>
      </c>
      <c r="P80" s="36" t="s">
        <v>1315</v>
      </c>
      <c r="Q80" s="36" t="s">
        <v>1031</v>
      </c>
      <c r="R80" s="111">
        <v>44446</v>
      </c>
      <c r="S80" s="36" t="s">
        <v>28</v>
      </c>
      <c r="T80" s="134" t="s">
        <v>1325</v>
      </c>
      <c r="U80" s="167" t="str">
        <f>LOWER("OU="&amp;'DB - Identities'!$O80&amp;", O="&amp;'DB - Identities'!$N80&amp;", L="&amp;'DB - Identities'!$P80&amp;", C="&amp;'DB - Identities'!$Q80)</f>
        <v>ou=trade finance, o=columbia washing plant ltd., l=gazipur, c=bd</v>
      </c>
      <c r="V80" s="171" t="str">
        <f>_xlfn.XLOOKUP(identities_t[[#This Row],[Full X500]],'Input 3 - BNO Members'!A:A,'Input 3 - BNO Members'!C:C,"ERROR")</f>
        <v>ERROR</v>
      </c>
      <c r="W80" s="171" t="str">
        <f>_xlfn.XLOOKUP(identities_t[[#This Row],[Full X500]],'Input 3 - BNO Members'!A:A,'Input 3 - BNO Members'!B:B,"ERROR")</f>
        <v>ERROR</v>
      </c>
      <c r="X80" s="171" t="e">
        <f>_xlfn.XLOOKUP(U:U,'Input 3 - BNO Members'!A:A,'Input 3 - BNO Members'!E:E)</f>
        <v>#N/A</v>
      </c>
      <c r="Y80" s="171" t="str">
        <f>IF(_xlfn.XLOOKUP(identities_t[[#This Row],[Full X500]],'CNF Sponsorship'!B:B,'CNF Sponsorship'!A:A,"ERROR")&lt;&gt;"ERROR","OK","ERROR")</f>
        <v>ERROR</v>
      </c>
      <c r="Z80" s="171" t="str">
        <f>_xlfn.XLOOKUP(identities_t[[#This Row],[BNO ID]],'Input 1 - Billing Run'!A:A,'Input 1 - Billing Run'!C:C,"NOT FOUND")</f>
        <v>NOT FOUND</v>
      </c>
      <c r="AA80" s="172">
        <f>COUNTIF('Input 2 - Transactions'!C:C,identities_t[[#This Row],[BNO ID]])</f>
        <v>0</v>
      </c>
      <c r="AB80" s="172">
        <f>_xlfn.IFNA(_xlfn.XLOOKUP(identities_t[[#This Row],[BNO ID]],'Input 1 - Billing Run'!A:A,'Input 1 - Billing Run'!F:F),0)</f>
        <v>0</v>
      </c>
      <c r="AC80" s="171" t="str">
        <f>IF(_xlfn.XLOOKUP(identities_t[[#This Row],[Full X500]],'BNO Recon'!B:B,'BNO Recon'!AC:AC,"ERROR")&lt;&gt;"ERROR","OK","ERROR")</f>
        <v>ERROR</v>
      </c>
      <c r="AD80" s="171"/>
    </row>
    <row r="81" spans="1:51">
      <c r="A81" s="83">
        <v>0</v>
      </c>
      <c r="B81" s="36" t="str">
        <f>_xlfn.XLOOKUP(identities_t[[#This Row],[Subscription ID]],'DB - Subscriptions'!A:A,'DB - Subscriptions'!c_parties,"ERROR")</f>
        <v>Contour Pte. Ltd.</v>
      </c>
      <c r="C81" s="83">
        <f ca="1">_xlfn.XLOOKUP(identities_t[[#This Row],[Subscription ID]],'DB - Subscriptions'!A:A,'DB - Subscriptions'!Q:Q)</f>
        <v>113</v>
      </c>
      <c r="D81" s="36" t="str">
        <f>_xlfn.XLOOKUP(identities_t[[#This Row],[Contracting Party]],c_parties,'DB - Contracting Parties'!C:C)</f>
        <v>Types</v>
      </c>
      <c r="E81" s="36" t="b">
        <f>IF(identities_t[[#This Row],[Contracting Party]]="Contour Pte. Ltd.", TRUE, FALSE)</f>
        <v>1</v>
      </c>
      <c r="F81" s="36"/>
      <c r="G81" s="36"/>
      <c r="H81" s="113">
        <f>_xlfn.XLOOKUP(identities_t[[#This Row],[Initiative Code]],Codes!A:A,Codes!B:B,"N/A")</f>
        <v>0</v>
      </c>
      <c r="I81" s="36" t="s">
        <v>1332</v>
      </c>
      <c r="J81" s="36" t="s">
        <v>26</v>
      </c>
      <c r="K81" s="113"/>
      <c r="L81" s="113"/>
      <c r="M81" s="113"/>
      <c r="N81" s="36" t="str">
        <f>identities_t[[#This Row],[Identity Legal Entity Name (O)]]</f>
        <v>Contour Pte. Ltd.</v>
      </c>
      <c r="O81" s="36" t="s">
        <v>1332</v>
      </c>
      <c r="P81" s="36" t="s">
        <v>1024</v>
      </c>
      <c r="Q81" s="36" t="s">
        <v>1025</v>
      </c>
      <c r="R81" s="111"/>
      <c r="S81" s="36" t="s">
        <v>28</v>
      </c>
      <c r="T81" s="36"/>
      <c r="U81" s="36" t="str">
        <f>LOWER("OU="&amp;'DB - Identities'!$O81&amp;", O="&amp;'DB - Identities'!$N81&amp;", L="&amp;'DB - Identities'!$P81&amp;", C="&amp;'DB - Identities'!$Q81)</f>
        <v>ou=bayfront bank, o=contour pte. ltd., l=singapore, c=sg</v>
      </c>
      <c r="V81" s="83" t="str">
        <f>_xlfn.XLOOKUP(identities_t[[#This Row],[Full X500]],'Input 3 - BNO Members'!A:A,'Input 3 - BNO Members'!C:C,"ERROR")</f>
        <v>Active</v>
      </c>
      <c r="W81" s="83">
        <f>_xlfn.XLOOKUP(identities_t[[#This Row],[Full X500]],'Input 3 - BNO Members'!A:A,'Input 3 - BNO Members'!B:B,"ERROR")</f>
        <v>296240999</v>
      </c>
      <c r="X81" s="83">
        <f>_xlfn.XLOOKUP(U:U,'Input 3 - BNO Members'!A:A,'Input 3 - BNO Members'!E:E)</f>
        <v>50002</v>
      </c>
      <c r="Y81" s="83" t="str">
        <f>IF(_xlfn.XLOOKUP(identities_t[[#This Row],[Full X500]],'CNF Sponsorship'!B:B,'CNF Sponsorship'!A:A,"ERROR")&lt;&gt;"ERROR","OK","ERROR")</f>
        <v>ERROR</v>
      </c>
      <c r="Z81" s="83" t="str">
        <f>_xlfn.XLOOKUP(identities_t[[#This Row],[BNO ID]],'Input 1 - Billing Run'!A:A,'Input 1 - Billing Run'!C:C,"NOT FOUND")</f>
        <v>FAILURE</v>
      </c>
      <c r="AA81" s="37">
        <f>COUNTIF('Input 2 - Transactions'!C:C,identities_t[[#This Row],[BNO ID]])</f>
        <v>0</v>
      </c>
      <c r="AB81" s="37">
        <f>_xlfn.IFNA(_xlfn.XLOOKUP(identities_t[[#This Row],[BNO ID]],'Input 1 - Billing Run'!A:A,'Input 1 - Billing Run'!F:F),0)</f>
        <v>0</v>
      </c>
      <c r="AC81" s="83" t="str">
        <f>IF(_xlfn.XLOOKUP(identities_t[[#This Row],[Full X500]],'BNO Recon'!B:B,'BNO Recon'!AC:AC,"ERROR")&lt;&gt;"ERROR","OK","ERROR")</f>
        <v>OK</v>
      </c>
      <c r="AD81" s="171"/>
    </row>
    <row r="82" spans="1:51">
      <c r="A82" s="83">
        <v>0</v>
      </c>
      <c r="B82" s="36" t="str">
        <f>_xlfn.XLOOKUP(identities_t[[#This Row],[Subscription ID]],'DB - Subscriptions'!A:A,'DB - Subscriptions'!c_parties,"ERROR")</f>
        <v>Contour Pte. Ltd.</v>
      </c>
      <c r="C82" s="83">
        <f ca="1">_xlfn.XLOOKUP(identities_t[[#This Row],[Subscription ID]],'DB - Subscriptions'!A:A,'DB - Subscriptions'!Q:Q)</f>
        <v>113</v>
      </c>
      <c r="D82" s="36" t="str">
        <f>_xlfn.XLOOKUP(identities_t[[#This Row],[Contracting Party]],c_parties,'DB - Contracting Parties'!C:C)</f>
        <v>Types</v>
      </c>
      <c r="E82" s="36" t="b">
        <f>IF(identities_t[[#This Row],[Contracting Party]]="Contour Pte. Ltd.", TRUE, FALSE)</f>
        <v>1</v>
      </c>
      <c r="F82" s="36"/>
      <c r="G82" s="36"/>
      <c r="H82" s="113">
        <f>_xlfn.XLOOKUP(identities_t[[#This Row],[Initiative Code]],Codes!A:A,Codes!B:B,"N/A")</f>
        <v>0</v>
      </c>
      <c r="I82" s="36" t="s">
        <v>1333</v>
      </c>
      <c r="J82" s="36" t="s">
        <v>26</v>
      </c>
      <c r="K82" s="113"/>
      <c r="L82" s="113"/>
      <c r="M82" s="113"/>
      <c r="N82" s="36" t="str">
        <f>identities_t[[#This Row],[Identity Legal Entity Name (O)]]</f>
        <v>Contour Pte. Ltd.</v>
      </c>
      <c r="O82" s="36" t="s">
        <v>1333</v>
      </c>
      <c r="P82" s="36" t="s">
        <v>1024</v>
      </c>
      <c r="Q82" s="36" t="s">
        <v>1025</v>
      </c>
      <c r="R82" s="111"/>
      <c r="S82" s="36" t="s">
        <v>28</v>
      </c>
      <c r="T82" s="36"/>
      <c r="U82" s="36" t="str">
        <f>LOWER("OU="&amp;'DB - Identities'!$O82&amp;", O="&amp;'DB - Identities'!$N82&amp;", L="&amp;'DB - Identities'!$P82&amp;", C="&amp;'DB - Identities'!$Q82)</f>
        <v>ou=century bank, o=contour pte. ltd., l=singapore, c=sg</v>
      </c>
      <c r="V82" s="83" t="str">
        <f>_xlfn.XLOOKUP(identities_t[[#This Row],[Full X500]],'Input 3 - BNO Members'!A:A,'Input 3 - BNO Members'!C:C,"ERROR")</f>
        <v>Active</v>
      </c>
      <c r="W82" s="83">
        <f>_xlfn.XLOOKUP(identities_t[[#This Row],[Full X500]],'Input 3 - BNO Members'!A:A,'Input 3 - BNO Members'!B:B,"ERROR")</f>
        <v>123744915</v>
      </c>
      <c r="X82" s="83">
        <f>_xlfn.XLOOKUP(U:U,'Input 3 - BNO Members'!A:A,'Input 3 - BNO Members'!E:E)</f>
        <v>60100</v>
      </c>
      <c r="Y82" s="83" t="str">
        <f>IF(_xlfn.XLOOKUP(identities_t[[#This Row],[Full X500]],'CNF Sponsorship'!B:B,'CNF Sponsorship'!A:A,"ERROR")&lt;&gt;"ERROR","OK","ERROR")</f>
        <v>ERROR</v>
      </c>
      <c r="Z82" s="83" t="str">
        <f>_xlfn.XLOOKUP(identities_t[[#This Row],[BNO ID]],'Input 1 - Billing Run'!A:A,'Input 1 - Billing Run'!C:C,"NOT FOUND")</f>
        <v>SUCCESS</v>
      </c>
      <c r="AA82" s="37">
        <f>COUNTIF('Input 2 - Transactions'!C:C,identities_t[[#This Row],[BNO ID]])</f>
        <v>0</v>
      </c>
      <c r="AB82" s="37">
        <f>_xlfn.IFNA(_xlfn.XLOOKUP(identities_t[[#This Row],[BNO ID]],'Input 1 - Billing Run'!A:A,'Input 1 - Billing Run'!F:F),0)</f>
        <v>420</v>
      </c>
      <c r="AC82" s="83" t="str">
        <f>IF(_xlfn.XLOOKUP(identities_t[[#This Row],[Full X500]],'BNO Recon'!B:B,'BNO Recon'!AC:AC,"ERROR")&lt;&gt;"ERROR","OK","ERROR")</f>
        <v>OK</v>
      </c>
      <c r="AD82" s="171"/>
    </row>
    <row r="83" spans="1:51">
      <c r="A83" s="83">
        <v>0</v>
      </c>
      <c r="B83" s="36" t="str">
        <f>_xlfn.XLOOKUP(identities_t[[#This Row],[Subscription ID]],'DB - Subscriptions'!A:A,'DB - Subscriptions'!c_parties,"ERROR")</f>
        <v>Contour Pte. Ltd.</v>
      </c>
      <c r="C83" s="83">
        <f ca="1">_xlfn.XLOOKUP(identities_t[[#This Row],[Subscription ID]],'DB - Subscriptions'!A:A,'DB - Subscriptions'!Q:Q)</f>
        <v>113</v>
      </c>
      <c r="D83" s="36" t="str">
        <f>_xlfn.XLOOKUP(identities_t[[#This Row],[Contracting Party]],c_parties,'DB - Contracting Parties'!C:C)</f>
        <v>Types</v>
      </c>
      <c r="E83" s="36" t="b">
        <f>IF(identities_t[[#This Row],[Contracting Party]]="Contour Pte. Ltd.", TRUE, FALSE)</f>
        <v>1</v>
      </c>
      <c r="F83" s="36"/>
      <c r="G83" s="36"/>
      <c r="H83" s="113">
        <f>_xlfn.XLOOKUP(identities_t[[#This Row],[Initiative Code]],Codes!A:A,Codes!B:B,"N/A")</f>
        <v>0</v>
      </c>
      <c r="I83" s="36" t="s">
        <v>1334</v>
      </c>
      <c r="J83" s="36" t="s">
        <v>26</v>
      </c>
      <c r="K83" s="113"/>
      <c r="L83" s="113"/>
      <c r="M83" s="113"/>
      <c r="N83" s="36" t="str">
        <f>identities_t[[#This Row],[Identity Legal Entity Name (O)]]</f>
        <v>Contour Pte. Ltd.</v>
      </c>
      <c r="O83" s="36" t="s">
        <v>1334</v>
      </c>
      <c r="P83" s="36" t="s">
        <v>1024</v>
      </c>
      <c r="Q83" s="36" t="s">
        <v>1025</v>
      </c>
      <c r="R83" s="111"/>
      <c r="S83" s="36" t="s">
        <v>28</v>
      </c>
      <c r="T83" s="36"/>
      <c r="U83" s="36" t="str">
        <f>LOWER("OU="&amp;'DB - Identities'!$O83&amp;", O="&amp;'DB - Identities'!$N83&amp;", L="&amp;'DB - Identities'!$P83&amp;", C="&amp;'DB - Identities'!$Q83)</f>
        <v>ou=comprehensive corp, o=contour pte. ltd., l=singapore, c=sg</v>
      </c>
      <c r="V83" s="83" t="str">
        <f>_xlfn.XLOOKUP(identities_t[[#This Row],[Full X500]],'Input 3 - BNO Members'!A:A,'Input 3 - BNO Members'!C:C,"ERROR")</f>
        <v>Active</v>
      </c>
      <c r="W83" s="83">
        <f>_xlfn.XLOOKUP(identities_t[[#This Row],[Full X500]],'Input 3 - BNO Members'!A:A,'Input 3 - BNO Members'!B:B,"ERROR")</f>
        <v>793152576</v>
      </c>
      <c r="X83" s="83">
        <f>_xlfn.XLOOKUP(U:U,'Input 3 - BNO Members'!A:A,'Input 3 - BNO Members'!E:E)</f>
        <v>60100</v>
      </c>
      <c r="Y83" s="83" t="str">
        <f>IF(_xlfn.XLOOKUP(identities_t[[#This Row],[Full X500]],'CNF Sponsorship'!B:B,'CNF Sponsorship'!A:A,"ERROR")&lt;&gt;"ERROR","OK","ERROR")</f>
        <v>ERROR</v>
      </c>
      <c r="Z83" s="83" t="str">
        <f>_xlfn.XLOOKUP(identities_t[[#This Row],[BNO ID]],'Input 1 - Billing Run'!A:A,'Input 1 - Billing Run'!C:C,"NOT FOUND")</f>
        <v>SUCCESS</v>
      </c>
      <c r="AA83" s="37">
        <f>COUNTIF('Input 2 - Transactions'!C:C,identities_t[[#This Row],[BNO ID]])</f>
        <v>0</v>
      </c>
      <c r="AB83" s="37">
        <f>_xlfn.IFNA(_xlfn.XLOOKUP(identities_t[[#This Row],[BNO ID]],'Input 1 - Billing Run'!A:A,'Input 1 - Billing Run'!F:F),0)</f>
        <v>4</v>
      </c>
      <c r="AC83" s="83" t="str">
        <f>IF(_xlfn.XLOOKUP(identities_t[[#This Row],[Full X500]],'BNO Recon'!B:B,'BNO Recon'!AC:AC,"ERROR")&lt;&gt;"ERROR","OK","ERROR")</f>
        <v>OK</v>
      </c>
      <c r="AD83" s="171"/>
    </row>
    <row r="84" spans="1:51">
      <c r="A84" s="83">
        <v>0</v>
      </c>
      <c r="B84" s="36" t="str">
        <f>_xlfn.XLOOKUP(identities_t[[#This Row],[Subscription ID]],'DB - Subscriptions'!A:A,'DB - Subscriptions'!c_parties,"ERROR")</f>
        <v>Contour Pte. Ltd.</v>
      </c>
      <c r="C84" s="83">
        <f ca="1">_xlfn.XLOOKUP(identities_t[[#This Row],[Subscription ID]],'DB - Subscriptions'!A:A,'DB - Subscriptions'!Q:Q)</f>
        <v>113</v>
      </c>
      <c r="D84" s="36" t="str">
        <f>_xlfn.XLOOKUP(identities_t[[#This Row],[Contracting Party]],c_parties,'DB - Contracting Parties'!C:C)</f>
        <v>Types</v>
      </c>
      <c r="E84" s="36" t="b">
        <f>IF(identities_t[[#This Row],[Contracting Party]]="Contour Pte. Ltd.", TRUE, FALSE)</f>
        <v>1</v>
      </c>
      <c r="F84" s="36"/>
      <c r="G84" s="36"/>
      <c r="H84" s="113">
        <f>_xlfn.XLOOKUP(identities_t[[#This Row],[Initiative Code]],Codes!A:A,Codes!B:B,"N/A")</f>
        <v>0</v>
      </c>
      <c r="I84" s="36" t="s">
        <v>1335</v>
      </c>
      <c r="J84" s="36" t="s">
        <v>26</v>
      </c>
      <c r="K84" s="113"/>
      <c r="L84" s="113"/>
      <c r="M84" s="113"/>
      <c r="N84" s="36" t="str">
        <f>identities_t[[#This Row],[Identity Legal Entity Name (O)]]</f>
        <v>Contour Pte. Ltd.</v>
      </c>
      <c r="O84" s="36" t="s">
        <v>1335</v>
      </c>
      <c r="P84" s="36" t="s">
        <v>1024</v>
      </c>
      <c r="Q84" s="36" t="s">
        <v>1025</v>
      </c>
      <c r="R84" s="111"/>
      <c r="S84" s="36" t="s">
        <v>28</v>
      </c>
      <c r="T84" s="36"/>
      <c r="U84" s="36" t="str">
        <f>LOWER("OU="&amp;'DB - Identities'!$O84&amp;", O="&amp;'DB - Identities'!$N84&amp;", L="&amp;'DB - Identities'!$P84&amp;", C="&amp;'DB - Identities'!$Q84)</f>
        <v>ou=comprehensive fabric, o=contour pte. ltd., l=singapore, c=sg</v>
      </c>
      <c r="V84" s="83" t="str">
        <f>_xlfn.XLOOKUP(identities_t[[#This Row],[Full X500]],'Input 3 - BNO Members'!A:A,'Input 3 - BNO Members'!C:C,"ERROR")</f>
        <v>Active</v>
      </c>
      <c r="W84" s="83">
        <f>_xlfn.XLOOKUP(identities_t[[#This Row],[Full X500]],'Input 3 - BNO Members'!A:A,'Input 3 - BNO Members'!B:B,"ERROR")</f>
        <v>287885091</v>
      </c>
      <c r="X84" s="83">
        <f>_xlfn.XLOOKUP(U:U,'Input 3 - BNO Members'!A:A,'Input 3 - BNO Members'!E:E)</f>
        <v>60100</v>
      </c>
      <c r="Y84" s="83" t="str">
        <f>IF(_xlfn.XLOOKUP(identities_t[[#This Row],[Full X500]],'CNF Sponsorship'!B:B,'CNF Sponsorship'!A:A,"ERROR")&lt;&gt;"ERROR","OK","ERROR")</f>
        <v>ERROR</v>
      </c>
      <c r="Z84" s="83" t="str">
        <f>_xlfn.XLOOKUP(identities_t[[#This Row],[BNO ID]],'Input 1 - Billing Run'!A:A,'Input 1 - Billing Run'!C:C,"NOT FOUND")</f>
        <v>FAILURE</v>
      </c>
      <c r="AA84" s="37">
        <f>COUNTIF('Input 2 - Transactions'!C:C,identities_t[[#This Row],[BNO ID]])</f>
        <v>0</v>
      </c>
      <c r="AB84" s="37">
        <f>_xlfn.IFNA(_xlfn.XLOOKUP(identities_t[[#This Row],[BNO ID]],'Input 1 - Billing Run'!A:A,'Input 1 - Billing Run'!F:F),0)</f>
        <v>0</v>
      </c>
      <c r="AC84" s="83" t="str">
        <f>IF(_xlfn.XLOOKUP(identities_t[[#This Row],[Full X500]],'BNO Recon'!B:B,'BNO Recon'!AC:AC,"ERROR")&lt;&gt;"ERROR","OK","ERROR")</f>
        <v>OK</v>
      </c>
      <c r="AD84" s="171"/>
    </row>
    <row r="85" spans="1:51">
      <c r="A85" s="83">
        <v>0</v>
      </c>
      <c r="B85" s="36" t="str">
        <f>_xlfn.XLOOKUP(identities_t[[#This Row],[Subscription ID]],'DB - Subscriptions'!A:A,'DB - Subscriptions'!c_parties,"ERROR")</f>
        <v>Contour Pte. Ltd.</v>
      </c>
      <c r="C85" s="83">
        <f ca="1">_xlfn.XLOOKUP(identities_t[[#This Row],[Subscription ID]],'DB - Subscriptions'!A:A,'DB - Subscriptions'!Q:Q)</f>
        <v>113</v>
      </c>
      <c r="D85" s="36" t="str">
        <f>_xlfn.XLOOKUP(identities_t[[#This Row],[Contracting Party]],c_parties,'DB - Contracting Parties'!C:C)</f>
        <v>Types</v>
      </c>
      <c r="E85" s="36" t="b">
        <f>IF(identities_t[[#This Row],[Contracting Party]]="Contour Pte. Ltd.", TRUE, FALSE)</f>
        <v>1</v>
      </c>
      <c r="F85" s="36"/>
      <c r="G85" s="36"/>
      <c r="H85" s="113">
        <f>_xlfn.XLOOKUP(identities_t[[#This Row],[Initiative Code]],Codes!A:A,Codes!B:B,"N/A")</f>
        <v>0</v>
      </c>
      <c r="I85" s="36" t="s">
        <v>1336</v>
      </c>
      <c r="J85" s="36" t="s">
        <v>26</v>
      </c>
      <c r="K85" s="113"/>
      <c r="L85" s="113"/>
      <c r="M85" s="113"/>
      <c r="N85" s="36" t="str">
        <f>identities_t[[#This Row],[Identity Legal Entity Name (O)]]</f>
        <v>Contour Pte. Ltd.</v>
      </c>
      <c r="O85" s="36" t="s">
        <v>1336</v>
      </c>
      <c r="P85" s="36" t="s">
        <v>1024</v>
      </c>
      <c r="Q85" s="36" t="s">
        <v>1025</v>
      </c>
      <c r="R85" s="111"/>
      <c r="S85" s="36" t="s">
        <v>28</v>
      </c>
      <c r="T85" s="36"/>
      <c r="U85" s="36" t="str">
        <f>LOWER("OU="&amp;'DB - Identities'!$O85&amp;", O="&amp;'DB - Identities'!$N85&amp;", L="&amp;'DB - Identities'!$P85&amp;", C="&amp;'DB - Identities'!$Q85)</f>
        <v>ou=asia best bank, o=contour pte. ltd., l=singapore, c=sg</v>
      </c>
      <c r="V85" s="83" t="str">
        <f>_xlfn.XLOOKUP(identities_t[[#This Row],[Full X500]],'Input 3 - BNO Members'!A:A,'Input 3 - BNO Members'!C:C,"ERROR")</f>
        <v>Active</v>
      </c>
      <c r="W85" s="83">
        <f>_xlfn.XLOOKUP(identities_t[[#This Row],[Full X500]],'Input 3 - BNO Members'!A:A,'Input 3 - BNO Members'!B:B,"ERROR")</f>
        <v>647136517</v>
      </c>
      <c r="X85" s="83">
        <f>_xlfn.XLOOKUP(U:U,'Input 3 - BNO Members'!A:A,'Input 3 - BNO Members'!E:E)</f>
        <v>60100</v>
      </c>
      <c r="Y85" s="83" t="str">
        <f>IF(_xlfn.XLOOKUP(identities_t[[#This Row],[Full X500]],'CNF Sponsorship'!B:B,'CNF Sponsorship'!A:A,"ERROR")&lt;&gt;"ERROR","OK","ERROR")</f>
        <v>ERROR</v>
      </c>
      <c r="Z85" s="83" t="str">
        <f>_xlfn.XLOOKUP(identities_t[[#This Row],[BNO ID]],'Input 1 - Billing Run'!A:A,'Input 1 - Billing Run'!C:C,"NOT FOUND")</f>
        <v>FAILURE</v>
      </c>
      <c r="AA85" s="37">
        <f>COUNTIF('Input 2 - Transactions'!C:C,identities_t[[#This Row],[BNO ID]])</f>
        <v>0</v>
      </c>
      <c r="AB85" s="37">
        <f>_xlfn.IFNA(_xlfn.XLOOKUP(identities_t[[#This Row],[BNO ID]],'Input 1 - Billing Run'!A:A,'Input 1 - Billing Run'!F:F),0)</f>
        <v>2</v>
      </c>
      <c r="AC85" s="83" t="str">
        <f>IF(_xlfn.XLOOKUP(identities_t[[#This Row],[Full X500]],'BNO Recon'!B:B,'BNO Recon'!AC:AC,"ERROR")&lt;&gt;"ERROR","OK","ERROR")</f>
        <v>OK</v>
      </c>
      <c r="AD85" s="171"/>
    </row>
    <row r="86" spans="1:51">
      <c r="A86" s="83">
        <v>0</v>
      </c>
      <c r="B86" s="36" t="str">
        <f>_xlfn.XLOOKUP(identities_t[[#This Row],[Subscription ID]],'DB - Subscriptions'!A:A,'DB - Subscriptions'!c_parties,"ERROR")</f>
        <v>Contour Pte. Ltd.</v>
      </c>
      <c r="C86" s="83">
        <f ca="1">_xlfn.XLOOKUP(identities_t[[#This Row],[Subscription ID]],'DB - Subscriptions'!A:A,'DB - Subscriptions'!Q:Q)</f>
        <v>113</v>
      </c>
      <c r="D86" s="36" t="str">
        <f>_xlfn.XLOOKUP(identities_t[[#This Row],[Contracting Party]],c_parties,'DB - Contracting Parties'!C:C)</f>
        <v>Types</v>
      </c>
      <c r="E86" s="36" t="b">
        <f>IF(identities_t[[#This Row],[Contracting Party]]="Contour Pte. Ltd.", TRUE, FALSE)</f>
        <v>1</v>
      </c>
      <c r="F86" s="36"/>
      <c r="G86" s="36"/>
      <c r="H86" s="113">
        <f>_xlfn.XLOOKUP(identities_t[[#This Row],[Initiative Code]],Codes!A:A,Codes!B:B,"N/A")</f>
        <v>0</v>
      </c>
      <c r="I86" s="36" t="s">
        <v>1337</v>
      </c>
      <c r="J86" s="36" t="s">
        <v>26</v>
      </c>
      <c r="K86" s="113"/>
      <c r="L86" s="113"/>
      <c r="M86" s="113"/>
      <c r="N86" s="36" t="str">
        <f>identities_t[[#This Row],[Identity Legal Entity Name (O)]]</f>
        <v>Contour Pte. Ltd.</v>
      </c>
      <c r="O86" s="36" t="s">
        <v>1337</v>
      </c>
      <c r="P86" s="36" t="s">
        <v>1024</v>
      </c>
      <c r="Q86" s="36" t="s">
        <v>1025</v>
      </c>
      <c r="R86" s="111"/>
      <c r="S86" s="36" t="s">
        <v>28</v>
      </c>
      <c r="T86" s="36"/>
      <c r="U86" s="36" t="str">
        <f>LOWER("OU="&amp;'DB - Identities'!$O86&amp;", O="&amp;'DB - Identities'!$N86&amp;", L="&amp;'DB - Identities'!$P86&amp;", C="&amp;'DB - Identities'!$Q86)</f>
        <v>ou=delta one corp, o=contour pte. ltd., l=singapore, c=sg</v>
      </c>
      <c r="V86" s="83" t="str">
        <f>_xlfn.XLOOKUP(identities_t[[#This Row],[Full X500]],'Input 3 - BNO Members'!A:A,'Input 3 - BNO Members'!C:C,"ERROR")</f>
        <v>Active</v>
      </c>
      <c r="W86" s="83">
        <f>_xlfn.XLOOKUP(identities_t[[#This Row],[Full X500]],'Input 3 - BNO Members'!A:A,'Input 3 - BNO Members'!B:B,"ERROR")</f>
        <v>116301400</v>
      </c>
      <c r="X86" s="83">
        <f>_xlfn.XLOOKUP(U:U,'Input 3 - BNO Members'!A:A,'Input 3 - BNO Members'!E:E)</f>
        <v>60000</v>
      </c>
      <c r="Y86" s="83" t="str">
        <f>IF(_xlfn.XLOOKUP(identities_t[[#This Row],[Full X500]],'CNF Sponsorship'!B:B,'CNF Sponsorship'!A:A,"ERROR")&lt;&gt;"ERROR","OK","ERROR")</f>
        <v>ERROR</v>
      </c>
      <c r="Z86" s="83" t="str">
        <f>_xlfn.XLOOKUP(identities_t[[#This Row],[BNO ID]],'Input 1 - Billing Run'!A:A,'Input 1 - Billing Run'!C:C,"NOT FOUND")</f>
        <v>SUCCESS</v>
      </c>
      <c r="AA86" s="37">
        <f>COUNTIF('Input 2 - Transactions'!C:C,identities_t[[#This Row],[BNO ID]])</f>
        <v>0</v>
      </c>
      <c r="AB86" s="37">
        <f>_xlfn.IFNA(_xlfn.XLOOKUP(identities_t[[#This Row],[BNO ID]],'Input 1 - Billing Run'!A:A,'Input 1 - Billing Run'!F:F),0)</f>
        <v>18</v>
      </c>
      <c r="AC86" s="83" t="str">
        <f>IF(_xlfn.XLOOKUP(identities_t[[#This Row],[Full X500]],'BNO Recon'!B:B,'BNO Recon'!AC:AC,"ERROR")&lt;&gt;"ERROR","OK","ERROR")</f>
        <v>OK</v>
      </c>
      <c r="AD86" s="171"/>
      <c r="AY86" s="112"/>
    </row>
    <row r="87" spans="1:51">
      <c r="A87" s="83">
        <v>0</v>
      </c>
      <c r="B87" s="36" t="str">
        <f>_xlfn.XLOOKUP(identities_t[[#This Row],[Subscription ID]],'DB - Subscriptions'!A:A,'DB - Subscriptions'!c_parties,"ERROR")</f>
        <v>Contour Pte. Ltd.</v>
      </c>
      <c r="C87" s="83">
        <f ca="1">_xlfn.XLOOKUP(identities_t[[#This Row],[Subscription ID]],'DB - Subscriptions'!A:A,'DB - Subscriptions'!Q:Q)</f>
        <v>113</v>
      </c>
      <c r="D87" s="36" t="str">
        <f>_xlfn.XLOOKUP(identities_t[[#This Row],[Contracting Party]],c_parties,'DB - Contracting Parties'!C:C)</f>
        <v>Types</v>
      </c>
      <c r="E87" s="36" t="b">
        <f>IF(identities_t[[#This Row],[Contracting Party]]="Contour Pte. Ltd.", TRUE, FALSE)</f>
        <v>1</v>
      </c>
      <c r="F87" s="36"/>
      <c r="G87" s="36"/>
      <c r="H87" s="113">
        <f>_xlfn.XLOOKUP(identities_t[[#This Row],[Initiative Code]],Codes!A:A,Codes!B:B,"N/A")</f>
        <v>0</v>
      </c>
      <c r="I87" s="36" t="s">
        <v>1338</v>
      </c>
      <c r="J87" s="36" t="s">
        <v>26</v>
      </c>
      <c r="K87" s="113"/>
      <c r="L87" s="113"/>
      <c r="M87" s="113"/>
      <c r="N87" s="36" t="str">
        <f>identities_t[[#This Row],[Identity Legal Entity Name (O)]]</f>
        <v>Contour Pte. Ltd.</v>
      </c>
      <c r="O87" s="36" t="s">
        <v>1338</v>
      </c>
      <c r="P87" s="36" t="s">
        <v>1024</v>
      </c>
      <c r="Q87" s="36" t="s">
        <v>1025</v>
      </c>
      <c r="R87" s="111"/>
      <c r="S87" s="36" t="s">
        <v>28</v>
      </c>
      <c r="T87" s="36"/>
      <c r="U87" s="36" t="str">
        <f>LOWER("OU="&amp;'DB - Identities'!$O87&amp;", O="&amp;'DB - Identities'!$N87&amp;", L="&amp;'DB - Identities'!$P87&amp;", C="&amp;'DB - Identities'!$Q87)</f>
        <v>ou=good design, o=contour pte. ltd., l=singapore, c=sg</v>
      </c>
      <c r="V87" s="83" t="str">
        <f>_xlfn.XLOOKUP(identities_t[[#This Row],[Full X500]],'Input 3 - BNO Members'!A:A,'Input 3 - BNO Members'!C:C,"ERROR")</f>
        <v>Active</v>
      </c>
      <c r="W87" s="83">
        <f>_xlfn.XLOOKUP(identities_t[[#This Row],[Full X500]],'Input 3 - BNO Members'!A:A,'Input 3 - BNO Members'!B:B,"ERROR")</f>
        <v>576038790</v>
      </c>
      <c r="X87" s="83">
        <f>_xlfn.XLOOKUP(U:U,'Input 3 - BNO Members'!A:A,'Input 3 - BNO Members'!E:E)</f>
        <v>60000</v>
      </c>
      <c r="Y87" s="83" t="str">
        <f>IF(_xlfn.XLOOKUP(identities_t[[#This Row],[Full X500]],'CNF Sponsorship'!B:B,'CNF Sponsorship'!A:A,"ERROR")&lt;&gt;"ERROR","OK","ERROR")</f>
        <v>ERROR</v>
      </c>
      <c r="Z87" s="83" t="str">
        <f>_xlfn.XLOOKUP(identities_t[[#This Row],[BNO ID]],'Input 1 - Billing Run'!A:A,'Input 1 - Billing Run'!C:C,"NOT FOUND")</f>
        <v>FAILURE</v>
      </c>
      <c r="AA87" s="37">
        <f>COUNTIF('Input 2 - Transactions'!C:C,identities_t[[#This Row],[BNO ID]])</f>
        <v>0</v>
      </c>
      <c r="AB87" s="37">
        <f>_xlfn.IFNA(_xlfn.XLOOKUP(identities_t[[#This Row],[BNO ID]],'Input 1 - Billing Run'!A:A,'Input 1 - Billing Run'!F:F),0)</f>
        <v>1</v>
      </c>
      <c r="AC87" s="83" t="str">
        <f>IF(_xlfn.XLOOKUP(identities_t[[#This Row],[Full X500]],'BNO Recon'!B:B,'BNO Recon'!AC:AC,"ERROR")&lt;&gt;"ERROR","OK","ERROR")</f>
        <v>OK</v>
      </c>
      <c r="AD87" s="171"/>
    </row>
    <row r="88" spans="1:51">
      <c r="A88" s="83">
        <v>0</v>
      </c>
      <c r="B88" s="36" t="str">
        <f>_xlfn.XLOOKUP(identities_t[[#This Row],[Subscription ID]],'DB - Subscriptions'!A:A,'DB - Subscriptions'!c_parties,"ERROR")</f>
        <v>Contour Pte. Ltd.</v>
      </c>
      <c r="C88" s="83">
        <f ca="1">_xlfn.XLOOKUP(identities_t[[#This Row],[Subscription ID]],'DB - Subscriptions'!A:A,'DB - Subscriptions'!Q:Q)</f>
        <v>113</v>
      </c>
      <c r="D88" s="36" t="str">
        <f>_xlfn.XLOOKUP(identities_t[[#This Row],[Contracting Party]],c_parties,'DB - Contracting Parties'!C:C)</f>
        <v>Types</v>
      </c>
      <c r="E88" s="36" t="b">
        <f>IF(identities_t[[#This Row],[Contracting Party]]="Contour Pte. Ltd.", TRUE, FALSE)</f>
        <v>1</v>
      </c>
      <c r="F88" s="36"/>
      <c r="G88" s="36"/>
      <c r="H88" s="113">
        <f>_xlfn.XLOOKUP(identities_t[[#This Row],[Initiative Code]],Codes!A:A,Codes!B:B,"N/A")</f>
        <v>0</v>
      </c>
      <c r="I88" s="185" t="s">
        <v>1339</v>
      </c>
      <c r="J88" s="36" t="s">
        <v>26</v>
      </c>
      <c r="K88" s="113"/>
      <c r="L88" s="113"/>
      <c r="M88" s="113"/>
      <c r="N88" s="36" t="str">
        <f>identities_t[[#This Row],[Identity Legal Entity Name (O)]]</f>
        <v>Contour Pte. Ltd.</v>
      </c>
      <c r="O88" s="36" t="s">
        <v>1340</v>
      </c>
      <c r="P88" s="36" t="s">
        <v>1024</v>
      </c>
      <c r="Q88" s="36" t="s">
        <v>1025</v>
      </c>
      <c r="R88" s="111"/>
      <c r="S88" s="36" t="s">
        <v>28</v>
      </c>
      <c r="T88" s="36"/>
      <c r="U88" s="36" t="str">
        <f>LOWER("OU="&amp;'DB - Identities'!$O88&amp;", O="&amp;'DB - Identities'!$N88&amp;", L="&amp;'DB - Identities'!$P88&amp;", C="&amp;'DB - Identities'!$Q88)</f>
        <v>ou=mid atlantic bank, o=contour pte. ltd., l=singapore, c=sg</v>
      </c>
      <c r="V88" s="83" t="str">
        <f>_xlfn.XLOOKUP(identities_t[[#This Row],[Full X500]],'Input 3 - BNO Members'!A:A,'Input 3 - BNO Members'!C:C,"ERROR")</f>
        <v>Active</v>
      </c>
      <c r="W88" s="83">
        <f>_xlfn.XLOOKUP(identities_t[[#This Row],[Full X500]],'Input 3 - BNO Members'!A:A,'Input 3 - BNO Members'!B:B,"ERROR")</f>
        <v>297362855</v>
      </c>
      <c r="X88" s="83">
        <f>_xlfn.XLOOKUP(U:U,'Input 3 - BNO Members'!A:A,'Input 3 - BNO Members'!E:E)</f>
        <v>60000</v>
      </c>
      <c r="Y88" s="83" t="str">
        <f>IF(_xlfn.XLOOKUP(identities_t[[#This Row],[Full X500]],'CNF Sponsorship'!B:B,'CNF Sponsorship'!A:A,"ERROR")&lt;&gt;"ERROR","OK","ERROR")</f>
        <v>ERROR</v>
      </c>
      <c r="Z88" s="83" t="str">
        <f>_xlfn.XLOOKUP(identities_t[[#This Row],[BNO ID]],'Input 1 - Billing Run'!A:A,'Input 1 - Billing Run'!C:C,"NOT FOUND")</f>
        <v>FAILURE</v>
      </c>
      <c r="AA88" s="37">
        <f>COUNTIF('Input 2 - Transactions'!C:C,identities_t[[#This Row],[BNO ID]])</f>
        <v>0</v>
      </c>
      <c r="AB88" s="37">
        <f>_xlfn.IFNA(_xlfn.XLOOKUP(identities_t[[#This Row],[BNO ID]],'Input 1 - Billing Run'!A:A,'Input 1 - Billing Run'!F:F),0)</f>
        <v>1</v>
      </c>
      <c r="AC88" s="83" t="str">
        <f>IF(_xlfn.XLOOKUP(identities_t[[#This Row],[Full X500]],'BNO Recon'!B:B,'BNO Recon'!AC:AC,"ERROR")&lt;&gt;"ERROR","OK","ERROR")</f>
        <v>OK</v>
      </c>
      <c r="AD88" s="171"/>
    </row>
    <row r="89" spans="1:51">
      <c r="A89" s="83">
        <v>0</v>
      </c>
      <c r="B89" s="36" t="str">
        <f>_xlfn.XLOOKUP(identities_t[[#This Row],[Subscription ID]],'DB - Subscriptions'!A:A,'DB - Subscriptions'!c_parties,"ERROR")</f>
        <v>Contour Pte. Ltd.</v>
      </c>
      <c r="C89" s="83">
        <f ca="1">_xlfn.XLOOKUP(identities_t[[#This Row],[Subscription ID]],'DB - Subscriptions'!A:A,'DB - Subscriptions'!Q:Q)</f>
        <v>113</v>
      </c>
      <c r="D89" s="36" t="str">
        <f>_xlfn.XLOOKUP(identities_t[[#This Row],[Contracting Party]],c_parties,'DB - Contracting Parties'!C:C)</f>
        <v>Types</v>
      </c>
      <c r="E89" s="36" t="b">
        <f>IF(identities_t[[#This Row],[Contracting Party]]="Contour Pte. Ltd.", TRUE, FALSE)</f>
        <v>1</v>
      </c>
      <c r="F89" s="36"/>
      <c r="G89" s="36"/>
      <c r="H89" s="113">
        <f>_xlfn.XLOOKUP(identities_t[[#This Row],[Initiative Code]],Codes!A:A,Codes!B:B,"N/A")</f>
        <v>0</v>
      </c>
      <c r="I89" s="36" t="s">
        <v>1341</v>
      </c>
      <c r="J89" s="36" t="s">
        <v>26</v>
      </c>
      <c r="K89" s="113"/>
      <c r="L89" s="113"/>
      <c r="M89" s="113"/>
      <c r="N89" s="36" t="str">
        <f>identities_t[[#This Row],[Identity Legal Entity Name (O)]]</f>
        <v>Contour Pte. Ltd.</v>
      </c>
      <c r="O89" s="36" t="s">
        <v>1341</v>
      </c>
      <c r="P89" s="36" t="s">
        <v>1024</v>
      </c>
      <c r="Q89" s="36" t="s">
        <v>1025</v>
      </c>
      <c r="R89" s="111"/>
      <c r="S89" s="36" t="s">
        <v>28</v>
      </c>
      <c r="T89" s="36"/>
      <c r="U89" s="36" t="str">
        <f>LOWER("OU="&amp;'DB - Identities'!$O89&amp;", O="&amp;'DB - Identities'!$N89&amp;", L="&amp;'DB - Identities'!$P89&amp;", C="&amp;'DB - Identities'!$Q89)</f>
        <v>ou=dictionary bank, o=contour pte. ltd., l=singapore, c=sg</v>
      </c>
      <c r="V89" s="83" t="str">
        <f>_xlfn.XLOOKUP(identities_t[[#This Row],[Full X500]],'Input 3 - BNO Members'!A:A,'Input 3 - BNO Members'!C:C,"ERROR")</f>
        <v>Active</v>
      </c>
      <c r="W89" s="83">
        <f>_xlfn.XLOOKUP(identities_t[[#This Row],[Full X500]],'Input 3 - BNO Members'!A:A,'Input 3 - BNO Members'!B:B,"ERROR")</f>
        <v>43013727</v>
      </c>
      <c r="X89" s="83">
        <f>_xlfn.XLOOKUP(U:U,'Input 3 - BNO Members'!A:A,'Input 3 - BNO Members'!E:E)</f>
        <v>60000</v>
      </c>
      <c r="Y89" s="83" t="str">
        <f>IF(_xlfn.XLOOKUP(identities_t[[#This Row],[Full X500]],'CNF Sponsorship'!B:B,'CNF Sponsorship'!A:A,"ERROR")&lt;&gt;"ERROR","OK","ERROR")</f>
        <v>ERROR</v>
      </c>
      <c r="Z89" s="83" t="str">
        <f>_xlfn.XLOOKUP(identities_t[[#This Row],[BNO ID]],'Input 1 - Billing Run'!A:A,'Input 1 - Billing Run'!C:C,"NOT FOUND")</f>
        <v>SUCCESS</v>
      </c>
      <c r="AA89" s="37">
        <f>COUNTIF('Input 2 - Transactions'!C:C,identities_t[[#This Row],[BNO ID]])</f>
        <v>0</v>
      </c>
      <c r="AB89" s="37">
        <f>_xlfn.IFNA(_xlfn.XLOOKUP(identities_t[[#This Row],[BNO ID]],'Input 1 - Billing Run'!A:A,'Input 1 - Billing Run'!F:F),0)</f>
        <v>31</v>
      </c>
      <c r="AC89" s="120" t="str">
        <f>IF(_xlfn.XLOOKUP(identities_t[[#This Row],[Full X500]],'BNO Recon'!B:B,'BNO Recon'!AC:AC,"ERROR")&lt;&gt;"ERROR","OK","ERROR")</f>
        <v>OK</v>
      </c>
      <c r="AD89" s="184"/>
    </row>
    <row r="92" spans="1:51">
      <c r="L92" s="14" t="s">
        <v>1342</v>
      </c>
    </row>
    <row r="94" spans="1:51">
      <c r="E94" s="266"/>
      <c r="F94" s="266"/>
      <c r="G94" s="266"/>
      <c r="H94" s="266"/>
      <c r="I94" s="225"/>
      <c r="J94" s="225"/>
      <c r="K94" s="225"/>
      <c r="L94"/>
    </row>
    <row r="97" spans="18:18">
      <c r="R97"/>
    </row>
  </sheetData>
  <mergeCells count="1">
    <mergeCell ref="E94:H94"/>
  </mergeCells>
  <phoneticPr fontId="13" type="noConversion"/>
  <conditionalFormatting sqref="V1:V1048576">
    <cfRule type="containsText" dxfId="13" priority="11" operator="containsText" text="ERROR">
      <formula>NOT(ISERROR(SEARCH("ERROR",V1)))</formula>
    </cfRule>
  </conditionalFormatting>
  <conditionalFormatting sqref="Z1:Z1048576">
    <cfRule type="containsText" dxfId="12" priority="8" operator="containsText" text="FAILURE">
      <formula>NOT(ISERROR(SEARCH("FAILURE",Z1)))</formula>
    </cfRule>
  </conditionalFormatting>
  <conditionalFormatting sqref="AB2:AB104857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{66EB46F8-FED5-184B-AFA6-603222085509}</x14:id>
        </ext>
      </extLst>
    </cfRule>
  </conditionalFormatting>
  <conditionalFormatting sqref="AB1:AB1048576">
    <cfRule type="cellIs" dxfId="11" priority="5" operator="equal">
      <formula>0</formula>
    </cfRule>
  </conditionalFormatting>
  <conditionalFormatting sqref="X1:X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89">
    <cfRule type="cellIs" dxfId="10" priority="3" operator="equal">
      <formula>"ERROR"</formula>
    </cfRule>
  </conditionalFormatting>
  <conditionalFormatting sqref="AA2:AA8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{A603F7D9-C87A-4242-86EF-EB046638085D}</x14:id>
        </ext>
      </extLst>
    </cfRule>
  </conditionalFormatting>
  <conditionalFormatting sqref="C1:C1048576">
    <cfRule type="cellIs" dxfId="9" priority="2" operator="equal">
      <formula>"EXPIRED"</formula>
    </cfRule>
  </conditionalFormatting>
  <dataValidations count="2">
    <dataValidation type="list" allowBlank="1" showInputMessage="1" showErrorMessage="1" sqref="Q90:Q1048576 S1:S89" xr:uid="{A14CC552-A5B1-CE4A-BCF3-0BCD087C3965}">
      <formula1>hosting_type</formula1>
    </dataValidation>
    <dataValidation type="list" allowBlank="1" showInputMessage="1" showErrorMessage="1" sqref="A1:A89" xr:uid="{C5ECAFF1-1DD0-2146-956E-DACD0D1EE5DF}">
      <formula1>subscriptions</formula1>
    </dataValidation>
  </dataValidations>
  <hyperlinks>
    <hyperlink ref="T21" r:id="rId1" xr:uid="{F3A5728E-3ED6-4987-AE83-04BE94141942}"/>
    <hyperlink ref="T33" r:id="rId2" xr:uid="{C77CF66D-919E-44B6-A4EE-0C7C787F8DFC}"/>
    <hyperlink ref="T48" r:id="rId3" display="supritha@polyplex.com;" xr:uid="{E1F2D45A-A23D-491C-9252-B34A95D2E544}"/>
    <hyperlink ref="T49" r:id="rId4" xr:uid="{80B44C82-C1E5-0541-8047-86101A71DCC6}"/>
    <hyperlink ref="T56" r:id="rId5" xr:uid="{BE7EB84F-92E3-4CAB-B42B-C5F3C1143658}"/>
    <hyperlink ref="T62" r:id="rId6" xr:uid="{17F54DBA-5044-4C2B-9448-92BD68136F49}"/>
    <hyperlink ref="T68" r:id="rId7" xr:uid="{F2F232BA-6598-D845-819F-32556CEDFC41}"/>
    <hyperlink ref="T69" r:id="rId8" xr:uid="{28CA7FB9-38D5-BD46-9699-267A6EDA3146}"/>
    <hyperlink ref="T70" r:id="rId9" xr:uid="{ACA4E870-B180-B248-8375-A706252F2EB1}"/>
    <hyperlink ref="T72" r:id="rId10" xr:uid="{CE0D47E2-34EB-FE4D-B986-5EA142377812}"/>
  </hyperlinks>
  <pageMargins left="0.7" right="0.7" top="0.75" bottom="0.75" header="0.3" footer="0.3"/>
  <pageSetup paperSize="9" orientation="portrait" horizontalDpi="0" verticalDpi="0"/>
  <legacyDrawing r:id="rId11"/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EB46F8-FED5-184B-AFA6-603222085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AB2:AB1048576</xm:sqref>
        </x14:conditionalFormatting>
        <x14:conditionalFormatting xmlns:xm="http://schemas.microsoft.com/office/excel/2006/main">
          <x14:cfRule type="dataBar" id="{A603F7D9-C87A-4242-86EF-EB04663808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AA2:AA89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DEB4-E007-6240-8EB3-038007728318}">
  <sheetPr codeName="Sheet21"/>
  <dimension ref="B2:O88"/>
  <sheetViews>
    <sheetView showGridLines="0" zoomScaleNormal="100" workbookViewId="0">
      <selection activeCell="C5" sqref="C5:H6"/>
    </sheetView>
  </sheetViews>
  <sheetFormatPr baseColWidth="10" defaultColWidth="11" defaultRowHeight="16"/>
  <cols>
    <col min="2" max="2" width="13" bestFit="1" customWidth="1"/>
    <col min="3" max="3" width="21.33203125" bestFit="1" customWidth="1"/>
  </cols>
  <sheetData>
    <row r="2" spans="2:14" ht="21">
      <c r="B2" s="267" t="s">
        <v>1343</v>
      </c>
      <c r="C2" s="267"/>
      <c r="D2" s="267"/>
    </row>
    <row r="4" spans="2:14">
      <c r="C4" s="95">
        <v>44316</v>
      </c>
      <c r="D4" s="95">
        <f t="shared" ref="D4:N4" si="0">EOMONTH(C4,1)</f>
        <v>44347</v>
      </c>
      <c r="E4" s="95">
        <f t="shared" si="0"/>
        <v>44377</v>
      </c>
      <c r="F4" s="95">
        <f t="shared" si="0"/>
        <v>44408</v>
      </c>
      <c r="G4" s="95">
        <f t="shared" si="0"/>
        <v>44439</v>
      </c>
      <c r="H4" s="95">
        <f t="shared" si="0"/>
        <v>44469</v>
      </c>
      <c r="I4" s="95">
        <f t="shared" si="0"/>
        <v>44500</v>
      </c>
      <c r="J4" s="95">
        <f t="shared" si="0"/>
        <v>44530</v>
      </c>
      <c r="K4" s="95">
        <f t="shared" si="0"/>
        <v>44561</v>
      </c>
      <c r="L4" s="95">
        <f t="shared" si="0"/>
        <v>44592</v>
      </c>
      <c r="M4" s="95">
        <f t="shared" si="0"/>
        <v>44620</v>
      </c>
      <c r="N4" s="95">
        <f t="shared" si="0"/>
        <v>44651</v>
      </c>
    </row>
    <row r="5" spans="2:14">
      <c r="B5" s="1" t="s">
        <v>31</v>
      </c>
      <c r="C5">
        <f ca="1">SUMIFS('DB - Subscriptions'!$I:$I,'DB - Subscriptions'!$E:$E,"&lt;"&amp;Graphs!C$4,'DB - Contracting Parties'!$C:$C,Graphs!$B5,'DB - Subscriptions'!$R:$R,"OK")</f>
        <v>31</v>
      </c>
      <c r="D5">
        <f ca="1">SUMIFS('DB - Subscriptions'!$I:$I,'DB - Subscriptions'!$E:$E,"&lt;"&amp;Graphs!D$4,'DB - Contracting Parties'!$C:$C,Graphs!$B5,'DB - Subscriptions'!$R:$R,"OK")</f>
        <v>36</v>
      </c>
      <c r="E5">
        <f ca="1">SUMIFS('DB - Subscriptions'!$I:$I,'DB - Subscriptions'!$E:$E,"&lt;"&amp;Graphs!E$4,'DB - Contracting Parties'!$C:$C,Graphs!$B5,'DB - Subscriptions'!$R:$R,"OK")</f>
        <v>36</v>
      </c>
      <c r="F5">
        <f ca="1">SUMIFS('DB - Subscriptions'!$I:$I,'DB - Subscriptions'!$E:$E,"&lt;"&amp;Graphs!F$4,'DB - Contracting Parties'!$C:$C,Graphs!$B5,'DB - Subscriptions'!$R:$R,"OK")</f>
        <v>41</v>
      </c>
      <c r="G5">
        <f ca="1">SUMIFS('DB - Subscriptions'!$I:$I,'DB - Subscriptions'!$E:$E,"&lt;"&amp;Graphs!G$4,'DB - Contracting Parties'!$C:$C,Graphs!$B5,'DB - Subscriptions'!$R:$R,"OK")</f>
        <v>44</v>
      </c>
      <c r="H5">
        <f ca="1">SUMIFS('DB - Subscriptions'!$I:$I,'DB - Subscriptions'!$E:$E,"&lt;"&amp;Graphs!H$4,'DB - Contracting Parties'!$C:$C,Graphs!$B5,'DB - Subscriptions'!$R:$R,"OK")</f>
        <v>44</v>
      </c>
    </row>
    <row r="6" spans="2:14">
      <c r="B6" s="1" t="s">
        <v>66</v>
      </c>
      <c r="C6">
        <f ca="1">SUMIFS('DB - Subscriptions'!$I:$I,'DB - Subscriptions'!$E:$E,"&lt;"&amp;Graphs!C$4,'DB - Contracting Parties'!$C:$C,Graphs!$B6,'DB - Subscriptions'!$R:$R,"OK")</f>
        <v>24</v>
      </c>
      <c r="D6">
        <f ca="1">SUMIFS('DB - Subscriptions'!$I:$I,'DB - Subscriptions'!$E:$E,"&lt;"&amp;Graphs!D$4,'DB - Contracting Parties'!$C:$C,Graphs!$B6,'DB - Subscriptions'!$R:$R,"OK")</f>
        <v>26</v>
      </c>
      <c r="E6">
        <f ca="1">SUMIFS('DB - Subscriptions'!$I:$I,'DB - Subscriptions'!$E:$E,"&lt;"&amp;Graphs!E$4,'DB - Contracting Parties'!$C:$C,Graphs!$B6,'DB - Subscriptions'!$R:$R,"OK")</f>
        <v>36</v>
      </c>
      <c r="F6">
        <f ca="1">SUMIFS('DB - Subscriptions'!$I:$I,'DB - Subscriptions'!$E:$E,"&lt;"&amp;Graphs!F$4,'DB - Contracting Parties'!$C:$C,Graphs!$B6,'DB - Subscriptions'!$R:$R,"OK")</f>
        <v>47</v>
      </c>
      <c r="G6">
        <f ca="1">SUMIFS('DB - Subscriptions'!$I:$I,'DB - Subscriptions'!$E:$E,"&lt;"&amp;Graphs!G$4,'DB - Contracting Parties'!$C:$C,Graphs!$B6,'DB - Subscriptions'!$R:$R,"OK")</f>
        <v>60</v>
      </c>
      <c r="H6">
        <f ca="1">SUMIFS('DB - Subscriptions'!$I:$I,'DB - Subscriptions'!$E:$E,"&lt;"&amp;Graphs!H$4,'DB - Contracting Parties'!$C:$C,Graphs!$B6,'DB - Subscriptions'!$R:$R,"OK")</f>
        <v>67</v>
      </c>
    </row>
    <row r="7" spans="2:14" ht="17" thickBot="1">
      <c r="B7" s="89" t="s">
        <v>1344</v>
      </c>
      <c r="C7" s="88">
        <f ca="1">SUM(C5:C6)</f>
        <v>55</v>
      </c>
      <c r="D7" s="88">
        <f t="shared" ref="D7:F7" ca="1" si="1">SUM(D5:D6)</f>
        <v>62</v>
      </c>
      <c r="E7" s="88">
        <f t="shared" ca="1" si="1"/>
        <v>72</v>
      </c>
      <c r="F7" s="88">
        <f t="shared" ca="1" si="1"/>
        <v>88</v>
      </c>
      <c r="G7" s="88">
        <f t="shared" ref="G7" ca="1" si="2">SUM(G5:G6)</f>
        <v>104</v>
      </c>
      <c r="H7" s="88">
        <f ca="1">SUM(H5:H6)</f>
        <v>111</v>
      </c>
      <c r="I7" s="88"/>
      <c r="J7" s="88"/>
      <c r="K7" s="88"/>
      <c r="L7" s="88"/>
      <c r="M7" s="88"/>
      <c r="N7" s="88"/>
    </row>
    <row r="8" spans="2:14" ht="17" thickTop="1"/>
    <row r="9" spans="2:14">
      <c r="B9" s="1" t="s">
        <v>1345</v>
      </c>
      <c r="C9" s="105">
        <f ca="1">(C7/47)-1</f>
        <v>0.17021276595744683</v>
      </c>
      <c r="D9" s="105">
        <f ca="1">(D7/C7)-1</f>
        <v>0.1272727272727272</v>
      </c>
      <c r="E9" s="105">
        <f ca="1">(E7/D7)-1</f>
        <v>0.16129032258064524</v>
      </c>
      <c r="F9" s="105">
        <f ca="1">(F7/E7)-1</f>
        <v>0.22222222222222232</v>
      </c>
      <c r="G9" s="105">
        <f ca="1">(G7/F7)-1</f>
        <v>0.18181818181818188</v>
      </c>
      <c r="H9" s="105">
        <f ca="1">(H7/G7)-1</f>
        <v>6.7307692307692291E-2</v>
      </c>
    </row>
    <row r="12" spans="2:14" ht="21">
      <c r="B12" s="267" t="s">
        <v>1346</v>
      </c>
      <c r="C12" s="267"/>
      <c r="D12" s="267"/>
    </row>
    <row r="14" spans="2:14">
      <c r="C14" s="95">
        <f>C4</f>
        <v>44316</v>
      </c>
      <c r="D14" s="95">
        <f t="shared" ref="D14:N14" si="3">EOMONTH(C14,1)</f>
        <v>44347</v>
      </c>
      <c r="E14" s="95">
        <f t="shared" si="3"/>
        <v>44377</v>
      </c>
      <c r="F14" s="95">
        <f t="shared" si="3"/>
        <v>44408</v>
      </c>
      <c r="G14" s="95">
        <f t="shared" si="3"/>
        <v>44439</v>
      </c>
      <c r="H14" s="95">
        <f t="shared" si="3"/>
        <v>44469</v>
      </c>
      <c r="I14" s="95">
        <f t="shared" si="3"/>
        <v>44500</v>
      </c>
      <c r="J14" s="95">
        <f t="shared" si="3"/>
        <v>44530</v>
      </c>
      <c r="K14" s="95">
        <f t="shared" si="3"/>
        <v>44561</v>
      </c>
      <c r="L14" s="95">
        <f t="shared" si="3"/>
        <v>44592</v>
      </c>
      <c r="M14" s="95">
        <f t="shared" si="3"/>
        <v>44620</v>
      </c>
      <c r="N14" s="95">
        <f t="shared" si="3"/>
        <v>44651</v>
      </c>
    </row>
    <row r="15" spans="2:14">
      <c r="B15" s="1" t="s">
        <v>31</v>
      </c>
      <c r="C15">
        <f>COUNTIFS('DB - Identities'!$R:$R,"&lt;"&amp;Graphs!C$4,'DB - Identities'!$D:$D,Graphs!$B15,'DB - Identities'!$V:$V,"Active")</f>
        <v>15</v>
      </c>
      <c r="D15">
        <f>COUNTIFS('DB - Identities'!$R:$R,"&lt;"&amp;Graphs!D$4,'DB - Identities'!$D:$D,Graphs!$B15,'DB - Identities'!$V:$V,"Active")</f>
        <v>15</v>
      </c>
      <c r="E15">
        <f>COUNTIFS('DB - Identities'!$R:$R,"&lt;"&amp;Graphs!E$4,'DB - Identities'!$D:$D,Graphs!$B15,'DB - Identities'!$V:$V,"Active")</f>
        <v>15</v>
      </c>
      <c r="F15">
        <f>COUNTIFS('DB - Identities'!$R:$R,"&lt;"&amp;Graphs!F$4,'DB - Identities'!$D:$D,Graphs!$B15,'DB - Identities'!$V:$V,"Active")</f>
        <v>21</v>
      </c>
      <c r="G15">
        <f>COUNTIFS('DB - Identities'!$R:$R,"&lt;"&amp;Graphs!G$4,'DB - Identities'!$D:$D,Graphs!$B15,'DB - Identities'!$V:$V,"Active")</f>
        <v>24</v>
      </c>
      <c r="H15">
        <f>COUNTIFS('DB - Identities'!$R:$R,"&lt;"&amp;Graphs!H$4,'DB - Identities'!$D:$D,Graphs!$B15,'DB - Identities'!$V:$V,"Active")</f>
        <v>25</v>
      </c>
    </row>
    <row r="16" spans="2:14">
      <c r="B16" s="1" t="s">
        <v>66</v>
      </c>
      <c r="C16">
        <f>COUNTIFS('DB - Identities'!$R:$R,"&lt;"&amp;Graphs!C$4,'DB - Identities'!$D:$D,Graphs!$B16,'DB - Identities'!$V:$V,"Active")</f>
        <v>9</v>
      </c>
      <c r="D16">
        <f>COUNTIFS('DB - Identities'!$R:$R,"&lt;"&amp;Graphs!D$4,'DB - Identities'!$D:$D,Graphs!$B16,'DB - Identities'!$V:$V,"Active")</f>
        <v>11</v>
      </c>
      <c r="E16">
        <f>COUNTIFS('DB - Identities'!$R:$R,"&lt;"&amp;Graphs!E$4,'DB - Identities'!$D:$D,Graphs!$B16,'DB - Identities'!$V:$V,"Active")</f>
        <v>18</v>
      </c>
      <c r="F16">
        <f>COUNTIFS('DB - Identities'!$R:$R,"&lt;"&amp;Graphs!F$4,'DB - Identities'!$D:$D,Graphs!$B16,'DB - Identities'!$V:$V,"Active")</f>
        <v>31</v>
      </c>
      <c r="G16">
        <f>COUNTIFS('DB - Identities'!$R:$R,"&lt;"&amp;Graphs!G$4,'DB - Identities'!$D:$D,Graphs!$B16,'DB - Identities'!$V:$V,"Active")</f>
        <v>45</v>
      </c>
      <c r="H16">
        <f>COUNTIFS('DB - Identities'!$R:$R,"&lt;"&amp;Graphs!H$4,'DB - Identities'!$D:$D,Graphs!$B16,'DB - Identities'!$V:$V,"Active")</f>
        <v>46</v>
      </c>
    </row>
    <row r="17" spans="2:14" ht="17" thickBot="1">
      <c r="B17" s="89" t="s">
        <v>1344</v>
      </c>
      <c r="C17" s="88">
        <f>SUM(C15:C16)</f>
        <v>24</v>
      </c>
      <c r="D17" s="88">
        <f t="shared" ref="D17:F17" si="4">SUM(D15:D16)</f>
        <v>26</v>
      </c>
      <c r="E17" s="88">
        <f t="shared" si="4"/>
        <v>33</v>
      </c>
      <c r="F17" s="88">
        <f t="shared" si="4"/>
        <v>52</v>
      </c>
      <c r="G17" s="88">
        <f t="shared" ref="G17" si="5">SUM(G15:G16)</f>
        <v>69</v>
      </c>
      <c r="H17" s="88">
        <f>SUM(H15:H16)</f>
        <v>71</v>
      </c>
      <c r="I17" s="88"/>
      <c r="J17" s="88"/>
      <c r="K17" s="88"/>
      <c r="L17" s="88"/>
      <c r="M17" s="88"/>
      <c r="N17" s="88"/>
    </row>
    <row r="18" spans="2:14" ht="17" thickTop="1"/>
    <row r="19" spans="2:14">
      <c r="B19" s="1" t="s">
        <v>1347</v>
      </c>
      <c r="C19" s="105"/>
      <c r="D19" s="105">
        <f>(D17/C17)-1</f>
        <v>8.3333333333333259E-2</v>
      </c>
      <c r="E19" s="105">
        <f>(E17/D17)-1</f>
        <v>0.26923076923076916</v>
      </c>
      <c r="F19" s="105">
        <f>(F17/E17)-1</f>
        <v>0.57575757575757569</v>
      </c>
      <c r="G19" s="105">
        <f>(G17/F17)-1</f>
        <v>0.32692307692307687</v>
      </c>
      <c r="H19" s="105">
        <f>(H17/G17)-1</f>
        <v>2.8985507246376718E-2</v>
      </c>
      <c r="I19" s="105"/>
      <c r="J19" s="105"/>
      <c r="K19" s="105"/>
      <c r="L19" s="105"/>
      <c r="M19" s="105"/>
      <c r="N19" s="105"/>
    </row>
    <row r="22" spans="2:14" ht="21">
      <c r="B22" s="267" t="s">
        <v>1348</v>
      </c>
      <c r="C22" s="267"/>
      <c r="D22" s="267"/>
    </row>
    <row r="23" spans="2:14" ht="17.25" customHeight="1">
      <c r="B23" s="226"/>
      <c r="C23" s="226"/>
      <c r="D23" s="226"/>
    </row>
    <row r="24" spans="2:14" ht="17.25" customHeight="1">
      <c r="B24" s="226"/>
      <c r="C24" s="95">
        <f>C4</f>
        <v>44316</v>
      </c>
      <c r="D24" s="95">
        <f t="shared" ref="D24:N24" si="6">EOMONTH(C24,1)</f>
        <v>44347</v>
      </c>
      <c r="E24" s="95">
        <f t="shared" si="6"/>
        <v>44377</v>
      </c>
      <c r="F24" s="95">
        <f t="shared" si="6"/>
        <v>44408</v>
      </c>
      <c r="G24" s="95">
        <f t="shared" si="6"/>
        <v>44439</v>
      </c>
      <c r="H24" s="95">
        <f t="shared" si="6"/>
        <v>44469</v>
      </c>
      <c r="I24" s="95">
        <f t="shared" si="6"/>
        <v>44500</v>
      </c>
      <c r="J24" s="95">
        <f t="shared" si="6"/>
        <v>44530</v>
      </c>
      <c r="K24" s="95">
        <f t="shared" si="6"/>
        <v>44561</v>
      </c>
      <c r="L24" s="95">
        <f t="shared" si="6"/>
        <v>44592</v>
      </c>
      <c r="M24" s="95">
        <f t="shared" si="6"/>
        <v>44620</v>
      </c>
      <c r="N24" s="95">
        <f t="shared" si="6"/>
        <v>44651</v>
      </c>
    </row>
    <row r="25" spans="2:14" ht="17.25" customHeight="1">
      <c r="B25" s="1" t="s">
        <v>1349</v>
      </c>
      <c r="C25" s="203">
        <f t="shared" ref="C25:H25" ca="1" si="7">C7</f>
        <v>55</v>
      </c>
      <c r="D25" s="203">
        <f t="shared" ca="1" si="7"/>
        <v>62</v>
      </c>
      <c r="E25" s="203">
        <f t="shared" ca="1" si="7"/>
        <v>72</v>
      </c>
      <c r="F25" s="203">
        <f t="shared" ca="1" si="7"/>
        <v>88</v>
      </c>
      <c r="G25" s="203">
        <f t="shared" ca="1" si="7"/>
        <v>104</v>
      </c>
      <c r="H25" s="203">
        <f t="shared" ca="1" si="7"/>
        <v>111</v>
      </c>
      <c r="I25" s="95"/>
      <c r="J25" s="95"/>
      <c r="K25" s="95"/>
      <c r="L25" s="95"/>
      <c r="M25" s="95"/>
      <c r="N25" s="95"/>
    </row>
    <row r="26" spans="2:14" ht="18" customHeight="1">
      <c r="B26" s="1" t="s">
        <v>1350</v>
      </c>
      <c r="C26" s="105">
        <f t="shared" ref="C26:H26" ca="1" si="8">C17/C7</f>
        <v>0.43636363636363634</v>
      </c>
      <c r="D26" s="105">
        <f t="shared" ca="1" si="8"/>
        <v>0.41935483870967744</v>
      </c>
      <c r="E26" s="105">
        <f t="shared" ca="1" si="8"/>
        <v>0.45833333333333331</v>
      </c>
      <c r="F26" s="105">
        <f t="shared" ca="1" si="8"/>
        <v>0.59090909090909094</v>
      </c>
      <c r="G26" s="105">
        <f t="shared" ca="1" si="8"/>
        <v>0.66346153846153844</v>
      </c>
      <c r="H26" s="105">
        <f t="shared" ca="1" si="8"/>
        <v>0.63963963963963966</v>
      </c>
    </row>
    <row r="27" spans="2:14" ht="18" customHeight="1">
      <c r="B27" s="1" t="s">
        <v>1351</v>
      </c>
      <c r="C27" s="218">
        <f ca="1">6/C7</f>
        <v>0.10909090909090909</v>
      </c>
      <c r="D27" s="218">
        <f ca="1">6/D7</f>
        <v>9.6774193548387094E-2</v>
      </c>
      <c r="E27" s="218">
        <f ca="1">10/E7</f>
        <v>0.1388888888888889</v>
      </c>
      <c r="F27" s="218">
        <f ca="1">12/F7</f>
        <v>0.13636363636363635</v>
      </c>
      <c r="G27" s="218">
        <f>14/G17</f>
        <v>0.20289855072463769</v>
      </c>
      <c r="H27" s="102"/>
      <c r="I27" s="102"/>
      <c r="J27" s="102"/>
      <c r="K27" s="102"/>
      <c r="L27" s="102"/>
      <c r="M27" s="102"/>
      <c r="N27" s="102"/>
    </row>
    <row r="28" spans="2:14" ht="18" customHeight="1">
      <c r="C28" s="268"/>
      <c r="D28" s="268"/>
      <c r="E28" s="268"/>
      <c r="F28" s="268"/>
      <c r="G28" s="268"/>
      <c r="H28" s="268"/>
      <c r="I28" s="268"/>
      <c r="J28" s="268"/>
      <c r="K28" s="268"/>
      <c r="L28" s="268"/>
      <c r="M28" s="268"/>
      <c r="N28" s="268"/>
    </row>
    <row r="32" spans="2:14" ht="21">
      <c r="B32" s="267" t="s">
        <v>1352</v>
      </c>
      <c r="C32" s="267"/>
      <c r="D32" s="267"/>
    </row>
    <row r="34" spans="2:15">
      <c r="C34" s="95">
        <f>C4</f>
        <v>44316</v>
      </c>
      <c r="D34" s="95">
        <f t="shared" ref="D34:N34" si="9">EOMONTH(C34,1)</f>
        <v>44347</v>
      </c>
      <c r="E34" s="95">
        <f t="shared" si="9"/>
        <v>44377</v>
      </c>
      <c r="F34" s="95">
        <f t="shared" si="9"/>
        <v>44408</v>
      </c>
      <c r="G34" s="95">
        <f t="shared" si="9"/>
        <v>44439</v>
      </c>
      <c r="H34" s="95">
        <f t="shared" si="9"/>
        <v>44469</v>
      </c>
      <c r="I34" s="95">
        <f t="shared" si="9"/>
        <v>44500</v>
      </c>
      <c r="J34" s="95">
        <f t="shared" si="9"/>
        <v>44530</v>
      </c>
      <c r="K34" s="95">
        <f t="shared" si="9"/>
        <v>44561</v>
      </c>
      <c r="L34" s="95">
        <f t="shared" si="9"/>
        <v>44592</v>
      </c>
      <c r="M34" s="95">
        <f t="shared" si="9"/>
        <v>44620</v>
      </c>
      <c r="N34" s="95">
        <f t="shared" si="9"/>
        <v>44651</v>
      </c>
      <c r="O34" s="90">
        <v>44652</v>
      </c>
    </row>
    <row r="35" spans="2:15">
      <c r="B35" s="1" t="s">
        <v>31</v>
      </c>
      <c r="C35">
        <f>COUNTIFS('DB - Contracting Parties'!$I:$I,"&lt;"&amp;Graphs!C$34,'DB - Contracting Parties'!$C:$C,Graphs!$B35,'DB - Contracting Parties'!$A:$A,"Member")</f>
        <v>10</v>
      </c>
      <c r="D35">
        <f>COUNTIFS('DB - Contracting Parties'!$I:$I,"&lt;"&amp;Graphs!D$34,'DB - Contracting Parties'!$C:$C,Graphs!$B35,'DB - Contracting Parties'!$A:$A,"Member")</f>
        <v>11</v>
      </c>
      <c r="E35">
        <f>COUNTIFS('DB - Contracting Parties'!$I:$I,"&lt;"&amp;Graphs!E$34,'DB - Contracting Parties'!$C:$C,Graphs!$B35,'DB - Contracting Parties'!$A:$A,"Member")</f>
        <v>11</v>
      </c>
      <c r="F35">
        <f>COUNTIFS('DB - Contracting Parties'!$I:$I,"&lt;"&amp;Graphs!F$34,'DB - Contracting Parties'!$C:$C,Graphs!$B35,'DB - Contracting Parties'!$A:$A,"Member")</f>
        <v>12</v>
      </c>
      <c r="G35">
        <f>COUNTIFS('DB - Contracting Parties'!$I:$I,"&lt;"&amp;Graphs!G$34,'DB - Contracting Parties'!$C:$C,Graphs!$B35,'DB - Contracting Parties'!$A:$A,"Member")</f>
        <v>14</v>
      </c>
      <c r="H35">
        <f>COUNTIFS('DB - Contracting Parties'!$I:$I,"&lt;"&amp;Graphs!H$34,'DB - Contracting Parties'!$C:$C,Graphs!$B35,'DB - Contracting Parties'!$A:$A,"Member")</f>
        <v>14</v>
      </c>
    </row>
    <row r="36" spans="2:15">
      <c r="B36" s="1" t="s">
        <v>66</v>
      </c>
      <c r="C36">
        <f>COUNTIFS('DB - Contracting Parties'!$I:$I,"&lt;"&amp;Graphs!C$34,'DB - Contracting Parties'!$C:$C,Graphs!$B36,'DB - Contracting Parties'!$A:$A,"Member")</f>
        <v>8</v>
      </c>
      <c r="D36">
        <f>COUNTIFS('DB - Contracting Parties'!$I:$I,"&lt;"&amp;Graphs!D$34,'DB - Contracting Parties'!$C:$C,Graphs!$B36,'DB - Contracting Parties'!$A:$A,"Member")</f>
        <v>10</v>
      </c>
      <c r="E36">
        <f>COUNTIFS('DB - Contracting Parties'!$I:$I,"&lt;"&amp;Graphs!E$34,'DB - Contracting Parties'!$C:$C,Graphs!$B36,'DB - Contracting Parties'!$A:$A,"Member")</f>
        <v>20</v>
      </c>
      <c r="F36">
        <f>COUNTIFS('DB - Contracting Parties'!$I:$I,"&lt;"&amp;Graphs!F$34,'DB - Contracting Parties'!$C:$C,Graphs!$B36,'DB - Contracting Parties'!$A:$A,"Member")</f>
        <v>31</v>
      </c>
      <c r="G36">
        <f>COUNTIFS('DB - Contracting Parties'!$I:$I,"&lt;"&amp;Graphs!G$34,'DB - Contracting Parties'!$C:$C,Graphs!$B36,'DB - Contracting Parties'!$A:$A,"Member")</f>
        <v>45</v>
      </c>
      <c r="H36">
        <f>COUNTIFS('DB - Contracting Parties'!$I:$I,"&lt;"&amp;Graphs!H$34,'DB - Contracting Parties'!$C:$C,Graphs!$B36,'DB - Contracting Parties'!$A:$A,"Member")</f>
        <v>52</v>
      </c>
    </row>
    <row r="37" spans="2:15" ht="17" thickBot="1">
      <c r="B37" s="89" t="s">
        <v>1344</v>
      </c>
      <c r="C37" s="88">
        <f>SUM(C35:C36)</f>
        <v>18</v>
      </c>
      <c r="D37" s="88">
        <f t="shared" ref="D37:F37" si="10">SUM(D35:D36)</f>
        <v>21</v>
      </c>
      <c r="E37" s="88">
        <f t="shared" si="10"/>
        <v>31</v>
      </c>
      <c r="F37" s="88">
        <f t="shared" si="10"/>
        <v>43</v>
      </c>
      <c r="G37" s="88">
        <f t="shared" ref="G37" si="11">SUM(G35:G36)</f>
        <v>59</v>
      </c>
      <c r="H37" s="88">
        <f>SUM(H35:H36)</f>
        <v>66</v>
      </c>
      <c r="I37" s="88"/>
      <c r="J37" s="88"/>
      <c r="K37" s="88"/>
      <c r="L37" s="88"/>
      <c r="M37" s="88"/>
      <c r="N37" s="88"/>
    </row>
    <row r="38" spans="2:15" ht="17" thickTop="1"/>
    <row r="39" spans="2:15">
      <c r="B39" s="1" t="s">
        <v>1353</v>
      </c>
      <c r="C39" s="144">
        <v>0.1</v>
      </c>
      <c r="D39" s="105">
        <f>(D37/C37)-1</f>
        <v>0.16666666666666674</v>
      </c>
      <c r="E39" s="105">
        <f t="shared" ref="E39:G39" si="12">(E37/D37)-1</f>
        <v>0.47619047619047628</v>
      </c>
      <c r="F39" s="105">
        <f t="shared" si="12"/>
        <v>0.38709677419354849</v>
      </c>
      <c r="G39" s="105">
        <f t="shared" si="12"/>
        <v>0.37209302325581395</v>
      </c>
      <c r="H39" s="105">
        <f>(H37/G37)-1</f>
        <v>0.11864406779661008</v>
      </c>
    </row>
    <row r="41" spans="2:15">
      <c r="B41" s="1" t="s">
        <v>1354</v>
      </c>
    </row>
    <row r="42" spans="2:15">
      <c r="B42" s="192" t="s">
        <v>1355</v>
      </c>
      <c r="C42" s="193">
        <f>COUNTIFS('DB - Contracting Parties'!$I:$I,"&lt;"&amp;Graphs!C$34,'DB - Contracting Parties'!$C:$C, "corporate", 'DB - Subscriptions'!$H:$H, "N/A")</f>
        <v>3</v>
      </c>
      <c r="D42" s="193">
        <f>COUNTIFS('DB - Contracting Parties'!$I:$I,"&lt;"&amp;Graphs!D$34,'DB - Contracting Parties'!$C:$C, "corporate", 'DB - Subscriptions'!$H:$H, "N/A")</f>
        <v>3</v>
      </c>
      <c r="E42" s="193">
        <f>COUNTIFS('DB - Contracting Parties'!$I:$I,"&lt;"&amp;Graphs!E$34,'DB - Contracting Parties'!$C:$C, "corporate", 'DB - Subscriptions'!$H:$H, "N/A")</f>
        <v>4</v>
      </c>
      <c r="F42" s="193">
        <f>COUNTIFS('DB - Contracting Parties'!$I:$I,"&lt;"&amp;Graphs!F$34,'DB - Contracting Parties'!$C:$C, "corporate", 'DB - Subscriptions'!$H:$H, "N/A")</f>
        <v>6</v>
      </c>
      <c r="G42" s="193">
        <f>COUNTIFS('DB - Contracting Parties'!$I:$I,"&lt;"&amp;Graphs!G$34,'DB - Contracting Parties'!$C:$C, "corporate", 'DB - Subscriptions'!$H:$H, "N/A")</f>
        <v>7</v>
      </c>
      <c r="H42" s="193">
        <f>COUNTIFS('DB - Contracting Parties'!$I:$I,"&lt;"&amp;Graphs!H$34,'DB - Contracting Parties'!$C:$C, "corporate", 'DB - Subscriptions'!$H:$H, "N/A")</f>
        <v>7</v>
      </c>
      <c r="I42" s="193"/>
      <c r="J42" s="193"/>
      <c r="K42" s="193"/>
      <c r="L42" s="193"/>
      <c r="M42" s="193"/>
      <c r="N42" s="193"/>
    </row>
    <row r="43" spans="2:15">
      <c r="B43" s="154" t="s">
        <v>1356</v>
      </c>
      <c r="C43" s="155">
        <f>COUNTIFS('DB - Contracting Parties'!$I:$I,"&lt;"&amp;Graphs!C$34,'DB - Contracting Parties'!$C:$C, "corporate", 'DB - Subscriptions'!$H:$H, "trial")</f>
        <v>2</v>
      </c>
      <c r="D43" s="155">
        <f>COUNTIFS('DB - Contracting Parties'!$I:$I,"&lt;"&amp;Graphs!D$34,'DB - Contracting Parties'!$C:$C, "corporate", 'DB - Subscriptions'!$H:$H, "trial")</f>
        <v>2</v>
      </c>
      <c r="E43" s="155">
        <f>COUNTIFS('DB - Contracting Parties'!$I:$I,"&lt;"&amp;Graphs!E$34,'DB - Contracting Parties'!$C:$C, "corporate", 'DB - Subscriptions'!$H:$H, "trial")</f>
        <v>2</v>
      </c>
      <c r="F43" s="155">
        <f>COUNTIFS('DB - Contracting Parties'!$I:$I,"&lt;"&amp;Graphs!F$34,'DB - Contracting Parties'!$C:$C, "corporate", 'DB - Subscriptions'!$H:$H, "trial")</f>
        <v>2</v>
      </c>
      <c r="G43" s="155">
        <f>COUNTIFS('DB - Contracting Parties'!$I:$I,"&lt;"&amp;Graphs!G$34,'DB - Contracting Parties'!$C:$C, "corporate", 'DB - Subscriptions'!$H:$H, "trial")</f>
        <v>2</v>
      </c>
      <c r="H43" s="155">
        <f>COUNTIFS('DB - Contracting Parties'!$I:$I,"&lt;"&amp;Graphs!H$34,'DB - Contracting Parties'!$C:$C, "corporate", 'DB - Subscriptions'!$H:$H, "trial")</f>
        <v>2</v>
      </c>
      <c r="I43" s="155"/>
      <c r="J43" s="155"/>
      <c r="K43" s="155"/>
      <c r="L43" s="155"/>
      <c r="M43" s="155"/>
      <c r="N43" s="155"/>
    </row>
    <row r="44" spans="2:15">
      <c r="B44" t="s">
        <v>1357</v>
      </c>
      <c r="C44">
        <f t="shared" ref="C44:H44" si="13">SUM(C42:C43)</f>
        <v>5</v>
      </c>
      <c r="D44">
        <f t="shared" si="13"/>
        <v>5</v>
      </c>
      <c r="E44">
        <f t="shared" si="13"/>
        <v>6</v>
      </c>
      <c r="F44">
        <f t="shared" si="13"/>
        <v>8</v>
      </c>
      <c r="G44">
        <f t="shared" si="13"/>
        <v>9</v>
      </c>
      <c r="H44">
        <f t="shared" si="13"/>
        <v>9</v>
      </c>
    </row>
    <row r="45" spans="2:15">
      <c r="B45" t="s">
        <v>143</v>
      </c>
      <c r="C45">
        <f>COUNTIFS('DB - Contracting Parties'!$I:$I,"&lt;"&amp;Graphs!C$34,'DB - Contracting Parties'!$C:$C, "corporate", 'DB - Subscriptions'!$H:$H, "CWP")</f>
        <v>3</v>
      </c>
      <c r="D45">
        <f>COUNTIFS('DB - Contracting Parties'!$I:$I,"&lt;"&amp;Graphs!D$34,'DB - Contracting Parties'!$C:$C, "corporate", 'DB - Subscriptions'!$H:$H, "CWP")</f>
        <v>5</v>
      </c>
      <c r="E45">
        <f>COUNTIFS('DB - Contracting Parties'!$I:$I,"&lt;"&amp;Graphs!E$34,'DB - Contracting Parties'!$C:$C, "corporate", 'DB - Subscriptions'!$H:$H, "CWP")</f>
        <v>14</v>
      </c>
      <c r="F45">
        <f>COUNTIFS('DB - Contracting Parties'!$I:$I,"&lt;"&amp;Graphs!F$34,'DB - Contracting Parties'!$C:$C, "corporate", 'DB - Subscriptions'!$H:$H, "CWP")</f>
        <v>23</v>
      </c>
      <c r="G45">
        <f>COUNTIFS('DB - Contracting Parties'!$I:$I,"&lt;"&amp;Graphs!G$34,'DB - Contracting Parties'!$C:$C, "corporate", 'DB - Subscriptions'!$H:$H, "CWP")</f>
        <v>36</v>
      </c>
      <c r="H45">
        <f>COUNTIFS('DB - Contracting Parties'!$I:$I,"&lt;"&amp;Graphs!H$34,'DB - Contracting Parties'!$C:$C, "corporate", 'DB - Subscriptions'!$H:$H, "CWP")</f>
        <v>43</v>
      </c>
    </row>
    <row r="46" spans="2:15">
      <c r="B46" t="s">
        <v>821</v>
      </c>
      <c r="C46">
        <f>COUNTIFS('DB - Contracting Parties'!$I:$I,"&lt;"&amp;Graphs!C$34,'DB - Contracting Parties'!$C:$C, "corporate", 'DB - Subscriptions'!$H:$H, "BGWG")</f>
        <v>0</v>
      </c>
      <c r="D46">
        <f>COUNTIFS('DB - Contracting Parties'!$I:$I,"&lt;"&amp;Graphs!D$34,'DB - Contracting Parties'!$C:$C, "corporate", 'DB - Subscriptions'!$H:$H, "BGWG")</f>
        <v>0</v>
      </c>
      <c r="E46">
        <f>COUNTIFS('DB - Contracting Parties'!$I:$I,"&lt;"&amp;Graphs!E$34,'DB - Contracting Parties'!$C:$C, "corporate", 'DB - Subscriptions'!$H:$H, "BGWG")</f>
        <v>0</v>
      </c>
      <c r="F46">
        <f>COUNTIFS('DB - Contracting Parties'!$I:$I,"&lt;"&amp;Graphs!F$34,'DB - Contracting Parties'!$C:$C, "corporate", 'DB - Subscriptions'!$H:$H, "BGWG")</f>
        <v>0</v>
      </c>
      <c r="G46">
        <f>COUNTIFS('DB - Contracting Parties'!$I:$I,"&lt;"&amp;Graphs!G$34,'DB - Contracting Parties'!$C:$C, "corporate", 'DB - Subscriptions'!$H:$H, "BGWG")</f>
        <v>0</v>
      </c>
      <c r="H46">
        <f>COUNTIFS('DB - Contracting Parties'!$I:$I,"&lt;"&amp;Graphs!H$34,'DB - Contracting Parties'!$C:$C, "corporate", 'DB - Subscriptions'!$H:$H, "BGWG")</f>
        <v>0</v>
      </c>
    </row>
    <row r="48" spans="2:15">
      <c r="B48" s="18" t="s">
        <v>1358</v>
      </c>
      <c r="C48" s="220" t="str">
        <f>IF(SUM(C44:C46)=C36,"OK","ERROR")</f>
        <v>OK</v>
      </c>
      <c r="D48" s="220" t="str">
        <f t="shared" ref="D48:G48" si="14">IF(SUM(D44:D46)=D36,"OK","ERROR")</f>
        <v>OK</v>
      </c>
      <c r="E48" s="220" t="str">
        <f t="shared" si="14"/>
        <v>OK</v>
      </c>
      <c r="F48" s="220" t="str">
        <f t="shared" si="14"/>
        <v>OK</v>
      </c>
      <c r="G48" s="220" t="str">
        <f t="shared" si="14"/>
        <v>OK</v>
      </c>
      <c r="H48" s="220" t="str">
        <f>IF(SUM(H44:H46)=H36,"OK","ERROR")</f>
        <v>OK</v>
      </c>
    </row>
    <row r="51" spans="2:14" ht="21">
      <c r="B51" s="267" t="s">
        <v>1359</v>
      </c>
      <c r="C51" s="267"/>
      <c r="D51" s="267"/>
    </row>
    <row r="53" spans="2:14">
      <c r="C53" s="95">
        <f>C4</f>
        <v>44316</v>
      </c>
      <c r="D53" s="95">
        <f t="shared" ref="D53:N53" si="15">EOMONTH(C53,1)</f>
        <v>44347</v>
      </c>
      <c r="E53" s="95">
        <f t="shared" si="15"/>
        <v>44377</v>
      </c>
      <c r="F53" s="95">
        <f t="shared" si="15"/>
        <v>44408</v>
      </c>
      <c r="G53" s="95">
        <f t="shared" si="15"/>
        <v>44439</v>
      </c>
      <c r="H53" s="95">
        <f>EOMONTH(G53,1)</f>
        <v>44469</v>
      </c>
      <c r="I53" s="95">
        <f t="shared" si="15"/>
        <v>44500</v>
      </c>
      <c r="J53" s="95">
        <f t="shared" si="15"/>
        <v>44530</v>
      </c>
      <c r="K53" s="95">
        <f t="shared" si="15"/>
        <v>44561</v>
      </c>
      <c r="L53" s="95">
        <f t="shared" si="15"/>
        <v>44592</v>
      </c>
      <c r="M53" s="95">
        <f t="shared" si="15"/>
        <v>44620</v>
      </c>
      <c r="N53" s="95">
        <f t="shared" si="15"/>
        <v>44651</v>
      </c>
    </row>
    <row r="54" spans="2:14">
      <c r="B54" s="1" t="s">
        <v>28</v>
      </c>
      <c r="C54">
        <f>COUNTIFS('DB - Identities'!$R:$R,"&lt;"&amp;Graphs!C$53,'DB - Identities'!$S:$S,Graphs!$B54,'DB - Identities'!$V:$V,"Active")</f>
        <v>14</v>
      </c>
      <c r="D54">
        <f>COUNTIFS('DB - Identities'!$R:$R,"&lt;"&amp;Graphs!D$53,'DB - Identities'!$S:$S,Graphs!$B54,'DB - Identities'!$V:$V,"Active")</f>
        <v>16</v>
      </c>
      <c r="E54">
        <f>COUNTIFS('DB - Identities'!$R:$R,"&lt;"&amp;Graphs!E$53,'DB - Identities'!$S:$S,Graphs!$B54,'DB - Identities'!$V:$V,"Active")</f>
        <v>23</v>
      </c>
      <c r="F54">
        <f>COUNTIFS('DB - Identities'!$R:$R,"&lt;"&amp;Graphs!F$53,'DB - Identities'!$S:$S,Graphs!$B54,'DB - Identities'!$V:$V,"Active")</f>
        <v>38</v>
      </c>
      <c r="G54">
        <f>COUNTIFS('DB - Identities'!$R:$R,"&lt;"&amp;Graphs!G$53,'DB - Identities'!$S:$S,Graphs!$B54,'DB - Identities'!$V:$V,"Active")</f>
        <v>55</v>
      </c>
      <c r="H54">
        <f>COUNTIFS('DB - Identities'!$R:$R,"&lt;"&amp;Graphs!H$53,'DB - Identities'!$S:$S,Graphs!$B54,'DB - Identities'!$V:$V,"Active")</f>
        <v>57</v>
      </c>
    </row>
    <row r="55" spans="2:14">
      <c r="B55" s="1" t="s">
        <v>39</v>
      </c>
      <c r="C55">
        <f>COUNTIFS('DB - Identities'!$R:$R,"&lt;"&amp;Graphs!C$53,'DB - Identities'!$S:$S,Graphs!$B55,'DB - Identities'!$V:$V,"Active")</f>
        <v>10</v>
      </c>
      <c r="D55">
        <f>COUNTIFS('DB - Identities'!$R:$R,"&lt;"&amp;Graphs!D$53,'DB - Identities'!$S:$S,Graphs!$B55,'DB - Identities'!$V:$V,"Active")</f>
        <v>10</v>
      </c>
      <c r="E55">
        <f>COUNTIFS('DB - Identities'!$R:$R,"&lt;"&amp;Graphs!E$53,'DB - Identities'!$S:$S,Graphs!$B55,'DB - Identities'!$V:$V,"Active")</f>
        <v>10</v>
      </c>
      <c r="F55">
        <f>COUNTIFS('DB - Identities'!$R:$R,"&lt;"&amp;Graphs!F$53,'DB - Identities'!$S:$S,Graphs!$B55,'DB - Identities'!$V:$V,"Active")</f>
        <v>14</v>
      </c>
      <c r="G55">
        <f>COUNTIFS('DB - Identities'!$R:$R,"&lt;"&amp;Graphs!G$53,'DB - Identities'!$S:$S,Graphs!$B55,'DB - Identities'!$V:$V,"Active")</f>
        <v>15</v>
      </c>
      <c r="H55">
        <f>COUNTIFS('DB - Identities'!$R:$R,"&lt;"&amp;Graphs!H$53,'DB - Identities'!$S:$S,Graphs!$B55,'DB - Identities'!$V:$V,"Active")</f>
        <v>15</v>
      </c>
    </row>
    <row r="56" spans="2:14" ht="17" thickBot="1">
      <c r="B56" s="89" t="s">
        <v>1344</v>
      </c>
      <c r="C56" s="88">
        <f t="shared" ref="C56:H56" si="16">SUM(C54:C55)</f>
        <v>24</v>
      </c>
      <c r="D56" s="88">
        <f t="shared" si="16"/>
        <v>26</v>
      </c>
      <c r="E56" s="88">
        <f t="shared" si="16"/>
        <v>33</v>
      </c>
      <c r="F56" s="88">
        <f t="shared" si="16"/>
        <v>52</v>
      </c>
      <c r="G56" s="88">
        <f t="shared" si="16"/>
        <v>70</v>
      </c>
      <c r="H56" s="88">
        <f t="shared" si="16"/>
        <v>72</v>
      </c>
      <c r="I56" s="88"/>
      <c r="J56" s="88"/>
      <c r="K56" s="88"/>
      <c r="L56" s="88"/>
      <c r="M56" s="88"/>
      <c r="N56" s="88"/>
    </row>
    <row r="57" spans="2:14" ht="17" thickTop="1"/>
    <row r="58" spans="2:14">
      <c r="B58" s="1" t="s">
        <v>1360</v>
      </c>
      <c r="C58" s="105">
        <f>C54/C56</f>
        <v>0.58333333333333337</v>
      </c>
      <c r="D58" s="105">
        <f t="shared" ref="D58:F58" si="17">D54/D56</f>
        <v>0.61538461538461542</v>
      </c>
      <c r="E58" s="105">
        <f t="shared" si="17"/>
        <v>0.69696969696969702</v>
      </c>
      <c r="F58" s="105">
        <f t="shared" si="17"/>
        <v>0.73076923076923073</v>
      </c>
      <c r="G58" s="105">
        <f t="shared" ref="G58" si="18">G54/G56</f>
        <v>0.7857142857142857</v>
      </c>
      <c r="H58" s="105">
        <f>H54/H56</f>
        <v>0.79166666666666663</v>
      </c>
    </row>
    <row r="65" spans="2:14" ht="21">
      <c r="B65" s="267" t="s">
        <v>1002</v>
      </c>
      <c r="C65" s="267"/>
      <c r="D65" s="267"/>
    </row>
    <row r="67" spans="2:14">
      <c r="C67" s="95">
        <f>C4</f>
        <v>44316</v>
      </c>
      <c r="D67" s="95">
        <f t="shared" ref="D67:N67" si="19">EOMONTH(C67,1)</f>
        <v>44347</v>
      </c>
      <c r="E67" s="95">
        <f t="shared" si="19"/>
        <v>44377</v>
      </c>
      <c r="F67" s="95">
        <f t="shared" si="19"/>
        <v>44408</v>
      </c>
      <c r="G67" s="95">
        <f t="shared" si="19"/>
        <v>44439</v>
      </c>
      <c r="H67" s="95">
        <f t="shared" si="19"/>
        <v>44469</v>
      </c>
      <c r="I67" s="95">
        <f t="shared" si="19"/>
        <v>44500</v>
      </c>
      <c r="J67" s="95">
        <f t="shared" si="19"/>
        <v>44530</v>
      </c>
      <c r="K67" s="95">
        <f t="shared" si="19"/>
        <v>44561</v>
      </c>
      <c r="L67" s="95">
        <f t="shared" si="19"/>
        <v>44592</v>
      </c>
      <c r="M67" s="95">
        <f t="shared" si="19"/>
        <v>44620</v>
      </c>
      <c r="N67" s="95">
        <f t="shared" si="19"/>
        <v>44651</v>
      </c>
    </row>
    <row r="68" spans="2:14">
      <c r="B68" s="1" t="s">
        <v>1361</v>
      </c>
      <c r="C68">
        <v>1</v>
      </c>
      <c r="D68">
        <v>0</v>
      </c>
      <c r="E68">
        <v>3</v>
      </c>
      <c r="F68">
        <v>3</v>
      </c>
      <c r="G68">
        <v>6</v>
      </c>
      <c r="H68" s="102"/>
      <c r="I68" s="102"/>
      <c r="J68" s="102"/>
      <c r="K68" s="102"/>
      <c r="L68" s="102"/>
      <c r="M68" s="102"/>
      <c r="N68" s="102"/>
    </row>
    <row r="69" spans="2:14">
      <c r="B69" s="1" t="s">
        <v>1362</v>
      </c>
      <c r="C69">
        <v>1</v>
      </c>
      <c r="D69">
        <v>0</v>
      </c>
      <c r="E69">
        <v>5</v>
      </c>
      <c r="F69">
        <v>4</v>
      </c>
      <c r="G69">
        <v>3</v>
      </c>
      <c r="H69" s="102"/>
      <c r="I69" s="102"/>
      <c r="J69" s="102"/>
      <c r="K69" s="102"/>
      <c r="L69" s="102"/>
      <c r="M69" s="102"/>
      <c r="N69" s="102"/>
    </row>
    <row r="70" spans="2:14" ht="17" thickBot="1">
      <c r="B70" s="89" t="s">
        <v>1344</v>
      </c>
      <c r="C70" s="88">
        <f>SUM(C68:C69)</f>
        <v>2</v>
      </c>
      <c r="D70" s="88">
        <f t="shared" ref="D70:N70" si="20">SUM(D68:D69)</f>
        <v>0</v>
      </c>
      <c r="E70" s="88">
        <f t="shared" si="20"/>
        <v>8</v>
      </c>
      <c r="F70" s="88">
        <f t="shared" si="20"/>
        <v>7</v>
      </c>
      <c r="G70" s="88">
        <f t="shared" si="20"/>
        <v>9</v>
      </c>
      <c r="H70" s="88">
        <f t="shared" si="20"/>
        <v>0</v>
      </c>
      <c r="I70" s="88">
        <f t="shared" si="20"/>
        <v>0</v>
      </c>
      <c r="J70" s="88">
        <f t="shared" si="20"/>
        <v>0</v>
      </c>
      <c r="K70" s="88">
        <f t="shared" si="20"/>
        <v>0</v>
      </c>
      <c r="L70" s="88">
        <f t="shared" si="20"/>
        <v>0</v>
      </c>
      <c r="M70" s="88">
        <f t="shared" si="20"/>
        <v>0</v>
      </c>
      <c r="N70" s="88">
        <f t="shared" si="20"/>
        <v>0</v>
      </c>
    </row>
    <row r="71" spans="2:14" ht="17" thickTop="1"/>
    <row r="72" spans="2:14">
      <c r="B72" s="1" t="s">
        <v>1363</v>
      </c>
      <c r="C72" s="144">
        <v>1</v>
      </c>
      <c r="D72">
        <v>0</v>
      </c>
      <c r="E72" s="144">
        <v>1</v>
      </c>
      <c r="F72" s="105">
        <f>(F70/E70)-1</f>
        <v>-0.125</v>
      </c>
      <c r="G72" s="105">
        <f>(G70/F70)-1</f>
        <v>0.28571428571428581</v>
      </c>
    </row>
    <row r="79" spans="2:14" ht="21">
      <c r="B79" s="267" t="s">
        <v>1364</v>
      </c>
      <c r="C79" s="267"/>
      <c r="D79" s="267"/>
      <c r="G79" s="267" t="s">
        <v>1365</v>
      </c>
      <c r="H79" s="267"/>
      <c r="I79" s="267"/>
    </row>
    <row r="80" spans="2:14">
      <c r="G80" s="1"/>
      <c r="H80" s="188" t="s">
        <v>29</v>
      </c>
      <c r="I80" s="190" t="s">
        <v>1366</v>
      </c>
      <c r="J80" s="228"/>
    </row>
    <row r="81" spans="2:14">
      <c r="B81" s="217" t="s">
        <v>1367</v>
      </c>
      <c r="C81" t="s">
        <v>1368</v>
      </c>
      <c r="E81" s="95"/>
      <c r="F81" s="95"/>
      <c r="G81" s="177" t="s">
        <v>66</v>
      </c>
      <c r="H81" s="228">
        <f>COUNTIFS('DB - Identities'!L:L,"&lt;&gt;",'DB - Identities'!D:D,Graphs!G81)</f>
        <v>23</v>
      </c>
      <c r="I81" s="191">
        <f>COUNTIF('DB - Identities'!D:D,Graphs!G81)-H81</f>
        <v>30</v>
      </c>
      <c r="J81" s="189"/>
      <c r="K81" s="95"/>
      <c r="L81" s="95"/>
      <c r="M81" s="95"/>
      <c r="N81" s="95"/>
    </row>
    <row r="82" spans="2:14">
      <c r="B82" s="43">
        <v>60100</v>
      </c>
      <c r="C82" s="216">
        <v>71</v>
      </c>
      <c r="G82" t="s">
        <v>31</v>
      </c>
      <c r="H82" s="228">
        <f>COUNTIFS('DB - Identities'!L:L,"&lt;&gt;",'DB - Identities'!D:D,Graphs!G82)</f>
        <v>15</v>
      </c>
      <c r="I82" s="191">
        <f>COUNTIF('DB - Identities'!D:D,Graphs!G82)-H82</f>
        <v>10</v>
      </c>
      <c r="J82" s="228"/>
    </row>
    <row r="83" spans="2:14">
      <c r="B83" s="43">
        <v>60000</v>
      </c>
      <c r="C83" s="216">
        <v>10</v>
      </c>
      <c r="E83" s="105"/>
      <c r="F83" s="105"/>
      <c r="G83" s="105"/>
      <c r="H83" s="29"/>
    </row>
    <row r="84" spans="2:14">
      <c r="B84" s="43">
        <v>50002</v>
      </c>
      <c r="C84" s="216">
        <v>1</v>
      </c>
    </row>
    <row r="85" spans="2:14" ht="21">
      <c r="B85" s="43" t="s">
        <v>1369</v>
      </c>
      <c r="C85" s="216">
        <v>6</v>
      </c>
      <c r="G85" s="267" t="s">
        <v>1370</v>
      </c>
      <c r="H85" s="267"/>
      <c r="I85" s="267"/>
    </row>
    <row r="86" spans="2:14">
      <c r="B86" s="43" t="s">
        <v>1371</v>
      </c>
      <c r="C86" s="216">
        <v>88</v>
      </c>
      <c r="G86" s="1"/>
      <c r="H86" s="188" t="s">
        <v>29</v>
      </c>
      <c r="I86" s="190" t="s">
        <v>1366</v>
      </c>
    </row>
    <row r="87" spans="2:14">
      <c r="G87" s="177" t="s">
        <v>66</v>
      </c>
      <c r="H87" s="228">
        <f>COUNTIFS('DB - Identities'!M:M,"&lt;&gt;",'DB - Identities'!D:D,Graphs!G87)</f>
        <v>53</v>
      </c>
      <c r="I87" s="191">
        <f>COUNTIF('DB - Identities'!D:D,Graphs!G87)-H87</f>
        <v>0</v>
      </c>
    </row>
    <row r="88" spans="2:14">
      <c r="G88" t="s">
        <v>31</v>
      </c>
      <c r="H88" s="228">
        <f>COUNTIFS('DB - Identities'!M:M,"&lt;&gt;",'DB - Identities'!D:D,Graphs!G88)</f>
        <v>25</v>
      </c>
      <c r="I88" s="191">
        <f>COUNTIF('DB - Identities'!D:D,Graphs!G88)-H88</f>
        <v>0</v>
      </c>
    </row>
  </sheetData>
  <mergeCells count="10">
    <mergeCell ref="G85:I85"/>
    <mergeCell ref="B79:D79"/>
    <mergeCell ref="B2:D2"/>
    <mergeCell ref="B32:D32"/>
    <mergeCell ref="B12:D12"/>
    <mergeCell ref="B65:D65"/>
    <mergeCell ref="B51:D51"/>
    <mergeCell ref="C28:N28"/>
    <mergeCell ref="B22:D22"/>
    <mergeCell ref="G79:I79"/>
  </mergeCells>
  <conditionalFormatting sqref="I87:I88">
    <cfRule type="cellIs" dxfId="8" priority="1" operator="greaterThan">
      <formula>0</formula>
    </cfRule>
  </conditionalFormatting>
  <pageMargins left="0.7" right="0.7" top="0.75" bottom="0.75" header="0.3" footer="0.3"/>
  <pageSetup paperSize="9" orientation="portrait" horizontalDpi="0" verticalDpi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AA20B-116F-5B45-B73E-A794F5A8533C}">
  <sheetPr codeName="Sheet3">
    <tabColor theme="2" tint="-0.249977111117893"/>
  </sheetPr>
  <dimension ref="A1"/>
  <sheetViews>
    <sheetView workbookViewId="0">
      <selection activeCell="H41" sqref="H41"/>
    </sheetView>
  </sheetViews>
  <sheetFormatPr baseColWidth="10" defaultColWidth="10.5" defaultRowHeight="16"/>
  <sheetData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CC63-69BD-2E4E-8762-6551554174B0}">
  <sheetPr codeName="Sheet4">
    <tabColor theme="4" tint="0.59999389629810485"/>
  </sheetPr>
  <dimension ref="A1:F85"/>
  <sheetViews>
    <sheetView workbookViewId="0">
      <selection activeCell="E1" sqref="E1:E1048576"/>
    </sheetView>
  </sheetViews>
  <sheetFormatPr baseColWidth="10" defaultColWidth="10.5" defaultRowHeight="16"/>
  <cols>
    <col min="1" max="1" width="15.1640625" customWidth="1"/>
    <col min="2" max="2" width="20.83203125" customWidth="1"/>
    <col min="3" max="3" width="13.33203125" customWidth="1"/>
    <col min="4" max="4" width="39" bestFit="1" customWidth="1"/>
    <col min="5" max="5" width="27.83203125" customWidth="1"/>
    <col min="6" max="6" width="16.1640625" customWidth="1"/>
  </cols>
  <sheetData>
    <row r="1" spans="1:6">
      <c r="A1" t="s">
        <v>1372</v>
      </c>
      <c r="B1" t="s">
        <v>1373</v>
      </c>
      <c r="C1" t="s">
        <v>1374</v>
      </c>
      <c r="D1" s="214" t="s">
        <v>1375</v>
      </c>
      <c r="E1" s="214" t="s">
        <v>1376</v>
      </c>
      <c r="F1" s="214" t="s">
        <v>1377</v>
      </c>
    </row>
    <row r="2" spans="1:6">
      <c r="A2">
        <v>297362855</v>
      </c>
      <c r="B2" s="3">
        <v>44347</v>
      </c>
      <c r="C2" t="s">
        <v>1378</v>
      </c>
      <c r="D2" t="str">
        <f>_xlfn.XLOOKUP(A2,'XXX- Input 5 - Event Summary'!C:C,'XXX- Input 5 - Event Summary'!D:D)</f>
        <v>2021-06-03T04:13:30.308Z</v>
      </c>
      <c r="E2" t="str">
        <f>_xlfn.XLOOKUP(A2,'XXX- Input 5 - Event Summary'!C:C,'XXX- Input 5 - Event Summary'!E:E)</f>
        <v>2021-06-03T04:13:30.308Z</v>
      </c>
      <c r="F2">
        <f>_xlfn.XLOOKUP(A2,'XXX- Input 5 - Event Summary'!C:C,'XXX- Input 5 - Event Summary'!F:F)</f>
        <v>1</v>
      </c>
    </row>
    <row r="3" spans="1:6">
      <c r="A3">
        <v>578096936</v>
      </c>
      <c r="B3" s="3">
        <v>44439</v>
      </c>
      <c r="C3" t="s">
        <v>1379</v>
      </c>
      <c r="D3" t="e">
        <f>_xlfn.XLOOKUP(A3,'XXX- Input 5 - Event Summary'!C:C,'XXX- Input 5 - Event Summary'!D:D)</f>
        <v>#N/A</v>
      </c>
      <c r="E3" t="e">
        <f>_xlfn.XLOOKUP(A3,'XXX- Input 5 - Event Summary'!A:A,'XXX- Input 5 - Event Summary'!E:E)</f>
        <v>#N/A</v>
      </c>
      <c r="F3" t="e">
        <f>_xlfn.XLOOKUP(A3,'XXX- Input 5 - Event Summary'!C:C,'XXX- Input 5 - Event Summary'!F:F)</f>
        <v>#N/A</v>
      </c>
    </row>
    <row r="4" spans="1:6">
      <c r="A4">
        <v>269950954</v>
      </c>
      <c r="B4" s="3">
        <v>44439</v>
      </c>
      <c r="C4" t="s">
        <v>1379</v>
      </c>
      <c r="D4" t="e">
        <f>_xlfn.XLOOKUP(A4,'XXX- Input 5 - Event Summary'!C:C,'XXX- Input 5 - Event Summary'!D:D)</f>
        <v>#N/A</v>
      </c>
      <c r="E4" t="e">
        <f>_xlfn.XLOOKUP(A4,'XXX- Input 5 - Event Summary'!A:A,'XXX- Input 5 - Event Summary'!E:E)</f>
        <v>#N/A</v>
      </c>
      <c r="F4" t="e">
        <f>_xlfn.XLOOKUP(A4,'XXX- Input 5 - Event Summary'!C:C,'XXX- Input 5 - Event Summary'!F:F)</f>
        <v>#N/A</v>
      </c>
    </row>
    <row r="5" spans="1:6">
      <c r="A5">
        <v>427638024</v>
      </c>
      <c r="B5" s="3">
        <v>44439</v>
      </c>
      <c r="C5" t="s">
        <v>1379</v>
      </c>
      <c r="D5" t="e">
        <f>_xlfn.XLOOKUP(A5,'XXX- Input 5 - Event Summary'!C:C,'XXX- Input 5 - Event Summary'!D:D)</f>
        <v>#N/A</v>
      </c>
      <c r="E5" t="e">
        <f>_xlfn.XLOOKUP(A5,'XXX- Input 5 - Event Summary'!A:A,'XXX- Input 5 - Event Summary'!E:E)</f>
        <v>#N/A</v>
      </c>
      <c r="F5" t="e">
        <f>_xlfn.XLOOKUP(A5,'XXX- Input 5 - Event Summary'!C:C,'XXX- Input 5 - Event Summary'!F:F)</f>
        <v>#N/A</v>
      </c>
    </row>
    <row r="6" spans="1:6">
      <c r="A6">
        <v>53489564</v>
      </c>
      <c r="B6" s="3">
        <v>44439</v>
      </c>
      <c r="C6" t="s">
        <v>1379</v>
      </c>
      <c r="D6" t="e">
        <f>_xlfn.XLOOKUP(A6,'XXX- Input 5 - Event Summary'!C:C,'XXX- Input 5 - Event Summary'!D:D)</f>
        <v>#N/A</v>
      </c>
      <c r="E6" t="e">
        <f>_xlfn.XLOOKUP(A6,'XXX- Input 5 - Event Summary'!A:A,'XXX- Input 5 - Event Summary'!E:E)</f>
        <v>#N/A</v>
      </c>
      <c r="F6" t="e">
        <f>_xlfn.XLOOKUP(A6,'XXX- Input 5 - Event Summary'!C:C,'XXX- Input 5 - Event Summary'!F:F)</f>
        <v>#N/A</v>
      </c>
    </row>
    <row r="7" spans="1:6">
      <c r="A7">
        <v>983807791</v>
      </c>
      <c r="B7" s="3">
        <v>44439</v>
      </c>
      <c r="C7" t="s">
        <v>1379</v>
      </c>
      <c r="D7" t="str">
        <f>_xlfn.XLOOKUP(A7,'XXX- Input 5 - Event Summary'!C:C,'XXX- Input 5 - Event Summary'!D:D)</f>
        <v>2021-04-06T08:11:16.465Z</v>
      </c>
      <c r="E7" t="e">
        <f>_xlfn.XLOOKUP(A7,'XXX- Input 5 - Event Summary'!A:A,'XXX- Input 5 - Event Summary'!E:E)</f>
        <v>#N/A</v>
      </c>
      <c r="F7">
        <f>_xlfn.XLOOKUP(A7,'XXX- Input 5 - Event Summary'!C:C,'XXX- Input 5 - Event Summary'!F:F)</f>
        <v>3</v>
      </c>
    </row>
    <row r="8" spans="1:6">
      <c r="A8">
        <v>460503030</v>
      </c>
      <c r="B8" s="3">
        <v>44439</v>
      </c>
      <c r="C8" t="s">
        <v>1379</v>
      </c>
      <c r="D8" t="e">
        <f>_xlfn.XLOOKUP(A8,'XXX- Input 5 - Event Summary'!C:C,'XXX- Input 5 - Event Summary'!D:D)</f>
        <v>#N/A</v>
      </c>
      <c r="E8" t="e">
        <f>_xlfn.XLOOKUP(A8,'XXX- Input 5 - Event Summary'!A:A,'XXX- Input 5 - Event Summary'!E:E)</f>
        <v>#N/A</v>
      </c>
      <c r="F8" t="e">
        <f>_xlfn.XLOOKUP(A8,'XXX- Input 5 - Event Summary'!C:C,'XXX- Input 5 - Event Summary'!F:F)</f>
        <v>#N/A</v>
      </c>
    </row>
    <row r="9" spans="1:6">
      <c r="A9">
        <v>725177225</v>
      </c>
      <c r="B9" s="3">
        <v>44439</v>
      </c>
      <c r="C9" t="s">
        <v>1379</v>
      </c>
      <c r="D9" t="e">
        <f>_xlfn.XLOOKUP(A9,'XXX- Input 5 - Event Summary'!C:C,'XXX- Input 5 - Event Summary'!D:D)</f>
        <v>#N/A</v>
      </c>
      <c r="E9" t="e">
        <f>_xlfn.XLOOKUP(A9,'XXX- Input 5 - Event Summary'!A:A,'XXX- Input 5 - Event Summary'!E:E)</f>
        <v>#N/A</v>
      </c>
      <c r="F9" t="e">
        <f>_xlfn.XLOOKUP(A9,'XXX- Input 5 - Event Summary'!C:C,'XXX- Input 5 - Event Summary'!F:F)</f>
        <v>#N/A</v>
      </c>
    </row>
    <row r="10" spans="1:6">
      <c r="A10">
        <v>722481030</v>
      </c>
      <c r="B10" s="3">
        <v>44439</v>
      </c>
      <c r="C10" t="s">
        <v>1379</v>
      </c>
      <c r="D10" t="str">
        <f>_xlfn.XLOOKUP(A10,'XXX- Input 5 - Event Summary'!C:C,'XXX- Input 5 - Event Summary'!D:D)</f>
        <v>2021-07-09T10:15:52.755Z</v>
      </c>
      <c r="E10" t="e">
        <f>_xlfn.XLOOKUP(A10,'XXX- Input 5 - Event Summary'!A:A,'XXX- Input 5 - Event Summary'!E:E)</f>
        <v>#N/A</v>
      </c>
      <c r="F10">
        <f>_xlfn.XLOOKUP(A10,'XXX- Input 5 - Event Summary'!C:C,'XXX- Input 5 - Event Summary'!F:F)</f>
        <v>5</v>
      </c>
    </row>
    <row r="11" spans="1:6">
      <c r="A11">
        <v>878938163</v>
      </c>
      <c r="B11" s="3">
        <v>44439</v>
      </c>
      <c r="C11" t="s">
        <v>1379</v>
      </c>
      <c r="D11" t="str">
        <f>_xlfn.XLOOKUP(A11,'XXX- Input 5 - Event Summary'!C:C,'XXX- Input 5 - Event Summary'!D:D)</f>
        <v>2021-06-16T14:22:34.960Z</v>
      </c>
      <c r="E11" t="e">
        <f>_xlfn.XLOOKUP(A11,'XXX- Input 5 - Event Summary'!A:A,'XXX- Input 5 - Event Summary'!E:E)</f>
        <v>#N/A</v>
      </c>
      <c r="F11">
        <f>_xlfn.XLOOKUP(A11,'XXX- Input 5 - Event Summary'!C:C,'XXX- Input 5 - Event Summary'!F:F)</f>
        <v>2</v>
      </c>
    </row>
    <row r="12" spans="1:6">
      <c r="A12">
        <v>852857632</v>
      </c>
      <c r="B12" s="3">
        <v>44439</v>
      </c>
      <c r="C12" t="s">
        <v>1379</v>
      </c>
      <c r="D12" t="str">
        <f>_xlfn.XLOOKUP(A12,'XXX- Input 5 - Event Summary'!C:C,'XXX- Input 5 - Event Summary'!D:D)</f>
        <v>2021-08-16T13:27:58.969Z</v>
      </c>
      <c r="E12" t="e">
        <f>_xlfn.XLOOKUP(A12,'XXX- Input 5 - Event Summary'!A:A,'XXX- Input 5 - Event Summary'!E:E)</f>
        <v>#N/A</v>
      </c>
      <c r="F12">
        <f>_xlfn.XLOOKUP(A12,'XXX- Input 5 - Event Summary'!C:C,'XXX- Input 5 - Event Summary'!F:F)</f>
        <v>2</v>
      </c>
    </row>
    <row r="13" spans="1:6">
      <c r="A13">
        <v>11567442</v>
      </c>
      <c r="B13" s="3">
        <v>44439</v>
      </c>
      <c r="C13" t="s">
        <v>1379</v>
      </c>
      <c r="D13" t="e">
        <f>_xlfn.XLOOKUP(A13,'XXX- Input 5 - Event Summary'!C:C,'XXX- Input 5 - Event Summary'!D:D)</f>
        <v>#N/A</v>
      </c>
      <c r="E13" t="e">
        <f>_xlfn.XLOOKUP(A13,'XXX- Input 5 - Event Summary'!A:A,'XXX- Input 5 - Event Summary'!E:E)</f>
        <v>#N/A</v>
      </c>
      <c r="F13" t="e">
        <f>_xlfn.XLOOKUP(A13,'XXX- Input 5 - Event Summary'!C:C,'XXX- Input 5 - Event Summary'!F:F)</f>
        <v>#N/A</v>
      </c>
    </row>
    <row r="14" spans="1:6">
      <c r="A14">
        <v>928801753</v>
      </c>
      <c r="B14" s="3">
        <v>44439</v>
      </c>
      <c r="C14" t="s">
        <v>1379</v>
      </c>
      <c r="D14" t="e">
        <f>_xlfn.XLOOKUP(A14,'XXX- Input 5 - Event Summary'!C:C,'XXX- Input 5 - Event Summary'!D:D)</f>
        <v>#N/A</v>
      </c>
      <c r="E14" t="e">
        <f>_xlfn.XLOOKUP(A14,'XXX- Input 5 - Event Summary'!A:A,'XXX- Input 5 - Event Summary'!E:E)</f>
        <v>#N/A</v>
      </c>
      <c r="F14" t="e">
        <f>_xlfn.XLOOKUP(A14,'XXX- Input 5 - Event Summary'!C:C,'XXX- Input 5 - Event Summary'!F:F)</f>
        <v>#N/A</v>
      </c>
    </row>
    <row r="15" spans="1:6">
      <c r="A15">
        <v>576038790</v>
      </c>
      <c r="B15" s="3">
        <v>44347</v>
      </c>
      <c r="C15" t="s">
        <v>1378</v>
      </c>
      <c r="D15" t="str">
        <f>_xlfn.XLOOKUP(A15,'XXX- Input 5 - Event Summary'!C:C,'XXX- Input 5 - Event Summary'!D:D)</f>
        <v>2021-06-03T04:12:39.476Z</v>
      </c>
      <c r="E15" t="e">
        <f>_xlfn.XLOOKUP(A15,'XXX- Input 5 - Event Summary'!A:A,'XXX- Input 5 - Event Summary'!E:E)</f>
        <v>#N/A</v>
      </c>
      <c r="F15">
        <f>_xlfn.XLOOKUP(A15,'XXX- Input 5 - Event Summary'!C:C,'XXX- Input 5 - Event Summary'!F:F)</f>
        <v>1</v>
      </c>
    </row>
    <row r="16" spans="1:6">
      <c r="A16">
        <v>287885091</v>
      </c>
      <c r="B16" s="3">
        <v>44347</v>
      </c>
      <c r="C16" t="s">
        <v>1378</v>
      </c>
      <c r="D16" t="e">
        <f>_xlfn.XLOOKUP(A16,'XXX- Input 5 - Event Summary'!C:C,'XXX- Input 5 - Event Summary'!D:D)</f>
        <v>#N/A</v>
      </c>
      <c r="E16" t="e">
        <f>_xlfn.XLOOKUP(A16,'XXX- Input 5 - Event Summary'!A:A,'XXX- Input 5 - Event Summary'!E:E)</f>
        <v>#N/A</v>
      </c>
      <c r="F16" t="e">
        <f>_xlfn.XLOOKUP(A16,'XXX- Input 5 - Event Summary'!C:C,'XXX- Input 5 - Event Summary'!F:F)</f>
        <v>#N/A</v>
      </c>
    </row>
    <row r="17" spans="1:6">
      <c r="A17">
        <v>82710369</v>
      </c>
      <c r="B17" s="3">
        <v>44439</v>
      </c>
      <c r="C17" t="s">
        <v>1379</v>
      </c>
      <c r="D17" t="e">
        <f>_xlfn.XLOOKUP(A17,'XXX- Input 5 - Event Summary'!C:C,'XXX- Input 5 - Event Summary'!D:D)</f>
        <v>#N/A</v>
      </c>
      <c r="E17" t="e">
        <f>_xlfn.XLOOKUP(A17,'XXX- Input 5 - Event Summary'!A:A,'XXX- Input 5 - Event Summary'!E:E)</f>
        <v>#N/A</v>
      </c>
      <c r="F17" t="e">
        <f>_xlfn.XLOOKUP(A17,'XXX- Input 5 - Event Summary'!C:C,'XXX- Input 5 - Event Summary'!F:F)</f>
        <v>#N/A</v>
      </c>
    </row>
    <row r="18" spans="1:6">
      <c r="A18">
        <v>485648362</v>
      </c>
      <c r="B18" s="3">
        <v>44439</v>
      </c>
      <c r="C18" t="s">
        <v>1379</v>
      </c>
      <c r="D18" t="e">
        <f>_xlfn.XLOOKUP(A18,'XXX- Input 5 - Event Summary'!C:C,'XXX- Input 5 - Event Summary'!D:D)</f>
        <v>#N/A</v>
      </c>
      <c r="E18" t="e">
        <f>_xlfn.XLOOKUP(A18,'XXX- Input 5 - Event Summary'!A:A,'XXX- Input 5 - Event Summary'!E:E)</f>
        <v>#N/A</v>
      </c>
      <c r="F18" t="e">
        <f>_xlfn.XLOOKUP(A18,'XXX- Input 5 - Event Summary'!C:C,'XXX- Input 5 - Event Summary'!F:F)</f>
        <v>#N/A</v>
      </c>
    </row>
    <row r="19" spans="1:6">
      <c r="A19">
        <v>197542693</v>
      </c>
      <c r="B19" s="3">
        <v>44439</v>
      </c>
      <c r="C19" t="s">
        <v>1379</v>
      </c>
      <c r="D19" t="e">
        <f>_xlfn.XLOOKUP(A19,'XXX- Input 5 - Event Summary'!C:C,'XXX- Input 5 - Event Summary'!D:D)</f>
        <v>#N/A</v>
      </c>
      <c r="E19" t="e">
        <f>_xlfn.XLOOKUP(A19,'XXX- Input 5 - Event Summary'!A:A,'XXX- Input 5 - Event Summary'!E:E)</f>
        <v>#N/A</v>
      </c>
      <c r="F19" t="e">
        <f>_xlfn.XLOOKUP(A19,'XXX- Input 5 - Event Summary'!C:C,'XXX- Input 5 - Event Summary'!F:F)</f>
        <v>#N/A</v>
      </c>
    </row>
    <row r="20" spans="1:6">
      <c r="A20">
        <v>410876024</v>
      </c>
      <c r="B20" s="3">
        <v>44439</v>
      </c>
      <c r="C20" t="s">
        <v>1379</v>
      </c>
      <c r="D20" t="e">
        <f>_xlfn.XLOOKUP(A20,'XXX- Input 5 - Event Summary'!C:C,'XXX- Input 5 - Event Summary'!D:D)</f>
        <v>#N/A</v>
      </c>
      <c r="E20" t="e">
        <f>_xlfn.XLOOKUP(A20,'XXX- Input 5 - Event Summary'!A:A,'XXX- Input 5 - Event Summary'!E:E)</f>
        <v>#N/A</v>
      </c>
      <c r="F20" t="e">
        <f>_xlfn.XLOOKUP(A20,'XXX- Input 5 - Event Summary'!C:C,'XXX- Input 5 - Event Summary'!F:F)</f>
        <v>#N/A</v>
      </c>
    </row>
    <row r="21" spans="1:6">
      <c r="A21">
        <v>152502340</v>
      </c>
      <c r="B21" s="3">
        <v>44439</v>
      </c>
      <c r="C21" t="s">
        <v>1379</v>
      </c>
      <c r="D21" t="e">
        <f>_xlfn.XLOOKUP(A21,'XXX- Input 5 - Event Summary'!C:C,'XXX- Input 5 - Event Summary'!D:D)</f>
        <v>#N/A</v>
      </c>
      <c r="E21" t="e">
        <f>_xlfn.XLOOKUP(A21,'XXX- Input 5 - Event Summary'!A:A,'XXX- Input 5 - Event Summary'!E:E)</f>
        <v>#N/A</v>
      </c>
      <c r="F21" t="e">
        <f>_xlfn.XLOOKUP(A21,'XXX- Input 5 - Event Summary'!C:C,'XXX- Input 5 - Event Summary'!F:F)</f>
        <v>#N/A</v>
      </c>
    </row>
    <row r="22" spans="1:6">
      <c r="A22">
        <v>58791134</v>
      </c>
      <c r="B22" s="3">
        <v>44439</v>
      </c>
      <c r="C22" t="s">
        <v>1379</v>
      </c>
      <c r="D22" t="e">
        <f>_xlfn.XLOOKUP(A22,'XXX- Input 5 - Event Summary'!C:C,'XXX- Input 5 - Event Summary'!D:D)</f>
        <v>#N/A</v>
      </c>
      <c r="E22" t="e">
        <f>_xlfn.XLOOKUP(A22,'XXX- Input 5 - Event Summary'!A:A,'XXX- Input 5 - Event Summary'!E:E)</f>
        <v>#N/A</v>
      </c>
      <c r="F22" t="e">
        <f>_xlfn.XLOOKUP(A22,'XXX- Input 5 - Event Summary'!C:C,'XXX- Input 5 - Event Summary'!F:F)</f>
        <v>#N/A</v>
      </c>
    </row>
    <row r="23" spans="1:6">
      <c r="A23">
        <v>92015259</v>
      </c>
      <c r="B23" s="3">
        <v>44439</v>
      </c>
      <c r="C23" t="s">
        <v>1379</v>
      </c>
      <c r="D23" t="e">
        <f>_xlfn.XLOOKUP(A23,'XXX- Input 5 - Event Summary'!C:C,'XXX- Input 5 - Event Summary'!D:D)</f>
        <v>#N/A</v>
      </c>
      <c r="E23" t="e">
        <f>_xlfn.XLOOKUP(A23,'XXX- Input 5 - Event Summary'!A:A,'XXX- Input 5 - Event Summary'!E:E)</f>
        <v>#N/A</v>
      </c>
      <c r="F23" t="e">
        <f>_xlfn.XLOOKUP(A23,'XXX- Input 5 - Event Summary'!C:C,'XXX- Input 5 - Event Summary'!F:F)</f>
        <v>#N/A</v>
      </c>
    </row>
    <row r="24" spans="1:6">
      <c r="A24">
        <v>883662669</v>
      </c>
      <c r="B24" s="3">
        <v>44439</v>
      </c>
      <c r="C24" t="s">
        <v>1379</v>
      </c>
      <c r="D24" t="e">
        <f>_xlfn.XLOOKUP(A24,'XXX- Input 5 - Event Summary'!C:C,'XXX- Input 5 - Event Summary'!D:D)</f>
        <v>#N/A</v>
      </c>
      <c r="E24" t="e">
        <f>_xlfn.XLOOKUP(A24,'XXX- Input 5 - Event Summary'!A:A,'XXX- Input 5 - Event Summary'!E:E)</f>
        <v>#N/A</v>
      </c>
      <c r="F24" t="e">
        <f>_xlfn.XLOOKUP(A24,'XXX- Input 5 - Event Summary'!C:C,'XXX- Input 5 - Event Summary'!F:F)</f>
        <v>#N/A</v>
      </c>
    </row>
    <row r="25" spans="1:6">
      <c r="A25">
        <v>569400533</v>
      </c>
      <c r="B25" s="3">
        <v>44439</v>
      </c>
      <c r="C25" t="s">
        <v>1379</v>
      </c>
      <c r="D25" t="e">
        <f>_xlfn.XLOOKUP(A25,'XXX- Input 5 - Event Summary'!C:C,'XXX- Input 5 - Event Summary'!D:D)</f>
        <v>#N/A</v>
      </c>
      <c r="E25" t="e">
        <f>_xlfn.XLOOKUP(A25,'XXX- Input 5 - Event Summary'!A:A,'XXX- Input 5 - Event Summary'!E:E)</f>
        <v>#N/A</v>
      </c>
      <c r="F25" t="e">
        <f>_xlfn.XLOOKUP(A25,'XXX- Input 5 - Event Summary'!C:C,'XXX- Input 5 - Event Summary'!F:F)</f>
        <v>#N/A</v>
      </c>
    </row>
    <row r="26" spans="1:6">
      <c r="A26">
        <v>634153867</v>
      </c>
      <c r="B26" s="3">
        <v>44439</v>
      </c>
      <c r="C26" t="s">
        <v>1379</v>
      </c>
      <c r="D26" t="e">
        <f>_xlfn.XLOOKUP(A26,'XXX- Input 5 - Event Summary'!C:C,'XXX- Input 5 - Event Summary'!D:D)</f>
        <v>#N/A</v>
      </c>
      <c r="E26" t="e">
        <f>_xlfn.XLOOKUP(A26,'XXX- Input 5 - Event Summary'!A:A,'XXX- Input 5 - Event Summary'!E:E)</f>
        <v>#N/A</v>
      </c>
      <c r="F26" t="e">
        <f>_xlfn.XLOOKUP(A26,'XXX- Input 5 - Event Summary'!C:C,'XXX- Input 5 - Event Summary'!F:F)</f>
        <v>#N/A</v>
      </c>
    </row>
    <row r="27" spans="1:6">
      <c r="A27">
        <v>711592122</v>
      </c>
      <c r="B27" s="3">
        <v>44439</v>
      </c>
      <c r="C27" t="s">
        <v>1379</v>
      </c>
      <c r="D27" t="str">
        <f>_xlfn.XLOOKUP(A27,'XXX- Input 5 - Event Summary'!C:C,'XXX- Input 5 - Event Summary'!D:D)</f>
        <v>2021-06-25T08:44:54.058Z</v>
      </c>
      <c r="E27" t="e">
        <f>_xlfn.XLOOKUP(A27,'XXX- Input 5 - Event Summary'!A:A,'XXX- Input 5 - Event Summary'!E:E)</f>
        <v>#N/A</v>
      </c>
      <c r="F27">
        <f>_xlfn.XLOOKUP(A27,'XXX- Input 5 - Event Summary'!C:C,'XXX- Input 5 - Event Summary'!F:F)</f>
        <v>2</v>
      </c>
    </row>
    <row r="28" spans="1:6">
      <c r="A28">
        <v>330856180</v>
      </c>
      <c r="B28" s="3">
        <v>44439</v>
      </c>
      <c r="C28" t="s">
        <v>1379</v>
      </c>
      <c r="D28" t="str">
        <f>_xlfn.XLOOKUP(A28,'XXX- Input 5 - Event Summary'!C:C,'XXX- Input 5 - Event Summary'!D:D)</f>
        <v>2021-04-06T10:17:08.500Z</v>
      </c>
      <c r="E28" t="e">
        <f>_xlfn.XLOOKUP(A28,'XXX- Input 5 - Event Summary'!A:A,'XXX- Input 5 - Event Summary'!E:E)</f>
        <v>#N/A</v>
      </c>
      <c r="F28">
        <f>_xlfn.XLOOKUP(A28,'XXX- Input 5 - Event Summary'!C:C,'XXX- Input 5 - Event Summary'!F:F)</f>
        <v>4</v>
      </c>
    </row>
    <row r="29" spans="1:6">
      <c r="A29">
        <v>647136517</v>
      </c>
      <c r="C29" t="s">
        <v>1378</v>
      </c>
      <c r="D29" t="str">
        <f>_xlfn.XLOOKUP(A29,'XXX- Input 5 - Event Summary'!C:C,'XXX- Input 5 - Event Summary'!D:D)</f>
        <v>2021-05-27T08:48:54.433Z</v>
      </c>
      <c r="E29" t="e">
        <f>_xlfn.XLOOKUP(A29,'XXX- Input 5 - Event Summary'!A:A,'XXX- Input 5 - Event Summary'!E:E)</f>
        <v>#N/A</v>
      </c>
      <c r="F29">
        <f>_xlfn.XLOOKUP(A29,'XXX- Input 5 - Event Summary'!C:C,'XXX- Input 5 - Event Summary'!F:F)</f>
        <v>2</v>
      </c>
    </row>
    <row r="30" spans="1:6">
      <c r="A30">
        <v>522497260</v>
      </c>
      <c r="B30" s="3">
        <v>44439</v>
      </c>
      <c r="C30" t="s">
        <v>1379</v>
      </c>
      <c r="D30" t="str">
        <f>_xlfn.XLOOKUP(A30,'XXX- Input 5 - Event Summary'!C:C,'XXX- Input 5 - Event Summary'!D:D)</f>
        <v>2021-08-06T09:09:44.448Z</v>
      </c>
      <c r="E30" t="e">
        <f>_xlfn.XLOOKUP(A30,'XXX- Input 5 - Event Summary'!A:A,'XXX- Input 5 - Event Summary'!E:E)</f>
        <v>#N/A</v>
      </c>
      <c r="F30">
        <f>_xlfn.XLOOKUP(A30,'XXX- Input 5 - Event Summary'!C:C,'XXX- Input 5 - Event Summary'!F:F)</f>
        <v>2</v>
      </c>
    </row>
    <row r="31" spans="1:6">
      <c r="A31">
        <v>600389668</v>
      </c>
      <c r="B31" s="3">
        <v>44439</v>
      </c>
      <c r="C31" t="s">
        <v>1379</v>
      </c>
      <c r="D31" t="e">
        <f>_xlfn.XLOOKUP(A31,'XXX- Input 5 - Event Summary'!C:C,'XXX- Input 5 - Event Summary'!D:D)</f>
        <v>#N/A</v>
      </c>
      <c r="E31" t="e">
        <f>_xlfn.XLOOKUP(A31,'XXX- Input 5 - Event Summary'!A:A,'XXX- Input 5 - Event Summary'!E:E)</f>
        <v>#N/A</v>
      </c>
      <c r="F31" t="e">
        <f>_xlfn.XLOOKUP(A31,'XXX- Input 5 - Event Summary'!C:C,'XXX- Input 5 - Event Summary'!F:F)</f>
        <v>#N/A</v>
      </c>
    </row>
    <row r="32" spans="1:6">
      <c r="A32">
        <v>892739391</v>
      </c>
      <c r="B32" s="3">
        <v>44439</v>
      </c>
      <c r="C32" t="s">
        <v>1379</v>
      </c>
      <c r="D32" t="e">
        <f>_xlfn.XLOOKUP(A32,'XXX- Input 5 - Event Summary'!C:C,'XXX- Input 5 - Event Summary'!D:D)</f>
        <v>#N/A</v>
      </c>
      <c r="E32" t="e">
        <f>_xlfn.XLOOKUP(A32,'XXX- Input 5 - Event Summary'!A:A,'XXX- Input 5 - Event Summary'!E:E)</f>
        <v>#N/A</v>
      </c>
      <c r="F32" t="e">
        <f>_xlfn.XLOOKUP(A32,'XXX- Input 5 - Event Summary'!C:C,'XXX- Input 5 - Event Summary'!F:F)</f>
        <v>#N/A</v>
      </c>
    </row>
    <row r="33" spans="1:6">
      <c r="A33">
        <v>367210856</v>
      </c>
      <c r="B33" s="3">
        <v>44439</v>
      </c>
      <c r="C33" t="s">
        <v>1379</v>
      </c>
      <c r="D33" t="e">
        <f>_xlfn.XLOOKUP(A33,'XXX- Input 5 - Event Summary'!C:C,'XXX- Input 5 - Event Summary'!D:D)</f>
        <v>#N/A</v>
      </c>
      <c r="E33" t="e">
        <f>_xlfn.XLOOKUP(A33,'XXX- Input 5 - Event Summary'!A:A,'XXX- Input 5 - Event Summary'!E:E)</f>
        <v>#N/A</v>
      </c>
      <c r="F33" t="e">
        <f>_xlfn.XLOOKUP(A33,'XXX- Input 5 - Event Summary'!C:C,'XXX- Input 5 - Event Summary'!F:F)</f>
        <v>#N/A</v>
      </c>
    </row>
    <row r="34" spans="1:6">
      <c r="A34">
        <v>729539857</v>
      </c>
      <c r="B34" s="3">
        <v>44439</v>
      </c>
      <c r="C34" t="s">
        <v>1379</v>
      </c>
      <c r="D34" t="e">
        <f>_xlfn.XLOOKUP(A34,'XXX- Input 5 - Event Summary'!C:C,'XXX- Input 5 - Event Summary'!D:D)</f>
        <v>#N/A</v>
      </c>
      <c r="E34" t="e">
        <f>_xlfn.XLOOKUP(A34,'XXX- Input 5 - Event Summary'!A:A,'XXX- Input 5 - Event Summary'!E:E)</f>
        <v>#N/A</v>
      </c>
      <c r="F34" t="e">
        <f>_xlfn.XLOOKUP(A34,'XXX- Input 5 - Event Summary'!C:C,'XXX- Input 5 - Event Summary'!F:F)</f>
        <v>#N/A</v>
      </c>
    </row>
    <row r="35" spans="1:6">
      <c r="A35">
        <v>793152576</v>
      </c>
      <c r="B35" s="3">
        <v>44439</v>
      </c>
      <c r="C35" t="s">
        <v>1379</v>
      </c>
      <c r="D35" t="str">
        <f>_xlfn.XLOOKUP(A35,'XXX- Input 5 - Event Summary'!C:C,'XXX- Input 5 - Event Summary'!D:D)</f>
        <v>2021-05-08T14:52:55.532Z</v>
      </c>
      <c r="E35" t="e">
        <f>_xlfn.XLOOKUP(A35,'XXX- Input 5 - Event Summary'!A:A,'XXX- Input 5 - Event Summary'!E:E)</f>
        <v>#N/A</v>
      </c>
      <c r="F35">
        <f>_xlfn.XLOOKUP(A35,'XXX- Input 5 - Event Summary'!C:C,'XXX- Input 5 - Event Summary'!F:F)</f>
        <v>4</v>
      </c>
    </row>
    <row r="36" spans="1:6">
      <c r="A36">
        <v>123744915</v>
      </c>
      <c r="B36" s="3">
        <v>44439</v>
      </c>
      <c r="C36" t="s">
        <v>1379</v>
      </c>
      <c r="D36" t="str">
        <f>_xlfn.XLOOKUP(A36,'XXX- Input 5 - Event Summary'!C:C,'XXX- Input 5 - Event Summary'!D:D)</f>
        <v>2021-03-09T11:44:44.224Z</v>
      </c>
      <c r="E36" t="e">
        <f>_xlfn.XLOOKUP(A36,'XXX- Input 5 - Event Summary'!A:A,'XXX- Input 5 - Event Summary'!E:E)</f>
        <v>#N/A</v>
      </c>
      <c r="F36">
        <f>_xlfn.XLOOKUP(A36,'XXX- Input 5 - Event Summary'!C:C,'XXX- Input 5 - Event Summary'!F:F)</f>
        <v>420</v>
      </c>
    </row>
    <row r="37" spans="1:6">
      <c r="A37">
        <v>116301400</v>
      </c>
      <c r="B37" s="3">
        <v>44439</v>
      </c>
      <c r="C37" t="s">
        <v>1379</v>
      </c>
      <c r="D37" t="str">
        <f>_xlfn.XLOOKUP(A37,'XXX- Input 5 - Event Summary'!C:C,'XXX- Input 5 - Event Summary'!D:D)</f>
        <v>2021-03-09T11:46:54.856Z</v>
      </c>
      <c r="E37" t="e">
        <f>_xlfn.XLOOKUP(A37,'XXX- Input 5 - Event Summary'!A:A,'XXX- Input 5 - Event Summary'!E:E)</f>
        <v>#N/A</v>
      </c>
      <c r="F37">
        <f>_xlfn.XLOOKUP(A37,'XXX- Input 5 - Event Summary'!C:C,'XXX- Input 5 - Event Summary'!F:F)</f>
        <v>18</v>
      </c>
    </row>
    <row r="38" spans="1:6">
      <c r="A38">
        <v>43013727</v>
      </c>
      <c r="B38" s="3">
        <v>44439</v>
      </c>
      <c r="C38" t="s">
        <v>1379</v>
      </c>
      <c r="D38" t="str">
        <f>_xlfn.XLOOKUP(A38,'XXX- Input 5 - Event Summary'!C:C,'XXX- Input 5 - Event Summary'!D:D)</f>
        <v>2021-03-09T11:47:37.197Z</v>
      </c>
      <c r="E38" t="e">
        <f>_xlfn.XLOOKUP(A38,'XXX- Input 5 - Event Summary'!A:A,'XXX- Input 5 - Event Summary'!E:E)</f>
        <v>#N/A</v>
      </c>
      <c r="F38">
        <f>_xlfn.XLOOKUP(A38,'XXX- Input 5 - Event Summary'!C:C,'XXX- Input 5 - Event Summary'!F:F)</f>
        <v>31</v>
      </c>
    </row>
    <row r="39" spans="1:6">
      <c r="A39">
        <v>920515851</v>
      </c>
      <c r="B39" s="3">
        <v>44377</v>
      </c>
      <c r="C39" t="s">
        <v>1378</v>
      </c>
      <c r="D39" t="str">
        <f>_xlfn.XLOOKUP(A39,'XXX- Input 5 - Event Summary'!C:C,'XXX- Input 5 - Event Summary'!D:D)</f>
        <v>2021-06-01T09:22:30.170Z</v>
      </c>
      <c r="E39" t="e">
        <f>_xlfn.XLOOKUP(A39,'XXX- Input 5 - Event Summary'!A:A,'XXX- Input 5 - Event Summary'!E:E)</f>
        <v>#N/A</v>
      </c>
      <c r="F39">
        <f>_xlfn.XLOOKUP(A39,'XXX- Input 5 - Event Summary'!C:C,'XXX- Input 5 - Event Summary'!F:F)</f>
        <v>3</v>
      </c>
    </row>
    <row r="40" spans="1:6">
      <c r="A40">
        <v>27155922</v>
      </c>
      <c r="B40" s="3">
        <v>44439</v>
      </c>
      <c r="C40" t="s">
        <v>1379</v>
      </c>
      <c r="D40" t="e">
        <f>_xlfn.XLOOKUP(A40,'XXX- Input 5 - Event Summary'!C:C,'XXX- Input 5 - Event Summary'!D:D)</f>
        <v>#N/A</v>
      </c>
      <c r="E40" t="e">
        <f>_xlfn.XLOOKUP(A40,'XXX- Input 5 - Event Summary'!A:A,'XXX- Input 5 - Event Summary'!E:E)</f>
        <v>#N/A</v>
      </c>
      <c r="F40" t="e">
        <f>_xlfn.XLOOKUP(A40,'XXX- Input 5 - Event Summary'!C:C,'XXX- Input 5 - Event Summary'!F:F)</f>
        <v>#N/A</v>
      </c>
    </row>
    <row r="41" spans="1:6">
      <c r="A41">
        <v>154952850</v>
      </c>
      <c r="B41" s="3">
        <v>44439</v>
      </c>
      <c r="C41" t="s">
        <v>1379</v>
      </c>
      <c r="D41" t="str">
        <f>_xlfn.XLOOKUP(A41,'XXX- Input 5 - Event Summary'!C:C,'XXX- Input 5 - Event Summary'!D:D)</f>
        <v>2021-07-29T07:50:21.216Z</v>
      </c>
      <c r="E41" t="e">
        <f>_xlfn.XLOOKUP(A41,'XXX- Input 5 - Event Summary'!A:A,'XXX- Input 5 - Event Summary'!E:E)</f>
        <v>#N/A</v>
      </c>
      <c r="F41">
        <f>_xlfn.XLOOKUP(A41,'XXX- Input 5 - Event Summary'!C:C,'XXX- Input 5 - Event Summary'!F:F)</f>
        <v>2</v>
      </c>
    </row>
    <row r="42" spans="1:6">
      <c r="A42">
        <v>160466141</v>
      </c>
      <c r="B42" s="3">
        <v>44439</v>
      </c>
      <c r="C42" t="s">
        <v>1379</v>
      </c>
      <c r="D42" t="e">
        <f>_xlfn.XLOOKUP(A42,'XXX- Input 5 - Event Summary'!C:C,'XXX- Input 5 - Event Summary'!D:D)</f>
        <v>#N/A</v>
      </c>
      <c r="E42" t="e">
        <f>_xlfn.XLOOKUP(A42,'XXX- Input 5 - Event Summary'!A:A,'XXX- Input 5 - Event Summary'!E:E)</f>
        <v>#N/A</v>
      </c>
      <c r="F42" t="e">
        <f>_xlfn.XLOOKUP(A42,'XXX- Input 5 - Event Summary'!C:C,'XXX- Input 5 - Event Summary'!F:F)</f>
        <v>#N/A</v>
      </c>
    </row>
    <row r="43" spans="1:6">
      <c r="A43">
        <v>510564880</v>
      </c>
      <c r="B43" s="3">
        <v>44439</v>
      </c>
      <c r="C43" t="s">
        <v>1379</v>
      </c>
      <c r="D43" t="e">
        <f>_xlfn.XLOOKUP(A43,'XXX- Input 5 - Event Summary'!C:C,'XXX- Input 5 - Event Summary'!D:D)</f>
        <v>#N/A</v>
      </c>
      <c r="E43" t="e">
        <f>_xlfn.XLOOKUP(A43,'XXX- Input 5 - Event Summary'!A:A,'XXX- Input 5 - Event Summary'!E:E)</f>
        <v>#N/A</v>
      </c>
      <c r="F43" t="e">
        <f>_xlfn.XLOOKUP(A43,'XXX- Input 5 - Event Summary'!C:C,'XXX- Input 5 - Event Summary'!F:F)</f>
        <v>#N/A</v>
      </c>
    </row>
    <row r="44" spans="1:6">
      <c r="A44">
        <v>601006853</v>
      </c>
      <c r="B44" s="3">
        <v>44377</v>
      </c>
      <c r="C44" t="s">
        <v>1378</v>
      </c>
      <c r="D44" t="str">
        <f>_xlfn.XLOOKUP(A44,'XXX- Input 5 - Event Summary'!C:C,'XXX- Input 5 - Event Summary'!D:D)</f>
        <v>2021-06-28T08:12:38.022Z</v>
      </c>
      <c r="E44" t="e">
        <f>_xlfn.XLOOKUP(A44,'XXX- Input 5 - Event Summary'!A:A,'XXX- Input 5 - Event Summary'!E:E)</f>
        <v>#N/A</v>
      </c>
      <c r="F44">
        <f>_xlfn.XLOOKUP(A44,'XXX- Input 5 - Event Summary'!C:C,'XXX- Input 5 - Event Summary'!F:F)</f>
        <v>3</v>
      </c>
    </row>
    <row r="45" spans="1:6">
      <c r="A45">
        <v>140106384</v>
      </c>
      <c r="B45" s="3">
        <v>44439</v>
      </c>
      <c r="C45" t="s">
        <v>1379</v>
      </c>
      <c r="D45" t="e">
        <f>_xlfn.XLOOKUP(A45,'XXX- Input 5 - Event Summary'!C:C,'XXX- Input 5 - Event Summary'!D:D)</f>
        <v>#N/A</v>
      </c>
      <c r="E45" t="e">
        <f>_xlfn.XLOOKUP(A45,'XXX- Input 5 - Event Summary'!A:A,'XXX- Input 5 - Event Summary'!E:E)</f>
        <v>#N/A</v>
      </c>
      <c r="F45" t="e">
        <f>_xlfn.XLOOKUP(A45,'XXX- Input 5 - Event Summary'!C:C,'XXX- Input 5 - Event Summary'!F:F)</f>
        <v>#N/A</v>
      </c>
    </row>
    <row r="46" spans="1:6">
      <c r="A46">
        <v>176862724</v>
      </c>
      <c r="B46" s="3">
        <v>44439</v>
      </c>
      <c r="C46" t="s">
        <v>1379</v>
      </c>
      <c r="D46" t="e">
        <f>_xlfn.XLOOKUP(A46,'XXX- Input 5 - Event Summary'!C:C,'XXX- Input 5 - Event Summary'!D:D)</f>
        <v>#N/A</v>
      </c>
      <c r="E46" t="e">
        <f>_xlfn.XLOOKUP(A46,'XXX- Input 5 - Event Summary'!A:A,'XXX- Input 5 - Event Summary'!E:E)</f>
        <v>#N/A</v>
      </c>
      <c r="F46" t="e">
        <f>_xlfn.XLOOKUP(A46,'XXX- Input 5 - Event Summary'!C:C,'XXX- Input 5 - Event Summary'!F:F)</f>
        <v>#N/A</v>
      </c>
    </row>
    <row r="47" spans="1:6">
      <c r="A47">
        <v>260365413</v>
      </c>
      <c r="B47" s="3">
        <v>44439</v>
      </c>
      <c r="C47" t="s">
        <v>1379</v>
      </c>
      <c r="D47" t="e">
        <f>_xlfn.XLOOKUP(A47,'XXX- Input 5 - Event Summary'!C:C,'XXX- Input 5 - Event Summary'!D:D)</f>
        <v>#N/A</v>
      </c>
      <c r="E47" t="e">
        <f>_xlfn.XLOOKUP(A47,'XXX- Input 5 - Event Summary'!A:A,'XXX- Input 5 - Event Summary'!E:E)</f>
        <v>#N/A</v>
      </c>
      <c r="F47" t="e">
        <f>_xlfn.XLOOKUP(A47,'XXX- Input 5 - Event Summary'!C:C,'XXX- Input 5 - Event Summary'!F:F)</f>
        <v>#N/A</v>
      </c>
    </row>
    <row r="48" spans="1:6">
      <c r="A48">
        <v>408372966</v>
      </c>
      <c r="B48" s="3">
        <v>44439</v>
      </c>
      <c r="C48" t="s">
        <v>1379</v>
      </c>
      <c r="D48" t="e">
        <f>_xlfn.XLOOKUP(A48,'XXX- Input 5 - Event Summary'!C:C,'XXX- Input 5 - Event Summary'!D:D)</f>
        <v>#N/A</v>
      </c>
      <c r="E48" t="e">
        <f>_xlfn.XLOOKUP(A48,'XXX- Input 5 - Event Summary'!A:A,'XXX- Input 5 - Event Summary'!E:E)</f>
        <v>#N/A</v>
      </c>
      <c r="F48" t="e">
        <f>_xlfn.XLOOKUP(A48,'XXX- Input 5 - Event Summary'!C:C,'XXX- Input 5 - Event Summary'!F:F)</f>
        <v>#N/A</v>
      </c>
    </row>
    <row r="49" spans="1:6">
      <c r="A49">
        <v>242720749</v>
      </c>
      <c r="B49" s="3">
        <v>44439</v>
      </c>
      <c r="C49" t="s">
        <v>1379</v>
      </c>
      <c r="D49" t="e">
        <f>_xlfn.XLOOKUP(A49,'XXX- Input 5 - Event Summary'!C:C,'XXX- Input 5 - Event Summary'!D:D)</f>
        <v>#N/A</v>
      </c>
      <c r="E49" t="e">
        <f>_xlfn.XLOOKUP(A49,'XXX- Input 5 - Event Summary'!A:A,'XXX- Input 5 - Event Summary'!E:E)</f>
        <v>#N/A</v>
      </c>
      <c r="F49" t="e">
        <f>_xlfn.XLOOKUP(A49,'XXX- Input 5 - Event Summary'!C:C,'XXX- Input 5 - Event Summary'!F:F)</f>
        <v>#N/A</v>
      </c>
    </row>
    <row r="50" spans="1:6">
      <c r="A50">
        <v>697593286</v>
      </c>
      <c r="B50" s="3">
        <v>44439</v>
      </c>
      <c r="C50" t="s">
        <v>1379</v>
      </c>
      <c r="D50" t="e">
        <f>_xlfn.XLOOKUP(A50,'XXX- Input 5 - Event Summary'!C:C,'XXX- Input 5 - Event Summary'!D:D)</f>
        <v>#N/A</v>
      </c>
      <c r="E50" t="e">
        <f>_xlfn.XLOOKUP(A50,'XXX- Input 5 - Event Summary'!A:A,'XXX- Input 5 - Event Summary'!E:E)</f>
        <v>#N/A</v>
      </c>
      <c r="F50" t="e">
        <f>_xlfn.XLOOKUP(A50,'XXX- Input 5 - Event Summary'!C:C,'XXX- Input 5 - Event Summary'!F:F)</f>
        <v>#N/A</v>
      </c>
    </row>
    <row r="51" spans="1:6">
      <c r="A51">
        <v>672528621</v>
      </c>
      <c r="B51" s="3">
        <v>44439</v>
      </c>
      <c r="C51" t="s">
        <v>1379</v>
      </c>
      <c r="D51" t="e">
        <f>_xlfn.XLOOKUP(A51,'XXX- Input 5 - Event Summary'!C:C,'XXX- Input 5 - Event Summary'!D:D)</f>
        <v>#N/A</v>
      </c>
      <c r="E51" t="e">
        <f>_xlfn.XLOOKUP(A51,'XXX- Input 5 - Event Summary'!A:A,'XXX- Input 5 - Event Summary'!E:E)</f>
        <v>#N/A</v>
      </c>
      <c r="F51" t="e">
        <f>_xlfn.XLOOKUP(A51,'XXX- Input 5 - Event Summary'!C:C,'XXX- Input 5 - Event Summary'!F:F)</f>
        <v>#N/A</v>
      </c>
    </row>
    <row r="52" spans="1:6">
      <c r="A52">
        <v>160967364</v>
      </c>
      <c r="B52" s="3">
        <v>44439</v>
      </c>
      <c r="C52" t="s">
        <v>1379</v>
      </c>
      <c r="D52" t="e">
        <f>_xlfn.XLOOKUP(A52,'XXX- Input 5 - Event Summary'!C:C,'XXX- Input 5 - Event Summary'!D:D)</f>
        <v>#N/A</v>
      </c>
      <c r="E52" t="e">
        <f>_xlfn.XLOOKUP(A52,'XXX- Input 5 - Event Summary'!A:A,'XXX- Input 5 - Event Summary'!E:E)</f>
        <v>#N/A</v>
      </c>
      <c r="F52" t="e">
        <f>_xlfn.XLOOKUP(A52,'XXX- Input 5 - Event Summary'!C:C,'XXX- Input 5 - Event Summary'!F:F)</f>
        <v>#N/A</v>
      </c>
    </row>
    <row r="53" spans="1:6">
      <c r="A53">
        <v>479280980</v>
      </c>
      <c r="B53" s="3">
        <v>44439</v>
      </c>
      <c r="C53" t="s">
        <v>1379</v>
      </c>
      <c r="D53" t="str">
        <f>_xlfn.XLOOKUP(A53,'XXX- Input 5 - Event Summary'!C:C,'XXX- Input 5 - Event Summary'!D:D)</f>
        <v>2021-08-29T07:25:51.914Z</v>
      </c>
      <c r="E53" t="e">
        <f>_xlfn.XLOOKUP(A53,'XXX- Input 5 - Event Summary'!A:A,'XXX- Input 5 - Event Summary'!E:E)</f>
        <v>#N/A</v>
      </c>
      <c r="F53">
        <f>_xlfn.XLOOKUP(A53,'XXX- Input 5 - Event Summary'!C:C,'XXX- Input 5 - Event Summary'!F:F)</f>
        <v>1</v>
      </c>
    </row>
    <row r="54" spans="1:6">
      <c r="A54">
        <v>509447106</v>
      </c>
      <c r="B54" s="3">
        <v>44439</v>
      </c>
      <c r="C54" t="s">
        <v>1379</v>
      </c>
      <c r="D54" t="e">
        <f>_xlfn.XLOOKUP(A54,'XXX- Input 5 - Event Summary'!C:C,'XXX- Input 5 - Event Summary'!D:D)</f>
        <v>#N/A</v>
      </c>
      <c r="E54" t="e">
        <f>_xlfn.XLOOKUP(A54,'XXX- Input 5 - Event Summary'!A:A,'XXX- Input 5 - Event Summary'!E:E)</f>
        <v>#N/A</v>
      </c>
      <c r="F54" t="e">
        <f>_xlfn.XLOOKUP(A54,'XXX- Input 5 - Event Summary'!C:C,'XXX- Input 5 - Event Summary'!F:F)</f>
        <v>#N/A</v>
      </c>
    </row>
    <row r="55" spans="1:6">
      <c r="A55">
        <v>839391795</v>
      </c>
      <c r="B55" s="3">
        <v>44439</v>
      </c>
      <c r="C55" t="s">
        <v>1379</v>
      </c>
      <c r="D55" t="e">
        <f>_xlfn.XLOOKUP(A55,'XXX- Input 5 - Event Summary'!C:C,'XXX- Input 5 - Event Summary'!D:D)</f>
        <v>#N/A</v>
      </c>
      <c r="E55" t="e">
        <f>_xlfn.XLOOKUP(A55,'XXX- Input 5 - Event Summary'!A:A,'XXX- Input 5 - Event Summary'!E:E)</f>
        <v>#N/A</v>
      </c>
      <c r="F55" t="e">
        <f>_xlfn.XLOOKUP(A55,'XXX- Input 5 - Event Summary'!C:C,'XXX- Input 5 - Event Summary'!F:F)</f>
        <v>#N/A</v>
      </c>
    </row>
    <row r="56" spans="1:6">
      <c r="A56">
        <v>698169473</v>
      </c>
      <c r="B56" s="3">
        <v>44439</v>
      </c>
      <c r="C56" t="s">
        <v>1379</v>
      </c>
      <c r="D56" t="e">
        <f>_xlfn.XLOOKUP(A56,'XXX- Input 5 - Event Summary'!C:C,'XXX- Input 5 - Event Summary'!D:D)</f>
        <v>#N/A</v>
      </c>
      <c r="E56" t="e">
        <f>_xlfn.XLOOKUP(A56,'XXX- Input 5 - Event Summary'!A:A,'XXX- Input 5 - Event Summary'!E:E)</f>
        <v>#N/A</v>
      </c>
      <c r="F56" t="e">
        <f>_xlfn.XLOOKUP(A56,'XXX- Input 5 - Event Summary'!C:C,'XXX- Input 5 - Event Summary'!F:F)</f>
        <v>#N/A</v>
      </c>
    </row>
    <row r="57" spans="1:6">
      <c r="A57">
        <v>214986782</v>
      </c>
      <c r="B57" s="3">
        <v>44439</v>
      </c>
      <c r="C57" t="s">
        <v>1379</v>
      </c>
      <c r="D57" t="e">
        <f>_xlfn.XLOOKUP(A57,'XXX- Input 5 - Event Summary'!C:C,'XXX- Input 5 - Event Summary'!D:D)</f>
        <v>#N/A</v>
      </c>
      <c r="E57" t="e">
        <f>_xlfn.XLOOKUP(A57,'XXX- Input 5 - Event Summary'!A:A,'XXX- Input 5 - Event Summary'!E:E)</f>
        <v>#N/A</v>
      </c>
      <c r="F57" t="e">
        <f>_xlfn.XLOOKUP(A57,'XXX- Input 5 - Event Summary'!C:C,'XXX- Input 5 - Event Summary'!F:F)</f>
        <v>#N/A</v>
      </c>
    </row>
    <row r="58" spans="1:6">
      <c r="A58">
        <v>180770833</v>
      </c>
      <c r="B58" s="3">
        <v>44439</v>
      </c>
      <c r="C58" t="s">
        <v>1379</v>
      </c>
      <c r="D58" t="e">
        <f>_xlfn.XLOOKUP(A58,'XXX- Input 5 - Event Summary'!C:C,'XXX- Input 5 - Event Summary'!D:D)</f>
        <v>#N/A</v>
      </c>
      <c r="E58" t="e">
        <f>_xlfn.XLOOKUP(A58,'XXX- Input 5 - Event Summary'!A:A,'XXX- Input 5 - Event Summary'!E:E)</f>
        <v>#N/A</v>
      </c>
      <c r="F58" t="e">
        <f>_xlfn.XLOOKUP(A58,'XXX- Input 5 - Event Summary'!C:C,'XXX- Input 5 - Event Summary'!F:F)</f>
        <v>#N/A</v>
      </c>
    </row>
    <row r="59" spans="1:6">
      <c r="A59">
        <v>755701683</v>
      </c>
      <c r="B59" s="3">
        <v>44439</v>
      </c>
      <c r="C59" t="s">
        <v>1379</v>
      </c>
      <c r="D59" t="e">
        <f>_xlfn.XLOOKUP(A59,'XXX- Input 5 - Event Summary'!C:C,'XXX- Input 5 - Event Summary'!D:D)</f>
        <v>#N/A</v>
      </c>
      <c r="E59" t="e">
        <f>_xlfn.XLOOKUP(A59,'XXX- Input 5 - Event Summary'!A:A,'XXX- Input 5 - Event Summary'!E:E)</f>
        <v>#N/A</v>
      </c>
      <c r="F59" t="e">
        <f>_xlfn.XLOOKUP(A59,'XXX- Input 5 - Event Summary'!C:C,'XXX- Input 5 - Event Summary'!F:F)</f>
        <v>#N/A</v>
      </c>
    </row>
    <row r="60" spans="1:6">
      <c r="A60">
        <v>627200948</v>
      </c>
      <c r="B60" s="3">
        <v>44439</v>
      </c>
      <c r="C60" t="s">
        <v>1379</v>
      </c>
      <c r="D60" t="e">
        <f>_xlfn.XLOOKUP(A60,'XXX- Input 5 - Event Summary'!C:C,'XXX- Input 5 - Event Summary'!D:D)</f>
        <v>#N/A</v>
      </c>
      <c r="E60" t="e">
        <f>_xlfn.XLOOKUP(A60,'XXX- Input 5 - Event Summary'!A:A,'XXX- Input 5 - Event Summary'!E:E)</f>
        <v>#N/A</v>
      </c>
      <c r="F60" t="e">
        <f>_xlfn.XLOOKUP(A60,'XXX- Input 5 - Event Summary'!C:C,'XXX- Input 5 - Event Summary'!F:F)</f>
        <v>#N/A</v>
      </c>
    </row>
    <row r="61" spans="1:6">
      <c r="A61">
        <v>863576436</v>
      </c>
      <c r="B61" s="3">
        <v>44439</v>
      </c>
      <c r="C61" t="s">
        <v>1379</v>
      </c>
      <c r="D61" t="e">
        <f>_xlfn.XLOOKUP(A61,'XXX- Input 5 - Event Summary'!C:C,'XXX- Input 5 - Event Summary'!D:D)</f>
        <v>#N/A</v>
      </c>
      <c r="E61" t="e">
        <f>_xlfn.XLOOKUP(A61,'XXX- Input 5 - Event Summary'!A:A,'XXX- Input 5 - Event Summary'!E:E)</f>
        <v>#N/A</v>
      </c>
      <c r="F61" t="e">
        <f>_xlfn.XLOOKUP(A61,'XXX- Input 5 - Event Summary'!C:C,'XXX- Input 5 - Event Summary'!F:F)</f>
        <v>#N/A</v>
      </c>
    </row>
    <row r="62" spans="1:6">
      <c r="A62">
        <v>157362304</v>
      </c>
      <c r="B62" s="3">
        <v>44439</v>
      </c>
      <c r="C62" t="s">
        <v>1379</v>
      </c>
      <c r="D62" t="e">
        <f>_xlfn.XLOOKUP(A62,'XXX- Input 5 - Event Summary'!C:C,'XXX- Input 5 - Event Summary'!D:D)</f>
        <v>#N/A</v>
      </c>
      <c r="E62" t="e">
        <f>_xlfn.XLOOKUP(A62,'XXX- Input 5 - Event Summary'!A:A,'XXX- Input 5 - Event Summary'!E:E)</f>
        <v>#N/A</v>
      </c>
      <c r="F62" t="e">
        <f>_xlfn.XLOOKUP(A62,'XXX- Input 5 - Event Summary'!C:C,'XXX- Input 5 - Event Summary'!F:F)</f>
        <v>#N/A</v>
      </c>
    </row>
    <row r="63" spans="1:6">
      <c r="A63">
        <v>187135132</v>
      </c>
      <c r="B63" s="3">
        <v>44439</v>
      </c>
      <c r="C63" t="s">
        <v>1379</v>
      </c>
      <c r="D63" t="e">
        <f>_xlfn.XLOOKUP(A63,'XXX- Input 5 - Event Summary'!C:C,'XXX- Input 5 - Event Summary'!D:D)</f>
        <v>#N/A</v>
      </c>
      <c r="E63" t="e">
        <f>_xlfn.XLOOKUP(A63,'XXX- Input 5 - Event Summary'!A:A,'XXX- Input 5 - Event Summary'!E:E)</f>
        <v>#N/A</v>
      </c>
      <c r="F63" t="e">
        <f>_xlfn.XLOOKUP(A63,'XXX- Input 5 - Event Summary'!C:C,'XXX- Input 5 - Event Summary'!F:F)</f>
        <v>#N/A</v>
      </c>
    </row>
    <row r="64" spans="1:6">
      <c r="A64">
        <v>786604617</v>
      </c>
      <c r="B64" s="3">
        <v>44439</v>
      </c>
      <c r="C64" t="s">
        <v>1379</v>
      </c>
      <c r="D64" t="e">
        <f>_xlfn.XLOOKUP(A64,'XXX- Input 5 - Event Summary'!C:C,'XXX- Input 5 - Event Summary'!D:D)</f>
        <v>#N/A</v>
      </c>
      <c r="E64" t="e">
        <f>_xlfn.XLOOKUP(A64,'XXX- Input 5 - Event Summary'!A:A,'XXX- Input 5 - Event Summary'!E:E)</f>
        <v>#N/A</v>
      </c>
      <c r="F64" t="e">
        <f>_xlfn.XLOOKUP(A64,'XXX- Input 5 - Event Summary'!C:C,'XXX- Input 5 - Event Summary'!F:F)</f>
        <v>#N/A</v>
      </c>
    </row>
    <row r="65" spans="1:6">
      <c r="A65">
        <v>16001518</v>
      </c>
      <c r="B65" s="3">
        <v>44439</v>
      </c>
      <c r="C65" t="s">
        <v>1379</v>
      </c>
      <c r="D65" t="e">
        <f>_xlfn.XLOOKUP(A65,'XXX- Input 5 - Event Summary'!C:C,'XXX- Input 5 - Event Summary'!D:D)</f>
        <v>#N/A</v>
      </c>
      <c r="E65" t="e">
        <f>_xlfn.XLOOKUP(A65,'XXX- Input 5 - Event Summary'!A:A,'XXX- Input 5 - Event Summary'!E:E)</f>
        <v>#N/A</v>
      </c>
      <c r="F65" t="e">
        <f>_xlfn.XLOOKUP(A65,'XXX- Input 5 - Event Summary'!C:C,'XXX- Input 5 - Event Summary'!F:F)</f>
        <v>#N/A</v>
      </c>
    </row>
    <row r="66" spans="1:6">
      <c r="A66">
        <v>83641626</v>
      </c>
      <c r="B66" s="3">
        <v>44439</v>
      </c>
      <c r="C66" t="s">
        <v>1379</v>
      </c>
      <c r="D66" t="str">
        <f>_xlfn.XLOOKUP(A66,'XXX- Input 5 - Event Summary'!C:C,'XXX- Input 5 - Event Summary'!D:D)</f>
        <v>2021-08-10T04:33:51.742Z</v>
      </c>
      <c r="E66" t="e">
        <f>_xlfn.XLOOKUP(A66,'XXX- Input 5 - Event Summary'!A:A,'XXX- Input 5 - Event Summary'!E:E)</f>
        <v>#N/A</v>
      </c>
      <c r="F66">
        <f>_xlfn.XLOOKUP(A66,'XXX- Input 5 - Event Summary'!C:C,'XXX- Input 5 - Event Summary'!F:F)</f>
        <v>1</v>
      </c>
    </row>
    <row r="67" spans="1:6">
      <c r="A67">
        <v>340415874</v>
      </c>
      <c r="B67" s="3">
        <v>44377</v>
      </c>
      <c r="C67" t="s">
        <v>1378</v>
      </c>
      <c r="D67" t="str">
        <f>_xlfn.XLOOKUP(A67,'XXX- Input 5 - Event Summary'!C:C,'XXX- Input 5 - Event Summary'!D:D)</f>
        <v>2021-06-25T10:48:08.099Z</v>
      </c>
      <c r="E67" t="e">
        <f>_xlfn.XLOOKUP(A67,'XXX- Input 5 - Event Summary'!A:A,'XXX- Input 5 - Event Summary'!E:E)</f>
        <v>#N/A</v>
      </c>
      <c r="F67">
        <f>_xlfn.XLOOKUP(A67,'XXX- Input 5 - Event Summary'!C:C,'XXX- Input 5 - Event Summary'!F:F)</f>
        <v>3</v>
      </c>
    </row>
    <row r="68" spans="1:6">
      <c r="A68">
        <v>299071760</v>
      </c>
      <c r="B68" s="3">
        <v>44439</v>
      </c>
      <c r="C68" t="s">
        <v>1379</v>
      </c>
      <c r="D68" t="e">
        <f>_xlfn.XLOOKUP(A68,'XXX- Input 5 - Event Summary'!C:C,'XXX- Input 5 - Event Summary'!D:D)</f>
        <v>#N/A</v>
      </c>
      <c r="E68" t="e">
        <f>_xlfn.XLOOKUP(A68,'XXX- Input 5 - Event Summary'!A:A,'XXX- Input 5 - Event Summary'!E:E)</f>
        <v>#N/A</v>
      </c>
      <c r="F68" t="e">
        <f>_xlfn.XLOOKUP(A68,'XXX- Input 5 - Event Summary'!C:C,'XXX- Input 5 - Event Summary'!F:F)</f>
        <v>#N/A</v>
      </c>
    </row>
    <row r="69" spans="1:6">
      <c r="A69">
        <v>266516712</v>
      </c>
      <c r="B69" s="3">
        <v>44439</v>
      </c>
      <c r="C69" t="s">
        <v>1379</v>
      </c>
      <c r="D69" t="e">
        <f>_xlfn.XLOOKUP(A69,'XXX- Input 5 - Event Summary'!C:C,'XXX- Input 5 - Event Summary'!D:D)</f>
        <v>#N/A</v>
      </c>
      <c r="E69" t="e">
        <f>_xlfn.XLOOKUP(A69,'XXX- Input 5 - Event Summary'!A:A,'XXX- Input 5 - Event Summary'!E:E)</f>
        <v>#N/A</v>
      </c>
      <c r="F69" t="e">
        <f>_xlfn.XLOOKUP(A69,'XXX- Input 5 - Event Summary'!C:C,'XXX- Input 5 - Event Summary'!F:F)</f>
        <v>#N/A</v>
      </c>
    </row>
    <row r="70" spans="1:6">
      <c r="A70">
        <v>668283612</v>
      </c>
      <c r="B70" s="3">
        <v>44439</v>
      </c>
      <c r="C70" t="s">
        <v>1379</v>
      </c>
      <c r="D70" t="e">
        <f>_xlfn.XLOOKUP(A70,'XXX- Input 5 - Event Summary'!C:C,'XXX- Input 5 - Event Summary'!D:D)</f>
        <v>#N/A</v>
      </c>
      <c r="E70" t="e">
        <f>_xlfn.XLOOKUP(A70,'XXX- Input 5 - Event Summary'!A:A,'XXX- Input 5 - Event Summary'!E:E)</f>
        <v>#N/A</v>
      </c>
      <c r="F70" t="e">
        <f>_xlfn.XLOOKUP(A70,'XXX- Input 5 - Event Summary'!C:C,'XXX- Input 5 - Event Summary'!F:F)</f>
        <v>#N/A</v>
      </c>
    </row>
    <row r="71" spans="1:6">
      <c r="A71">
        <v>112554448</v>
      </c>
      <c r="B71" s="3">
        <v>44439</v>
      </c>
      <c r="C71" t="s">
        <v>1379</v>
      </c>
      <c r="D71" t="e">
        <f>_xlfn.XLOOKUP(A71,'XXX- Input 5 - Event Summary'!C:C,'XXX- Input 5 - Event Summary'!D:D)</f>
        <v>#N/A</v>
      </c>
      <c r="E71" t="e">
        <f>_xlfn.XLOOKUP(A71,'XXX- Input 5 - Event Summary'!A:A,'XXX- Input 5 - Event Summary'!E:E)</f>
        <v>#N/A</v>
      </c>
      <c r="F71" t="e">
        <f>_xlfn.XLOOKUP(A71,'XXX- Input 5 - Event Summary'!C:C,'XXX- Input 5 - Event Summary'!F:F)</f>
        <v>#N/A</v>
      </c>
    </row>
    <row r="72" spans="1:6">
      <c r="A72">
        <v>404564522</v>
      </c>
      <c r="B72" s="3">
        <v>44439</v>
      </c>
      <c r="C72" t="s">
        <v>1379</v>
      </c>
      <c r="D72" t="str">
        <f>_xlfn.XLOOKUP(A72,'XXX- Input 5 - Event Summary'!C:C,'XXX- Input 5 - Event Summary'!D:D)</f>
        <v>2021-06-16T08:47:19.055Z</v>
      </c>
      <c r="E72" t="e">
        <f>_xlfn.XLOOKUP(A72,'XXX- Input 5 - Event Summary'!A:A,'XXX- Input 5 - Event Summary'!E:E)</f>
        <v>#N/A</v>
      </c>
      <c r="F72">
        <f>_xlfn.XLOOKUP(A72,'XXX- Input 5 - Event Summary'!C:C,'XXX- Input 5 - Event Summary'!F:F)</f>
        <v>2</v>
      </c>
    </row>
    <row r="73" spans="1:6">
      <c r="A73">
        <v>419250959</v>
      </c>
      <c r="B73" s="3">
        <v>44439</v>
      </c>
      <c r="C73" t="s">
        <v>1379</v>
      </c>
      <c r="D73" t="e">
        <f>_xlfn.XLOOKUP(A73,'XXX- Input 5 - Event Summary'!C:C,'XXX- Input 5 - Event Summary'!D:D)</f>
        <v>#N/A</v>
      </c>
      <c r="E73" t="e">
        <f>_xlfn.XLOOKUP(A73,'XXX- Input 5 - Event Summary'!A:A,'XXX- Input 5 - Event Summary'!E:E)</f>
        <v>#N/A</v>
      </c>
      <c r="F73" t="e">
        <f>_xlfn.XLOOKUP(A73,'XXX- Input 5 - Event Summary'!C:C,'XXX- Input 5 - Event Summary'!F:F)</f>
        <v>#N/A</v>
      </c>
    </row>
    <row r="74" spans="1:6">
      <c r="A74">
        <v>76611502</v>
      </c>
      <c r="B74" s="3">
        <v>44439</v>
      </c>
      <c r="C74" t="s">
        <v>1379</v>
      </c>
      <c r="D74" t="e">
        <f>_xlfn.XLOOKUP(A74,'XXX- Input 5 - Event Summary'!C:C,'XXX- Input 5 - Event Summary'!D:D)</f>
        <v>#N/A</v>
      </c>
      <c r="E74" t="e">
        <f>_xlfn.XLOOKUP(A74,'XXX- Input 5 - Event Summary'!A:A,'XXX- Input 5 - Event Summary'!E:E)</f>
        <v>#N/A</v>
      </c>
      <c r="F74" t="e">
        <f>_xlfn.XLOOKUP(A74,'XXX- Input 5 - Event Summary'!C:C,'XXX- Input 5 - Event Summary'!F:F)</f>
        <v>#N/A</v>
      </c>
    </row>
    <row r="75" spans="1:6">
      <c r="A75">
        <v>999225753</v>
      </c>
      <c r="B75" s="3">
        <v>44439</v>
      </c>
      <c r="C75" t="s">
        <v>1379</v>
      </c>
      <c r="D75" t="e">
        <f>_xlfn.XLOOKUP(A75,'XXX- Input 5 - Event Summary'!C:C,'XXX- Input 5 - Event Summary'!D:D)</f>
        <v>#N/A</v>
      </c>
      <c r="E75" t="e">
        <f>_xlfn.XLOOKUP(A75,'XXX- Input 5 - Event Summary'!A:A,'XXX- Input 5 - Event Summary'!E:E)</f>
        <v>#N/A</v>
      </c>
      <c r="F75" t="e">
        <f>_xlfn.XLOOKUP(A75,'XXX- Input 5 - Event Summary'!C:C,'XXX- Input 5 - Event Summary'!F:F)</f>
        <v>#N/A</v>
      </c>
    </row>
    <row r="76" spans="1:6">
      <c r="A76">
        <v>189127242</v>
      </c>
      <c r="B76" s="3">
        <v>44439</v>
      </c>
      <c r="C76" t="s">
        <v>1379</v>
      </c>
      <c r="D76" t="e">
        <f>_xlfn.XLOOKUP(A76,'XXX- Input 5 - Event Summary'!C:C,'XXX- Input 5 - Event Summary'!D:D)</f>
        <v>#N/A</v>
      </c>
      <c r="E76" t="e">
        <f>_xlfn.XLOOKUP(A76,'XXX- Input 5 - Event Summary'!A:A,'XXX- Input 5 - Event Summary'!E:E)</f>
        <v>#N/A</v>
      </c>
      <c r="F76" t="e">
        <f>_xlfn.XLOOKUP(A76,'XXX- Input 5 - Event Summary'!C:C,'XXX- Input 5 - Event Summary'!F:F)</f>
        <v>#N/A</v>
      </c>
    </row>
    <row r="77" spans="1:6">
      <c r="A77">
        <v>364992398</v>
      </c>
      <c r="B77" s="3">
        <v>44439</v>
      </c>
      <c r="C77" t="s">
        <v>1379</v>
      </c>
      <c r="D77" t="e">
        <f>_xlfn.XLOOKUP(A77,'XXX- Input 5 - Event Summary'!C:C,'XXX- Input 5 - Event Summary'!D:D)</f>
        <v>#N/A</v>
      </c>
      <c r="E77" t="e">
        <f>_xlfn.XLOOKUP(A77,'XXX- Input 5 - Event Summary'!A:A,'XXX- Input 5 - Event Summary'!E:E)</f>
        <v>#N/A</v>
      </c>
      <c r="F77" t="e">
        <f>_xlfn.XLOOKUP(A77,'XXX- Input 5 - Event Summary'!C:C,'XXX- Input 5 - Event Summary'!F:F)</f>
        <v>#N/A</v>
      </c>
    </row>
    <row r="78" spans="1:6">
      <c r="A78">
        <v>34682411</v>
      </c>
      <c r="B78" s="3">
        <v>44439</v>
      </c>
      <c r="C78" t="s">
        <v>1379</v>
      </c>
      <c r="D78" t="e">
        <f>_xlfn.XLOOKUP(A78,'XXX- Input 5 - Event Summary'!C:C,'XXX- Input 5 - Event Summary'!D:D)</f>
        <v>#N/A</v>
      </c>
      <c r="E78" t="e">
        <f>_xlfn.XLOOKUP(A78,'XXX- Input 5 - Event Summary'!A:A,'XXX- Input 5 - Event Summary'!E:E)</f>
        <v>#N/A</v>
      </c>
      <c r="F78" t="e">
        <f>_xlfn.XLOOKUP(A78,'XXX- Input 5 - Event Summary'!C:C,'XXX- Input 5 - Event Summary'!F:F)</f>
        <v>#N/A</v>
      </c>
    </row>
    <row r="79" spans="1:6">
      <c r="A79">
        <v>364873783</v>
      </c>
      <c r="B79" s="3">
        <v>44439</v>
      </c>
      <c r="C79" t="s">
        <v>1379</v>
      </c>
      <c r="D79" t="e">
        <f>_xlfn.XLOOKUP(A79,'XXX- Input 5 - Event Summary'!C:C,'XXX- Input 5 - Event Summary'!D:D)</f>
        <v>#N/A</v>
      </c>
      <c r="E79" t="e">
        <f>_xlfn.XLOOKUP(A79,'XXX- Input 5 - Event Summary'!A:A,'XXX- Input 5 - Event Summary'!E:E)</f>
        <v>#N/A</v>
      </c>
      <c r="F79" t="e">
        <f>_xlfn.XLOOKUP(A79,'XXX- Input 5 - Event Summary'!C:C,'XXX- Input 5 - Event Summary'!F:F)</f>
        <v>#N/A</v>
      </c>
    </row>
    <row r="80" spans="1:6">
      <c r="A80">
        <v>331079860</v>
      </c>
      <c r="B80" s="3">
        <v>44439</v>
      </c>
      <c r="C80" t="s">
        <v>1379</v>
      </c>
      <c r="D80" t="e">
        <f>_xlfn.XLOOKUP(A80,'XXX- Input 5 - Event Summary'!C:C,'XXX- Input 5 - Event Summary'!D:D)</f>
        <v>#N/A</v>
      </c>
      <c r="E80" t="e">
        <f>_xlfn.XLOOKUP(A80,'XXX- Input 5 - Event Summary'!A:A,'XXX- Input 5 - Event Summary'!E:E)</f>
        <v>#N/A</v>
      </c>
      <c r="F80" t="e">
        <f>_xlfn.XLOOKUP(A80,'XXX- Input 5 - Event Summary'!C:C,'XXX- Input 5 - Event Summary'!F:F)</f>
        <v>#N/A</v>
      </c>
    </row>
    <row r="81" spans="1:6">
      <c r="A81">
        <v>769225837</v>
      </c>
      <c r="B81" s="3">
        <v>44439</v>
      </c>
      <c r="C81" t="s">
        <v>1379</v>
      </c>
      <c r="D81" t="e">
        <f>_xlfn.XLOOKUP(A81,'XXX- Input 5 - Event Summary'!C:C,'XXX- Input 5 - Event Summary'!D:D)</f>
        <v>#N/A</v>
      </c>
      <c r="E81" t="e">
        <f>_xlfn.XLOOKUP(A81,'XXX- Input 5 - Event Summary'!A:A,'XXX- Input 5 - Event Summary'!E:E)</f>
        <v>#N/A</v>
      </c>
      <c r="F81" t="e">
        <f>_xlfn.XLOOKUP(A81,'XXX- Input 5 - Event Summary'!C:C,'XXX- Input 5 - Event Summary'!F:F)</f>
        <v>#N/A</v>
      </c>
    </row>
    <row r="82" spans="1:6">
      <c r="A82">
        <v>296240999</v>
      </c>
      <c r="C82" t="s">
        <v>1378</v>
      </c>
      <c r="D82" t="e">
        <f>_xlfn.XLOOKUP(A82,'XXX- Input 5 - Event Summary'!C:C,'XXX- Input 5 - Event Summary'!D:D)</f>
        <v>#N/A</v>
      </c>
      <c r="E82" t="e">
        <f>_xlfn.XLOOKUP(A82,'XXX- Input 5 - Event Summary'!A:A,'XXX- Input 5 - Event Summary'!E:E)</f>
        <v>#N/A</v>
      </c>
      <c r="F82" t="e">
        <f>_xlfn.XLOOKUP(A82,'XXX- Input 5 - Event Summary'!C:C,'XXX- Input 5 - Event Summary'!F:F)</f>
        <v>#N/A</v>
      </c>
    </row>
    <row r="83" spans="1:6">
      <c r="A83">
        <v>381818972</v>
      </c>
      <c r="B83" s="3">
        <v>44439</v>
      </c>
      <c r="C83" t="s">
        <v>1379</v>
      </c>
      <c r="D83" t="e">
        <f>_xlfn.XLOOKUP(A83,'XXX- Input 5 - Event Summary'!C:C,'XXX- Input 5 - Event Summary'!D:D)</f>
        <v>#N/A</v>
      </c>
      <c r="E83" t="e">
        <f>_xlfn.XLOOKUP(A83,'XXX- Input 5 - Event Summary'!A:A,'XXX- Input 5 - Event Summary'!E:E)</f>
        <v>#N/A</v>
      </c>
      <c r="F83" t="e">
        <f>_xlfn.XLOOKUP(A83,'XXX- Input 5 - Event Summary'!C:C,'XXX- Input 5 - Event Summary'!F:F)</f>
        <v>#N/A</v>
      </c>
    </row>
    <row r="84" spans="1:6">
      <c r="A84">
        <v>195191574</v>
      </c>
      <c r="B84" s="3">
        <v>44439</v>
      </c>
      <c r="C84" t="s">
        <v>1379</v>
      </c>
      <c r="D84" t="str">
        <f>_xlfn.XLOOKUP(A84,'XXX- Input 5 - Event Summary'!C:C,'XXX- Input 5 - Event Summary'!D:D)</f>
        <v>2021-03-16T11:23:54.406Z</v>
      </c>
      <c r="E84" t="e">
        <f>_xlfn.XLOOKUP(A84,'XXX- Input 5 - Event Summary'!A:A,'XXX- Input 5 - Event Summary'!E:E)</f>
        <v>#N/A</v>
      </c>
      <c r="F84">
        <f>_xlfn.XLOOKUP(A84,'XXX- Input 5 - Event Summary'!C:C,'XXX- Input 5 - Event Summary'!F:F)</f>
        <v>3</v>
      </c>
    </row>
    <row r="85" spans="1:6">
      <c r="A85">
        <v>84736786</v>
      </c>
      <c r="B85" s="3">
        <v>44439</v>
      </c>
      <c r="C85" t="s">
        <v>1379</v>
      </c>
      <c r="D85" t="str">
        <f>_xlfn.XLOOKUP(A85,'XXX- Input 5 - Event Summary'!C:C,'XXX- Input 5 - Event Summary'!D:D)</f>
        <v>2021-08-11T04:38:10.076Z</v>
      </c>
      <c r="E85" t="e">
        <f>_xlfn.XLOOKUP(A85,'XXX- Input 5 - Event Summary'!A:A,'XXX- Input 5 - Event Summary'!E:E)</f>
        <v>#N/A</v>
      </c>
      <c r="F85">
        <f>_xlfn.XLOOKUP(A85,'XXX- Input 5 - Event Summary'!C:C,'XXX- Input 5 - Event Summary'!F:F)</f>
        <v>1</v>
      </c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C74C-7ED8-9544-BA37-62D0B31DA9A8}">
  <sheetPr codeName="Sheet5">
    <tabColor theme="4" tint="0.59999389629810485"/>
  </sheetPr>
  <dimension ref="A1:J436"/>
  <sheetViews>
    <sheetView zoomScale="115" zoomScaleNormal="115" workbookViewId="0">
      <selection activeCell="A8" sqref="A8"/>
    </sheetView>
  </sheetViews>
  <sheetFormatPr baseColWidth="10" defaultColWidth="10.5" defaultRowHeight="16"/>
  <cols>
    <col min="1" max="1" width="109.1640625" bestFit="1" customWidth="1"/>
    <col min="2" max="2" width="31.5" customWidth="1"/>
    <col min="3" max="3" width="9.5" bestFit="1" customWidth="1"/>
    <col min="4" max="4" width="26" bestFit="1" customWidth="1"/>
    <col min="5" max="5" width="23" bestFit="1" customWidth="1"/>
    <col min="6" max="6" width="36" bestFit="1" customWidth="1"/>
    <col min="7" max="7" width="70.5" bestFit="1" customWidth="1"/>
    <col min="8" max="8" width="11.5" bestFit="1" customWidth="1"/>
  </cols>
  <sheetData>
    <row r="1" spans="1:8">
      <c r="A1" t="s">
        <v>1380</v>
      </c>
      <c r="B1" t="s">
        <v>1381</v>
      </c>
      <c r="C1" t="s">
        <v>1372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</row>
    <row r="2" spans="1:8">
      <c r="A2" t="s">
        <v>1387</v>
      </c>
      <c r="B2" t="s">
        <v>1042</v>
      </c>
      <c r="C2">
        <v>852857632</v>
      </c>
      <c r="D2" t="s">
        <v>1388</v>
      </c>
      <c r="E2" t="s">
        <v>1389</v>
      </c>
      <c r="F2" t="s">
        <v>1390</v>
      </c>
      <c r="G2" t="s">
        <v>1391</v>
      </c>
      <c r="H2" t="s">
        <v>1392</v>
      </c>
    </row>
    <row r="3" spans="1:8">
      <c r="A3" t="s">
        <v>1387</v>
      </c>
      <c r="B3" t="s">
        <v>1042</v>
      </c>
      <c r="C3">
        <v>852857632</v>
      </c>
      <c r="D3" t="s">
        <v>1388</v>
      </c>
      <c r="E3" t="s">
        <v>1393</v>
      </c>
      <c r="F3" t="s">
        <v>1394</v>
      </c>
      <c r="G3" t="s">
        <v>1395</v>
      </c>
      <c r="H3" t="s">
        <v>1392</v>
      </c>
    </row>
    <row r="4" spans="1:8">
      <c r="A4" t="s">
        <v>1396</v>
      </c>
      <c r="B4" t="s">
        <v>1038</v>
      </c>
      <c r="C4">
        <v>330856180</v>
      </c>
      <c r="D4" t="s">
        <v>1397</v>
      </c>
      <c r="E4" t="s">
        <v>1398</v>
      </c>
      <c r="F4" t="s">
        <v>1399</v>
      </c>
      <c r="G4" t="s">
        <v>1400</v>
      </c>
      <c r="H4" t="s">
        <v>1401</v>
      </c>
    </row>
    <row r="5" spans="1:8">
      <c r="A5" t="s">
        <v>1396</v>
      </c>
      <c r="B5" t="s">
        <v>1038</v>
      </c>
      <c r="C5">
        <v>330856180</v>
      </c>
      <c r="D5" t="s">
        <v>1397</v>
      </c>
      <c r="E5" t="s">
        <v>1402</v>
      </c>
      <c r="F5" t="s">
        <v>1403</v>
      </c>
      <c r="G5" t="s">
        <v>1404</v>
      </c>
      <c r="H5" t="s">
        <v>1401</v>
      </c>
    </row>
    <row r="6" spans="1:8">
      <c r="A6" t="s">
        <v>1405</v>
      </c>
      <c r="B6" t="s">
        <v>1063</v>
      </c>
      <c r="C6">
        <v>522497260</v>
      </c>
      <c r="D6" t="s">
        <v>1388</v>
      </c>
      <c r="E6" t="s">
        <v>1406</v>
      </c>
      <c r="F6" t="s">
        <v>1399</v>
      </c>
      <c r="G6" t="s">
        <v>1407</v>
      </c>
      <c r="H6" t="s">
        <v>1392</v>
      </c>
    </row>
    <row r="7" spans="1:8">
      <c r="A7" t="s">
        <v>1408</v>
      </c>
      <c r="B7" t="s">
        <v>564</v>
      </c>
      <c r="C7">
        <v>479280980</v>
      </c>
      <c r="D7" t="s">
        <v>1388</v>
      </c>
      <c r="E7" t="s">
        <v>1409</v>
      </c>
      <c r="F7" t="s">
        <v>1410</v>
      </c>
      <c r="G7" t="s">
        <v>1411</v>
      </c>
      <c r="H7" t="s">
        <v>1392</v>
      </c>
    </row>
    <row r="8" spans="1:8">
      <c r="A8" t="s">
        <v>1412</v>
      </c>
      <c r="B8" t="s">
        <v>1152</v>
      </c>
      <c r="C8">
        <v>83641626</v>
      </c>
      <c r="D8" t="s">
        <v>1413</v>
      </c>
      <c r="E8" t="s">
        <v>1414</v>
      </c>
      <c r="F8" t="s">
        <v>1403</v>
      </c>
      <c r="G8" t="s">
        <v>1415</v>
      </c>
      <c r="H8" t="s">
        <v>1416</v>
      </c>
    </row>
    <row r="9" spans="1:8">
      <c r="A9" t="s">
        <v>1417</v>
      </c>
      <c r="B9" t="s">
        <v>1136</v>
      </c>
      <c r="C9">
        <v>983807791</v>
      </c>
      <c r="D9" t="s">
        <v>1413</v>
      </c>
      <c r="E9" t="s">
        <v>1418</v>
      </c>
      <c r="F9" t="s">
        <v>1399</v>
      </c>
      <c r="G9" t="s">
        <v>1419</v>
      </c>
      <c r="H9" t="s">
        <v>1416</v>
      </c>
    </row>
    <row r="10" spans="1:8">
      <c r="A10" t="s">
        <v>1420</v>
      </c>
      <c r="B10" t="s">
        <v>1146</v>
      </c>
      <c r="C10">
        <v>84736786</v>
      </c>
      <c r="D10" t="s">
        <v>1413</v>
      </c>
      <c r="E10" t="s">
        <v>1421</v>
      </c>
      <c r="F10" t="s">
        <v>1422</v>
      </c>
      <c r="G10" t="s">
        <v>1423</v>
      </c>
      <c r="H10" t="s">
        <v>1416</v>
      </c>
    </row>
    <row r="19" spans="6:10">
      <c r="J19" s="1"/>
    </row>
    <row r="22" spans="6:10">
      <c r="F22" s="84"/>
    </row>
    <row r="29" spans="6:10">
      <c r="G29" s="84"/>
    </row>
    <row r="52" spans="6:6">
      <c r="F52" s="84"/>
    </row>
    <row r="68" spans="6:6">
      <c r="F68" s="84"/>
    </row>
    <row r="111" spans="7:7">
      <c r="G111" s="84"/>
    </row>
    <row r="132" spans="7:7">
      <c r="G132" s="84"/>
    </row>
    <row r="136" spans="7:7">
      <c r="G136" s="84"/>
    </row>
    <row r="174" spans="6:6">
      <c r="F174" s="84"/>
    </row>
    <row r="182" spans="6:6">
      <c r="F182" s="84"/>
    </row>
    <row r="199" spans="6:6">
      <c r="F199" s="84"/>
    </row>
    <row r="231" spans="6:6">
      <c r="F231" s="84"/>
    </row>
    <row r="245" spans="7:7">
      <c r="G245" s="84"/>
    </row>
    <row r="271" spans="7:7">
      <c r="G271" s="84"/>
    </row>
    <row r="272" spans="7:7">
      <c r="G272" s="84"/>
    </row>
    <row r="290" spans="7:7">
      <c r="G290" s="84"/>
    </row>
    <row r="358" spans="7:7">
      <c r="G358" s="84"/>
    </row>
    <row r="416" spans="7:7">
      <c r="G416" s="84"/>
    </row>
    <row r="436" spans="7:7">
      <c r="G436" s="84"/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E06BF-BBCE-5240-8D81-6BD0D52F15A9}">
  <sheetPr codeName="Sheet17">
    <tabColor theme="4" tint="0.59999389629810485"/>
  </sheetPr>
  <dimension ref="A1:F139"/>
  <sheetViews>
    <sheetView workbookViewId="0">
      <selection activeCell="A62" sqref="A62"/>
    </sheetView>
  </sheetViews>
  <sheetFormatPr baseColWidth="10" defaultColWidth="10.5" defaultRowHeight="16"/>
  <cols>
    <col min="1" max="1" width="115.1640625" bestFit="1" customWidth="1"/>
    <col min="4" max="4" width="21.5" customWidth="1"/>
    <col min="5" max="5" width="18.83203125" customWidth="1"/>
  </cols>
  <sheetData>
    <row r="1" spans="1:6">
      <c r="A1" t="s">
        <v>1424</v>
      </c>
      <c r="B1" t="s">
        <v>1372</v>
      </c>
      <c r="C1" t="s">
        <v>1</v>
      </c>
      <c r="D1" s="42" t="s">
        <v>1425</v>
      </c>
      <c r="E1" s="26" t="s">
        <v>1426</v>
      </c>
      <c r="F1" s="26" t="s">
        <v>1427</v>
      </c>
    </row>
    <row r="2" spans="1:6">
      <c r="A2" t="s">
        <v>1428</v>
      </c>
      <c r="B2">
        <v>340715495</v>
      </c>
      <c r="C2" t="s">
        <v>1429</v>
      </c>
      <c r="D2" s="215">
        <v>44200.569681122688</v>
      </c>
      <c r="E2">
        <v>50002</v>
      </c>
    </row>
    <row r="3" spans="1:6">
      <c r="A3" t="s">
        <v>1430</v>
      </c>
      <c r="B3">
        <v>441781928</v>
      </c>
      <c r="C3" t="s">
        <v>1429</v>
      </c>
      <c r="D3" s="215">
        <v>44249.631896990744</v>
      </c>
      <c r="E3">
        <v>50003</v>
      </c>
    </row>
    <row r="4" spans="1:6">
      <c r="A4" t="s">
        <v>1431</v>
      </c>
      <c r="B4">
        <v>647136517</v>
      </c>
      <c r="C4" t="s">
        <v>1432</v>
      </c>
      <c r="D4" s="215">
        <v>44248.573359236114</v>
      </c>
      <c r="E4">
        <v>60100</v>
      </c>
    </row>
    <row r="5" spans="1:6">
      <c r="A5" t="s">
        <v>1433</v>
      </c>
      <c r="B5">
        <v>774593594</v>
      </c>
      <c r="C5" t="s">
        <v>1429</v>
      </c>
      <c r="D5" s="215">
        <v>44249.63170755787</v>
      </c>
      <c r="E5">
        <v>50003</v>
      </c>
    </row>
    <row r="6" spans="1:6">
      <c r="A6" t="s">
        <v>1434</v>
      </c>
      <c r="B6">
        <v>278544162</v>
      </c>
      <c r="C6" t="s">
        <v>1429</v>
      </c>
      <c r="D6" s="215">
        <v>44200.577079270835</v>
      </c>
      <c r="E6">
        <v>50002</v>
      </c>
    </row>
    <row r="7" spans="1:6">
      <c r="A7" t="s">
        <v>1435</v>
      </c>
      <c r="B7">
        <v>416849868</v>
      </c>
      <c r="C7" t="s">
        <v>1429</v>
      </c>
      <c r="D7" s="215">
        <v>44200.572660555554</v>
      </c>
      <c r="E7">
        <v>50002</v>
      </c>
    </row>
    <row r="8" spans="1:6">
      <c r="A8" t="s">
        <v>1436</v>
      </c>
      <c r="B8">
        <v>296240999</v>
      </c>
      <c r="C8" t="s">
        <v>1432</v>
      </c>
      <c r="D8" s="215">
        <v>44243.256186597224</v>
      </c>
      <c r="E8">
        <v>50002</v>
      </c>
    </row>
    <row r="9" spans="1:6">
      <c r="A9" t="s">
        <v>1437</v>
      </c>
      <c r="B9">
        <v>856150218</v>
      </c>
      <c r="C9" t="s">
        <v>1429</v>
      </c>
      <c r="D9" s="215">
        <v>44249.631514189816</v>
      </c>
      <c r="E9">
        <v>50003</v>
      </c>
    </row>
    <row r="10" spans="1:6">
      <c r="A10" t="s">
        <v>1438</v>
      </c>
      <c r="B10">
        <v>657815768</v>
      </c>
      <c r="C10" t="s">
        <v>1429</v>
      </c>
      <c r="D10" s="215">
        <v>44200.579368298611</v>
      </c>
      <c r="E10">
        <v>50003</v>
      </c>
    </row>
    <row r="11" spans="1:6">
      <c r="A11" t="s">
        <v>1439</v>
      </c>
      <c r="B11">
        <v>808381840</v>
      </c>
      <c r="C11" t="s">
        <v>1429</v>
      </c>
      <c r="D11" s="215">
        <v>44249.632459745371</v>
      </c>
      <c r="E11">
        <v>50003</v>
      </c>
    </row>
    <row r="12" spans="1:6">
      <c r="A12" t="s">
        <v>1440</v>
      </c>
      <c r="B12">
        <v>123744915</v>
      </c>
      <c r="C12" t="s">
        <v>1432</v>
      </c>
      <c r="D12" s="215">
        <v>44249.629701597223</v>
      </c>
      <c r="E12">
        <v>60100</v>
      </c>
    </row>
    <row r="13" spans="1:6">
      <c r="A13" t="s">
        <v>1441</v>
      </c>
      <c r="B13">
        <v>623962708</v>
      </c>
      <c r="C13" t="s">
        <v>1429</v>
      </c>
      <c r="D13" s="215">
        <v>44372.055992650465</v>
      </c>
      <c r="E13">
        <v>60000</v>
      </c>
    </row>
    <row r="14" spans="1:6">
      <c r="A14" t="s">
        <v>1442</v>
      </c>
      <c r="B14">
        <v>154952850</v>
      </c>
      <c r="C14" t="s">
        <v>1432</v>
      </c>
      <c r="D14" s="215">
        <v>44395.148412291666</v>
      </c>
      <c r="E14">
        <v>60000</v>
      </c>
    </row>
    <row r="15" spans="1:6">
      <c r="A15" t="s">
        <v>1443</v>
      </c>
      <c r="B15">
        <v>507948264</v>
      </c>
      <c r="C15" t="s">
        <v>1429</v>
      </c>
      <c r="D15" s="215">
        <v>44372.056659502312</v>
      </c>
      <c r="E15">
        <v>60000</v>
      </c>
    </row>
    <row r="16" spans="1:6">
      <c r="A16" t="s">
        <v>1444</v>
      </c>
      <c r="B16">
        <v>197542693</v>
      </c>
      <c r="C16" t="s">
        <v>1432</v>
      </c>
      <c r="D16" s="215">
        <v>44326.095274548614</v>
      </c>
      <c r="E16">
        <v>60000</v>
      </c>
    </row>
    <row r="17" spans="1:5">
      <c r="A17" t="s">
        <v>1445</v>
      </c>
      <c r="B17">
        <v>460503030</v>
      </c>
      <c r="C17" t="s">
        <v>1432</v>
      </c>
      <c r="D17" s="215">
        <v>44228.359779942133</v>
      </c>
      <c r="E17">
        <v>60000</v>
      </c>
    </row>
    <row r="18" spans="1:5">
      <c r="A18" t="s">
        <v>1446</v>
      </c>
      <c r="B18">
        <v>776813869</v>
      </c>
      <c r="C18" t="s">
        <v>1429</v>
      </c>
      <c r="D18" s="215">
        <v>44200.572434479167</v>
      </c>
      <c r="E18">
        <v>50002</v>
      </c>
    </row>
    <row r="19" spans="1:5">
      <c r="A19" t="s">
        <v>1447</v>
      </c>
      <c r="B19">
        <v>793152576</v>
      </c>
      <c r="C19" t="s">
        <v>1432</v>
      </c>
      <c r="D19" s="215">
        <v>44249.629350798612</v>
      </c>
      <c r="E19">
        <v>60100</v>
      </c>
    </row>
    <row r="20" spans="1:5">
      <c r="A20" t="s">
        <v>1448</v>
      </c>
      <c r="B20">
        <v>287885091</v>
      </c>
      <c r="C20" t="s">
        <v>1432</v>
      </c>
      <c r="D20" s="215">
        <v>44309.360691180555</v>
      </c>
      <c r="E20">
        <v>60100</v>
      </c>
    </row>
    <row r="21" spans="1:5">
      <c r="A21" t="s">
        <v>1449</v>
      </c>
      <c r="B21">
        <v>965395640</v>
      </c>
      <c r="C21" t="s">
        <v>1429</v>
      </c>
      <c r="D21" s="215">
        <v>44187.374272303241</v>
      </c>
      <c r="E21">
        <v>50002</v>
      </c>
    </row>
    <row r="22" spans="1:5">
      <c r="A22" t="s">
        <v>1450</v>
      </c>
      <c r="B22">
        <v>228915827</v>
      </c>
      <c r="C22" t="s">
        <v>1429</v>
      </c>
      <c r="D22" s="215">
        <v>44200.572053946758</v>
      </c>
      <c r="E22">
        <v>50002</v>
      </c>
    </row>
    <row r="23" spans="1:5">
      <c r="A23" t="s">
        <v>1451</v>
      </c>
      <c r="B23">
        <v>225899426</v>
      </c>
      <c r="C23" t="s">
        <v>1429</v>
      </c>
      <c r="D23" s="215">
        <v>44219.747076168984</v>
      </c>
      <c r="E23">
        <v>50002</v>
      </c>
    </row>
    <row r="24" spans="1:5">
      <c r="A24" t="s">
        <v>1452</v>
      </c>
      <c r="B24">
        <v>829740450</v>
      </c>
      <c r="C24" t="s">
        <v>1429</v>
      </c>
      <c r="D24" s="215">
        <v>44200.574630358795</v>
      </c>
      <c r="E24">
        <v>50003</v>
      </c>
    </row>
    <row r="25" spans="1:5">
      <c r="A25" t="s">
        <v>1453</v>
      </c>
      <c r="B25">
        <v>471813304</v>
      </c>
      <c r="C25" t="s">
        <v>1429</v>
      </c>
      <c r="D25" s="215">
        <v>44200.577877615739</v>
      </c>
      <c r="E25">
        <v>50002</v>
      </c>
    </row>
    <row r="26" spans="1:5">
      <c r="A26" t="s">
        <v>1454</v>
      </c>
      <c r="B26">
        <v>883632207</v>
      </c>
      <c r="C26" t="s">
        <v>1429</v>
      </c>
      <c r="D26" s="215">
        <v>44200.574923738423</v>
      </c>
      <c r="E26">
        <v>50002</v>
      </c>
    </row>
    <row r="27" spans="1:5">
      <c r="A27" t="s">
        <v>1455</v>
      </c>
      <c r="B27">
        <v>859060397</v>
      </c>
      <c r="C27" t="s">
        <v>1429</v>
      </c>
      <c r="D27" s="215">
        <v>44200.568830879631</v>
      </c>
      <c r="E27">
        <v>50002</v>
      </c>
    </row>
    <row r="28" spans="1:5">
      <c r="A28" t="s">
        <v>1456</v>
      </c>
      <c r="B28">
        <v>564895155</v>
      </c>
      <c r="C28" t="s">
        <v>1429</v>
      </c>
      <c r="D28" s="215">
        <v>44200.566050972222</v>
      </c>
      <c r="E28">
        <v>50002</v>
      </c>
    </row>
    <row r="29" spans="1:5">
      <c r="A29" t="s">
        <v>1457</v>
      </c>
      <c r="B29">
        <v>123503391</v>
      </c>
      <c r="C29" t="s">
        <v>1429</v>
      </c>
      <c r="D29" s="215">
        <v>44200.574435682873</v>
      </c>
      <c r="E29">
        <v>50002</v>
      </c>
    </row>
    <row r="30" spans="1:5">
      <c r="A30" t="s">
        <v>1458</v>
      </c>
      <c r="B30">
        <v>565048757</v>
      </c>
      <c r="C30" t="s">
        <v>1429</v>
      </c>
      <c r="D30" s="215">
        <v>44200.576001296293</v>
      </c>
      <c r="E30">
        <v>50002</v>
      </c>
    </row>
    <row r="31" spans="1:5">
      <c r="A31" t="s">
        <v>1459</v>
      </c>
      <c r="B31">
        <v>916364314</v>
      </c>
      <c r="C31" t="s">
        <v>1429</v>
      </c>
      <c r="D31" s="215">
        <v>44219.749464340275</v>
      </c>
      <c r="E31">
        <v>50002</v>
      </c>
    </row>
    <row r="32" spans="1:5">
      <c r="A32" t="s">
        <v>1460</v>
      </c>
      <c r="B32">
        <v>569458784</v>
      </c>
      <c r="C32" t="s">
        <v>1429</v>
      </c>
      <c r="D32" s="215">
        <v>44200.575623206016</v>
      </c>
      <c r="E32">
        <v>50002</v>
      </c>
    </row>
    <row r="33" spans="1:5">
      <c r="A33" t="s">
        <v>1461</v>
      </c>
      <c r="B33">
        <v>196032703</v>
      </c>
      <c r="C33" t="s">
        <v>1429</v>
      </c>
      <c r="D33" s="215">
        <v>44200.576667951391</v>
      </c>
      <c r="E33">
        <v>50002</v>
      </c>
    </row>
    <row r="34" spans="1:5">
      <c r="A34" t="s">
        <v>1462</v>
      </c>
      <c r="B34">
        <v>533286872</v>
      </c>
      <c r="C34" t="s">
        <v>1429</v>
      </c>
      <c r="D34" s="215">
        <v>44200.573466192131</v>
      </c>
      <c r="E34">
        <v>50002</v>
      </c>
    </row>
    <row r="35" spans="1:5">
      <c r="A35" t="s">
        <v>1463</v>
      </c>
      <c r="B35">
        <v>718004205</v>
      </c>
      <c r="C35" t="s">
        <v>1429</v>
      </c>
      <c r="D35" s="215">
        <v>44219.145007939813</v>
      </c>
      <c r="E35">
        <v>50003</v>
      </c>
    </row>
    <row r="36" spans="1:5">
      <c r="A36" t="s">
        <v>1464</v>
      </c>
      <c r="B36">
        <v>95908941</v>
      </c>
      <c r="C36" t="s">
        <v>1429</v>
      </c>
      <c r="D36" s="215">
        <v>44200.576500081021</v>
      </c>
      <c r="E36">
        <v>50002</v>
      </c>
    </row>
    <row r="37" spans="1:5">
      <c r="A37" t="s">
        <v>1465</v>
      </c>
      <c r="B37">
        <v>62635165</v>
      </c>
      <c r="C37" t="s">
        <v>1429</v>
      </c>
      <c r="D37" s="215">
        <v>44200.571741793981</v>
      </c>
      <c r="E37">
        <v>50002</v>
      </c>
    </row>
    <row r="38" spans="1:5">
      <c r="A38" t="s">
        <v>1466</v>
      </c>
      <c r="B38">
        <v>715052897</v>
      </c>
      <c r="C38" t="s">
        <v>1429</v>
      </c>
      <c r="D38" s="215">
        <v>44200.577494930556</v>
      </c>
      <c r="E38">
        <v>50002</v>
      </c>
    </row>
    <row r="39" spans="1:5">
      <c r="A39" t="s">
        <v>1467</v>
      </c>
      <c r="B39">
        <v>667044505</v>
      </c>
      <c r="C39" t="s">
        <v>1429</v>
      </c>
      <c r="D39" s="215">
        <v>44200.571494131946</v>
      </c>
      <c r="E39">
        <v>50002</v>
      </c>
    </row>
    <row r="40" spans="1:5">
      <c r="A40" t="s">
        <v>1468</v>
      </c>
      <c r="B40">
        <v>82710369</v>
      </c>
      <c r="C40" t="s">
        <v>1432</v>
      </c>
      <c r="D40" s="215">
        <v>44314.401845324071</v>
      </c>
      <c r="E40">
        <v>60000</v>
      </c>
    </row>
    <row r="41" spans="1:5">
      <c r="A41" t="s">
        <v>1469</v>
      </c>
      <c r="B41">
        <v>116301400</v>
      </c>
      <c r="C41" t="s">
        <v>1432</v>
      </c>
      <c r="D41" s="215">
        <v>44249.630442245369</v>
      </c>
      <c r="E41">
        <v>60000</v>
      </c>
    </row>
    <row r="42" spans="1:5">
      <c r="A42" t="s">
        <v>1470</v>
      </c>
      <c r="B42">
        <v>43013727</v>
      </c>
      <c r="C42" t="s">
        <v>1432</v>
      </c>
      <c r="D42" s="215">
        <v>44249.631123217594</v>
      </c>
      <c r="E42">
        <v>60000</v>
      </c>
    </row>
    <row r="43" spans="1:5">
      <c r="A43" t="s">
        <v>1471</v>
      </c>
      <c r="B43">
        <v>752207676</v>
      </c>
      <c r="C43" t="s">
        <v>1429</v>
      </c>
      <c r="D43" s="215">
        <v>44200.575089178237</v>
      </c>
      <c r="E43">
        <v>50002</v>
      </c>
    </row>
    <row r="44" spans="1:5">
      <c r="A44" t="s">
        <v>1472</v>
      </c>
      <c r="B44">
        <v>601006853</v>
      </c>
      <c r="C44" t="s">
        <v>1429</v>
      </c>
      <c r="D44" s="215">
        <v>44428.414524814812</v>
      </c>
      <c r="E44">
        <v>60100</v>
      </c>
    </row>
    <row r="45" spans="1:5">
      <c r="A45" t="s">
        <v>1473</v>
      </c>
      <c r="B45">
        <v>920515851</v>
      </c>
      <c r="C45" t="s">
        <v>1429</v>
      </c>
      <c r="D45" s="215">
        <v>44428.415397766206</v>
      </c>
      <c r="E45">
        <v>60100</v>
      </c>
    </row>
    <row r="46" spans="1:5">
      <c r="A46" t="s">
        <v>1474</v>
      </c>
      <c r="B46">
        <v>189127242</v>
      </c>
      <c r="C46" t="s">
        <v>1432</v>
      </c>
      <c r="D46" s="215">
        <v>44433.235806041666</v>
      </c>
      <c r="E46">
        <v>60100</v>
      </c>
    </row>
    <row r="47" spans="1:5">
      <c r="A47" t="s">
        <v>1475</v>
      </c>
      <c r="B47">
        <v>852857632</v>
      </c>
      <c r="C47" t="s">
        <v>1432</v>
      </c>
      <c r="D47" s="215">
        <v>44371.3659437963</v>
      </c>
      <c r="E47">
        <v>60100</v>
      </c>
    </row>
    <row r="48" spans="1:5">
      <c r="A48" t="s">
        <v>1476</v>
      </c>
      <c r="B48">
        <v>878938163</v>
      </c>
      <c r="C48" t="s">
        <v>1432</v>
      </c>
      <c r="D48" s="215">
        <v>44371.365479976848</v>
      </c>
      <c r="E48">
        <v>60100</v>
      </c>
    </row>
    <row r="49" spans="1:5">
      <c r="A49" t="s">
        <v>1477</v>
      </c>
      <c r="B49">
        <v>330856180</v>
      </c>
      <c r="C49" t="s">
        <v>1432</v>
      </c>
      <c r="D49" s="215">
        <v>44371.364720925929</v>
      </c>
      <c r="E49">
        <v>60100</v>
      </c>
    </row>
    <row r="50" spans="1:5">
      <c r="A50" t="s">
        <v>1478</v>
      </c>
      <c r="B50">
        <v>933343210</v>
      </c>
      <c r="C50" t="s">
        <v>1429</v>
      </c>
      <c r="D50" s="215">
        <v>44200.583101724536</v>
      </c>
      <c r="E50">
        <v>50002</v>
      </c>
    </row>
    <row r="51" spans="1:5">
      <c r="A51" t="s">
        <v>1479</v>
      </c>
      <c r="B51">
        <v>293771268</v>
      </c>
      <c r="C51" t="s">
        <v>1429</v>
      </c>
      <c r="D51" s="215">
        <v>44200.582563935182</v>
      </c>
      <c r="E51">
        <v>50002</v>
      </c>
    </row>
    <row r="52" spans="1:5">
      <c r="A52" t="s">
        <v>1480</v>
      </c>
      <c r="B52">
        <v>30027272</v>
      </c>
      <c r="C52" t="s">
        <v>1429</v>
      </c>
      <c r="D52" s="215">
        <v>44200.583283449072</v>
      </c>
      <c r="E52">
        <v>50002</v>
      </c>
    </row>
    <row r="53" spans="1:5">
      <c r="A53" t="s">
        <v>1481</v>
      </c>
      <c r="B53">
        <v>532473061</v>
      </c>
      <c r="C53" t="s">
        <v>1429</v>
      </c>
      <c r="D53" s="215">
        <v>44223.57602753472</v>
      </c>
      <c r="E53">
        <v>50002</v>
      </c>
    </row>
    <row r="54" spans="1:5">
      <c r="A54" t="s">
        <v>1482</v>
      </c>
      <c r="B54">
        <v>268954388</v>
      </c>
      <c r="C54" t="s">
        <v>1429</v>
      </c>
      <c r="D54" s="215">
        <v>44215.171740289348</v>
      </c>
      <c r="E54">
        <v>50002</v>
      </c>
    </row>
    <row r="55" spans="1:5">
      <c r="A55" t="s">
        <v>1483</v>
      </c>
      <c r="B55">
        <v>930408199</v>
      </c>
      <c r="C55" t="s">
        <v>1429</v>
      </c>
      <c r="D55" s="215">
        <v>44200.583469490739</v>
      </c>
      <c r="E55">
        <v>50002</v>
      </c>
    </row>
    <row r="56" spans="1:5">
      <c r="A56" t="s">
        <v>1484</v>
      </c>
      <c r="B56">
        <v>348820374</v>
      </c>
      <c r="C56" t="s">
        <v>1429</v>
      </c>
      <c r="D56" s="215">
        <v>44223.575328148145</v>
      </c>
      <c r="E56">
        <v>50002</v>
      </c>
    </row>
    <row r="57" spans="1:5">
      <c r="A57" t="s">
        <v>1485</v>
      </c>
      <c r="B57">
        <v>209837243</v>
      </c>
      <c r="C57" t="s">
        <v>1429</v>
      </c>
      <c r="D57" s="215">
        <v>44200.58296803241</v>
      </c>
      <c r="E57">
        <v>50002</v>
      </c>
    </row>
    <row r="58" spans="1:5">
      <c r="A58" t="s">
        <v>1486</v>
      </c>
      <c r="B58">
        <v>576038790</v>
      </c>
      <c r="C58" t="s">
        <v>1432</v>
      </c>
      <c r="D58" s="215">
        <v>44244.093911770833</v>
      </c>
      <c r="E58">
        <v>60000</v>
      </c>
    </row>
    <row r="59" spans="1:5">
      <c r="A59" t="s">
        <v>1487</v>
      </c>
      <c r="B59">
        <v>522497260</v>
      </c>
      <c r="C59" t="s">
        <v>1432</v>
      </c>
      <c r="D59" s="215">
        <v>44371.366236435184</v>
      </c>
      <c r="E59">
        <v>60100</v>
      </c>
    </row>
    <row r="60" spans="1:5">
      <c r="A60" t="s">
        <v>1488</v>
      </c>
      <c r="B60">
        <v>883662669</v>
      </c>
      <c r="C60" t="s">
        <v>1432</v>
      </c>
      <c r="D60" s="215">
        <v>44386.10835894676</v>
      </c>
      <c r="E60">
        <v>60100</v>
      </c>
    </row>
    <row r="61" spans="1:5">
      <c r="A61" t="s">
        <v>1489</v>
      </c>
      <c r="B61">
        <v>509447106</v>
      </c>
      <c r="C61" t="s">
        <v>1432</v>
      </c>
      <c r="D61" s="215">
        <v>44407.600793738427</v>
      </c>
      <c r="E61">
        <v>60100</v>
      </c>
    </row>
    <row r="62" spans="1:5">
      <c r="A62" t="s">
        <v>1490</v>
      </c>
      <c r="B62">
        <v>479280980</v>
      </c>
      <c r="C62" t="s">
        <v>1432</v>
      </c>
      <c r="D62" s="215">
        <v>44407.601825393518</v>
      </c>
      <c r="E62">
        <v>60100</v>
      </c>
    </row>
    <row r="63" spans="1:5">
      <c r="A63" t="s">
        <v>1491</v>
      </c>
      <c r="B63">
        <v>711592122</v>
      </c>
      <c r="C63" t="s">
        <v>1432</v>
      </c>
      <c r="D63" s="215">
        <v>44371.307618564817</v>
      </c>
      <c r="E63">
        <v>60100</v>
      </c>
    </row>
    <row r="64" spans="1:5">
      <c r="A64" t="s">
        <v>1492</v>
      </c>
      <c r="B64">
        <v>905082134</v>
      </c>
      <c r="C64" t="s">
        <v>1429</v>
      </c>
      <c r="D64" s="215">
        <v>44200.578323159723</v>
      </c>
      <c r="E64">
        <v>50002</v>
      </c>
    </row>
    <row r="65" spans="1:5">
      <c r="A65" t="s">
        <v>1493</v>
      </c>
      <c r="B65">
        <v>814335341</v>
      </c>
      <c r="C65" t="s">
        <v>1429</v>
      </c>
      <c r="D65" s="215">
        <v>44200.576904386573</v>
      </c>
      <c r="E65">
        <v>50002</v>
      </c>
    </row>
    <row r="66" spans="1:5">
      <c r="A66" t="s">
        <v>1494</v>
      </c>
      <c r="B66">
        <v>727259924</v>
      </c>
      <c r="C66" t="s">
        <v>1429</v>
      </c>
      <c r="D66" s="215">
        <v>44200.571363750001</v>
      </c>
      <c r="E66">
        <v>50002</v>
      </c>
    </row>
    <row r="67" spans="1:5">
      <c r="A67" t="s">
        <v>1495</v>
      </c>
      <c r="B67">
        <v>512773519</v>
      </c>
      <c r="C67" t="s">
        <v>1429</v>
      </c>
      <c r="D67" s="215">
        <v>44200.570518009263</v>
      </c>
      <c r="E67">
        <v>50002</v>
      </c>
    </row>
    <row r="68" spans="1:5">
      <c r="A68" t="s">
        <v>1496</v>
      </c>
      <c r="B68">
        <v>297362855</v>
      </c>
      <c r="C68" t="s">
        <v>1432</v>
      </c>
      <c r="D68" s="215">
        <v>44287.159271168981</v>
      </c>
      <c r="E68">
        <v>60000</v>
      </c>
    </row>
    <row r="69" spans="1:5">
      <c r="A69" t="s">
        <v>1497</v>
      </c>
      <c r="B69">
        <v>11567442</v>
      </c>
      <c r="C69" t="s">
        <v>1432</v>
      </c>
      <c r="D69" s="215">
        <v>44300.373374479168</v>
      </c>
      <c r="E69">
        <v>60000</v>
      </c>
    </row>
    <row r="70" spans="1:5">
      <c r="A70" t="s">
        <v>1498</v>
      </c>
      <c r="B70">
        <v>262880039</v>
      </c>
      <c r="C70" t="s">
        <v>1429</v>
      </c>
      <c r="D70" s="215">
        <v>44200.576174814814</v>
      </c>
      <c r="E70">
        <v>50002</v>
      </c>
    </row>
    <row r="71" spans="1:5">
      <c r="A71" t="s">
        <v>1499</v>
      </c>
      <c r="B71">
        <v>419542703</v>
      </c>
      <c r="C71" t="s">
        <v>1429</v>
      </c>
      <c r="D71" s="215">
        <v>44200.576345173613</v>
      </c>
      <c r="E71">
        <v>50002</v>
      </c>
    </row>
    <row r="72" spans="1:5">
      <c r="A72" t="s">
        <v>1500</v>
      </c>
      <c r="B72">
        <v>769225837</v>
      </c>
      <c r="C72" t="s">
        <v>1432</v>
      </c>
      <c r="D72" s="215">
        <v>44285.351969722222</v>
      </c>
      <c r="E72">
        <v>60000</v>
      </c>
    </row>
    <row r="73" spans="1:5">
      <c r="A73" t="s">
        <v>1501</v>
      </c>
      <c r="B73">
        <v>870751928</v>
      </c>
      <c r="C73" t="s">
        <v>1429</v>
      </c>
      <c r="D73" s="215">
        <v>44200.577331261571</v>
      </c>
      <c r="E73">
        <v>50002</v>
      </c>
    </row>
    <row r="74" spans="1:5">
      <c r="A74" t="s">
        <v>1502</v>
      </c>
      <c r="B74">
        <v>330423184</v>
      </c>
      <c r="C74" t="s">
        <v>1429</v>
      </c>
      <c r="D74" s="215">
        <v>44200.574774305554</v>
      </c>
      <c r="E74">
        <v>50002</v>
      </c>
    </row>
    <row r="75" spans="1:5">
      <c r="A75" t="s">
        <v>1503</v>
      </c>
      <c r="B75">
        <v>852828758</v>
      </c>
      <c r="C75" t="s">
        <v>1429</v>
      </c>
      <c r="D75" s="215">
        <v>44200.573298807867</v>
      </c>
      <c r="E75">
        <v>50002</v>
      </c>
    </row>
    <row r="76" spans="1:5">
      <c r="A76" t="s">
        <v>1504</v>
      </c>
      <c r="B76">
        <v>597842006</v>
      </c>
      <c r="C76" t="s">
        <v>1429</v>
      </c>
      <c r="D76" s="215">
        <v>44200.577681342591</v>
      </c>
      <c r="E76">
        <v>50002</v>
      </c>
    </row>
    <row r="77" spans="1:5">
      <c r="A77" t="s">
        <v>1505</v>
      </c>
      <c r="B77">
        <v>176862724</v>
      </c>
      <c r="C77" t="s">
        <v>1432</v>
      </c>
      <c r="D77" s="215">
        <v>44402.514440370367</v>
      </c>
      <c r="E77">
        <v>60100</v>
      </c>
    </row>
    <row r="78" spans="1:5">
      <c r="A78" t="s">
        <v>1506</v>
      </c>
      <c r="B78">
        <v>453583519</v>
      </c>
      <c r="C78" t="s">
        <v>1429</v>
      </c>
      <c r="D78" s="215">
        <v>44200.572816585649</v>
      </c>
      <c r="E78">
        <v>50002</v>
      </c>
    </row>
    <row r="79" spans="1:5">
      <c r="A79" t="s">
        <v>1507</v>
      </c>
      <c r="B79">
        <v>160466141</v>
      </c>
      <c r="C79" t="s">
        <v>1432</v>
      </c>
      <c r="D79" s="215">
        <v>44379.594699201392</v>
      </c>
      <c r="E79">
        <v>60100</v>
      </c>
    </row>
    <row r="80" spans="1:5">
      <c r="A80" t="s">
        <v>1508</v>
      </c>
      <c r="B80">
        <v>839391795</v>
      </c>
      <c r="C80" t="s">
        <v>1432</v>
      </c>
      <c r="D80" s="215">
        <v>44412.542805335645</v>
      </c>
      <c r="E80">
        <v>60100</v>
      </c>
    </row>
    <row r="81" spans="1:5">
      <c r="A81" t="s">
        <v>1509</v>
      </c>
      <c r="B81">
        <v>698169473</v>
      </c>
      <c r="C81" t="s">
        <v>1432</v>
      </c>
      <c r="D81" s="215">
        <v>44413.58292483796</v>
      </c>
      <c r="E81">
        <v>60100</v>
      </c>
    </row>
    <row r="82" spans="1:5">
      <c r="A82" t="s">
        <v>1510</v>
      </c>
      <c r="B82">
        <v>408372966</v>
      </c>
      <c r="C82" t="s">
        <v>1432</v>
      </c>
      <c r="D82" s="215">
        <v>44404.412950150465</v>
      </c>
      <c r="E82">
        <v>60100</v>
      </c>
    </row>
    <row r="83" spans="1:5">
      <c r="A83" t="s">
        <v>1511</v>
      </c>
      <c r="B83">
        <v>53489564</v>
      </c>
      <c r="C83" t="s">
        <v>1432</v>
      </c>
      <c r="D83" s="215">
        <v>44383.07673414352</v>
      </c>
      <c r="E83">
        <v>60100</v>
      </c>
    </row>
    <row r="84" spans="1:5">
      <c r="A84" t="s">
        <v>1512</v>
      </c>
      <c r="B84">
        <v>34682411</v>
      </c>
      <c r="C84" t="s">
        <v>1432</v>
      </c>
      <c r="D84" s="215">
        <v>44435.065464224535</v>
      </c>
      <c r="E84">
        <v>60100</v>
      </c>
    </row>
    <row r="85" spans="1:5">
      <c r="A85" t="s">
        <v>1513</v>
      </c>
      <c r="B85">
        <v>776944594</v>
      </c>
      <c r="C85" t="s">
        <v>1429</v>
      </c>
      <c r="D85" s="215">
        <v>44200.263624652776</v>
      </c>
      <c r="E85">
        <v>50002</v>
      </c>
    </row>
    <row r="86" spans="1:5">
      <c r="A86" t="s">
        <v>1514</v>
      </c>
      <c r="B86">
        <v>266516712</v>
      </c>
      <c r="C86" t="s">
        <v>1432</v>
      </c>
      <c r="D86" s="215">
        <v>44432.075156493054</v>
      </c>
      <c r="E86">
        <v>60100</v>
      </c>
    </row>
    <row r="87" spans="1:5">
      <c r="A87" t="s">
        <v>1515</v>
      </c>
      <c r="B87">
        <v>725177225</v>
      </c>
      <c r="C87" t="s">
        <v>1432</v>
      </c>
      <c r="D87" s="215">
        <v>44279.344625590275</v>
      </c>
      <c r="E87">
        <v>60100</v>
      </c>
    </row>
    <row r="88" spans="1:5">
      <c r="A88" t="s">
        <v>1516</v>
      </c>
      <c r="B88">
        <v>269950954</v>
      </c>
      <c r="C88" t="s">
        <v>1432</v>
      </c>
      <c r="D88" s="215">
        <v>44279.151774895836</v>
      </c>
      <c r="E88">
        <v>60100</v>
      </c>
    </row>
    <row r="89" spans="1:5">
      <c r="A89" t="s">
        <v>1517</v>
      </c>
      <c r="B89">
        <v>999225753</v>
      </c>
      <c r="C89" t="s">
        <v>1432</v>
      </c>
      <c r="D89" s="215">
        <v>44260.148684340274</v>
      </c>
      <c r="E89">
        <v>60100</v>
      </c>
    </row>
    <row r="90" spans="1:5">
      <c r="A90" t="s">
        <v>1518</v>
      </c>
      <c r="B90">
        <v>367210856</v>
      </c>
      <c r="C90" t="s">
        <v>1432</v>
      </c>
      <c r="D90" s="215">
        <v>44379.174272847224</v>
      </c>
      <c r="E90">
        <v>60100</v>
      </c>
    </row>
    <row r="91" spans="1:5">
      <c r="A91" t="s">
        <v>1519</v>
      </c>
      <c r="B91">
        <v>92015259</v>
      </c>
      <c r="C91" t="s">
        <v>1432</v>
      </c>
      <c r="D91" s="215">
        <v>44362.042039131942</v>
      </c>
      <c r="E91">
        <v>60100</v>
      </c>
    </row>
    <row r="92" spans="1:5">
      <c r="A92" t="s">
        <v>1520</v>
      </c>
      <c r="B92">
        <v>152502340</v>
      </c>
      <c r="C92" t="s">
        <v>1432</v>
      </c>
      <c r="D92" s="215">
        <v>44354.355907812504</v>
      </c>
      <c r="E92">
        <v>60100</v>
      </c>
    </row>
    <row r="93" spans="1:5">
      <c r="A93" t="s">
        <v>1521</v>
      </c>
      <c r="B93">
        <v>427638024</v>
      </c>
      <c r="C93" t="s">
        <v>1432</v>
      </c>
      <c r="D93" s="215">
        <v>44383.076258587964</v>
      </c>
      <c r="E93">
        <v>60100</v>
      </c>
    </row>
    <row r="94" spans="1:5">
      <c r="A94" t="s">
        <v>1522</v>
      </c>
      <c r="B94">
        <v>364992398</v>
      </c>
      <c r="C94" t="s">
        <v>1432</v>
      </c>
      <c r="D94" s="215">
        <v>44434.083939386575</v>
      </c>
      <c r="E94">
        <v>60100</v>
      </c>
    </row>
    <row r="95" spans="1:5">
      <c r="A95" t="s">
        <v>1523</v>
      </c>
      <c r="B95">
        <v>112554448</v>
      </c>
      <c r="C95" t="s">
        <v>1432</v>
      </c>
      <c r="D95" s="215">
        <v>44385.777913668979</v>
      </c>
      <c r="E95">
        <v>60100</v>
      </c>
    </row>
    <row r="96" spans="1:5">
      <c r="A96" t="s">
        <v>1524</v>
      </c>
      <c r="B96">
        <v>722481030</v>
      </c>
      <c r="C96" t="s">
        <v>1432</v>
      </c>
      <c r="D96" s="215">
        <v>44284.498671168978</v>
      </c>
      <c r="E96">
        <v>60100</v>
      </c>
    </row>
    <row r="97" spans="1:5">
      <c r="A97" t="s">
        <v>1525</v>
      </c>
      <c r="B97">
        <v>863576436</v>
      </c>
      <c r="C97" t="s">
        <v>1432</v>
      </c>
      <c r="D97" s="215">
        <v>44425.440891157406</v>
      </c>
      <c r="E97">
        <v>60100</v>
      </c>
    </row>
    <row r="98" spans="1:5">
      <c r="A98" t="s">
        <v>1526</v>
      </c>
      <c r="B98">
        <v>364873783</v>
      </c>
      <c r="C98" t="s">
        <v>1432</v>
      </c>
      <c r="D98" s="215">
        <v>44440.075192824072</v>
      </c>
      <c r="E98">
        <v>60100</v>
      </c>
    </row>
    <row r="99" spans="1:5">
      <c r="A99" t="s">
        <v>1527</v>
      </c>
      <c r="B99">
        <v>578096936</v>
      </c>
      <c r="C99" t="s">
        <v>1432</v>
      </c>
      <c r="D99" s="215">
        <v>44295.414812696756</v>
      </c>
      <c r="E99">
        <v>60100</v>
      </c>
    </row>
    <row r="100" spans="1:5">
      <c r="A100" t="s">
        <v>1528</v>
      </c>
      <c r="B100">
        <v>928801753</v>
      </c>
      <c r="C100" t="s">
        <v>1432</v>
      </c>
      <c r="D100" s="215">
        <v>44306.39546728009</v>
      </c>
      <c r="E100">
        <v>60100</v>
      </c>
    </row>
    <row r="101" spans="1:5">
      <c r="A101" t="s">
        <v>1529</v>
      </c>
      <c r="B101">
        <v>755701683</v>
      </c>
      <c r="C101" t="s">
        <v>1432</v>
      </c>
      <c r="D101" s="215">
        <v>44418.427943159724</v>
      </c>
      <c r="E101">
        <v>60100</v>
      </c>
    </row>
    <row r="102" spans="1:5">
      <c r="A102" t="s">
        <v>1530</v>
      </c>
      <c r="B102">
        <v>58791134</v>
      </c>
      <c r="C102" t="s">
        <v>1432</v>
      </c>
      <c r="D102" s="215">
        <v>44361.089329502312</v>
      </c>
      <c r="E102">
        <v>60100</v>
      </c>
    </row>
    <row r="103" spans="1:5">
      <c r="A103" t="s">
        <v>1531</v>
      </c>
      <c r="B103">
        <v>83641626</v>
      </c>
      <c r="C103" t="s">
        <v>1432</v>
      </c>
      <c r="D103" s="215">
        <v>44279.121670104163</v>
      </c>
      <c r="E103">
        <v>60100</v>
      </c>
    </row>
    <row r="104" spans="1:5">
      <c r="A104" t="s">
        <v>1532</v>
      </c>
      <c r="B104">
        <v>76611502</v>
      </c>
      <c r="C104" t="s">
        <v>1432</v>
      </c>
      <c r="D104" s="215">
        <v>44433.075901018521</v>
      </c>
      <c r="E104">
        <v>60100</v>
      </c>
    </row>
    <row r="105" spans="1:5">
      <c r="A105" t="s">
        <v>1533</v>
      </c>
      <c r="B105">
        <v>299071760</v>
      </c>
      <c r="C105" t="s">
        <v>1432</v>
      </c>
      <c r="D105" s="215">
        <v>44432.074765763886</v>
      </c>
      <c r="E105">
        <v>60100</v>
      </c>
    </row>
    <row r="106" spans="1:5">
      <c r="A106" t="s">
        <v>1534</v>
      </c>
      <c r="B106">
        <v>187135132</v>
      </c>
      <c r="C106" t="s">
        <v>1432</v>
      </c>
      <c r="D106" s="215">
        <v>44425.44866790509</v>
      </c>
      <c r="E106">
        <v>60100</v>
      </c>
    </row>
    <row r="107" spans="1:5">
      <c r="A107" t="s">
        <v>1535</v>
      </c>
      <c r="B107">
        <v>195191574</v>
      </c>
      <c r="C107" t="s">
        <v>1432</v>
      </c>
      <c r="D107" s="215">
        <v>44267.074748159721</v>
      </c>
      <c r="E107">
        <v>60100</v>
      </c>
    </row>
    <row r="108" spans="1:5">
      <c r="A108" t="s">
        <v>1536</v>
      </c>
      <c r="B108">
        <v>786604617</v>
      </c>
      <c r="C108" t="s">
        <v>1432</v>
      </c>
      <c r="D108" s="215">
        <v>44428.074312291668</v>
      </c>
      <c r="E108">
        <v>60100</v>
      </c>
    </row>
    <row r="109" spans="1:5">
      <c r="A109" t="s">
        <v>1537</v>
      </c>
      <c r="B109">
        <v>157362304</v>
      </c>
      <c r="C109" t="s">
        <v>1432</v>
      </c>
      <c r="D109" s="215">
        <v>44425.442487546294</v>
      </c>
      <c r="E109">
        <v>60100</v>
      </c>
    </row>
    <row r="110" spans="1:5">
      <c r="A110" t="s">
        <v>1538</v>
      </c>
      <c r="B110">
        <v>160967364</v>
      </c>
      <c r="C110" t="s">
        <v>1432</v>
      </c>
      <c r="D110" s="215">
        <v>44406.082961006941</v>
      </c>
      <c r="E110">
        <v>60100</v>
      </c>
    </row>
    <row r="111" spans="1:5">
      <c r="A111" t="s">
        <v>1539</v>
      </c>
      <c r="B111">
        <v>242720749</v>
      </c>
      <c r="C111" t="s">
        <v>1432</v>
      </c>
      <c r="D111" s="215">
        <v>44404.413554814812</v>
      </c>
      <c r="E111">
        <v>60100</v>
      </c>
    </row>
    <row r="112" spans="1:5">
      <c r="A112" t="s">
        <v>1540</v>
      </c>
      <c r="B112">
        <v>569400533</v>
      </c>
      <c r="C112" t="s">
        <v>1432</v>
      </c>
      <c r="D112" s="215">
        <v>44364.05256261574</v>
      </c>
      <c r="E112">
        <v>60100</v>
      </c>
    </row>
    <row r="113" spans="1:5">
      <c r="A113" t="s">
        <v>1541</v>
      </c>
      <c r="B113">
        <v>331079860</v>
      </c>
      <c r="C113" t="s">
        <v>1432</v>
      </c>
      <c r="D113" s="215">
        <v>44441.064531875003</v>
      </c>
      <c r="E113">
        <v>60100</v>
      </c>
    </row>
    <row r="114" spans="1:5">
      <c r="A114" t="s">
        <v>1542</v>
      </c>
      <c r="B114">
        <v>729539857</v>
      </c>
      <c r="C114" t="s">
        <v>1432</v>
      </c>
      <c r="D114" s="215">
        <v>44379.495606516204</v>
      </c>
      <c r="E114">
        <v>60100</v>
      </c>
    </row>
    <row r="115" spans="1:5">
      <c r="A115" t="s">
        <v>1543</v>
      </c>
      <c r="B115">
        <v>27155922</v>
      </c>
      <c r="C115" t="s">
        <v>1432</v>
      </c>
      <c r="D115" s="215">
        <v>44379.504163090278</v>
      </c>
      <c r="E115">
        <v>60100</v>
      </c>
    </row>
    <row r="116" spans="1:5">
      <c r="A116" t="s">
        <v>1544</v>
      </c>
      <c r="B116">
        <v>510564880</v>
      </c>
      <c r="C116" t="s">
        <v>1432</v>
      </c>
      <c r="D116" s="215">
        <v>44399.095354490739</v>
      </c>
      <c r="E116">
        <v>60100</v>
      </c>
    </row>
    <row r="117" spans="1:5">
      <c r="A117" t="s">
        <v>1545</v>
      </c>
      <c r="B117">
        <v>892739391</v>
      </c>
      <c r="C117" t="s">
        <v>1432</v>
      </c>
      <c r="D117" s="215">
        <v>44377.062652372682</v>
      </c>
      <c r="E117">
        <v>60100</v>
      </c>
    </row>
    <row r="118" spans="1:5">
      <c r="A118" t="s">
        <v>1546</v>
      </c>
      <c r="B118">
        <v>627200948</v>
      </c>
      <c r="C118" t="s">
        <v>1432</v>
      </c>
      <c r="D118" s="215">
        <v>44419.424001238425</v>
      </c>
      <c r="E118">
        <v>60100</v>
      </c>
    </row>
    <row r="119" spans="1:5">
      <c r="A119" t="s">
        <v>1547</v>
      </c>
      <c r="B119">
        <v>16001518</v>
      </c>
      <c r="C119" t="s">
        <v>1432</v>
      </c>
      <c r="D119" s="215">
        <v>44431.326213414352</v>
      </c>
      <c r="E119">
        <v>60100</v>
      </c>
    </row>
    <row r="120" spans="1:5">
      <c r="A120" t="s">
        <v>1548</v>
      </c>
      <c r="B120">
        <v>983807791</v>
      </c>
      <c r="C120" t="s">
        <v>1432</v>
      </c>
      <c r="D120" s="215">
        <v>44267.535657604167</v>
      </c>
      <c r="E120">
        <v>60100</v>
      </c>
    </row>
    <row r="121" spans="1:5">
      <c r="A121" t="s">
        <v>1549</v>
      </c>
      <c r="B121">
        <v>84736786</v>
      </c>
      <c r="C121" t="s">
        <v>1432</v>
      </c>
      <c r="D121" s="215">
        <v>44279.343986284723</v>
      </c>
      <c r="E121">
        <v>60100</v>
      </c>
    </row>
    <row r="122" spans="1:5">
      <c r="A122" t="s">
        <v>1550</v>
      </c>
      <c r="B122">
        <v>600389668</v>
      </c>
      <c r="C122" t="s">
        <v>1432</v>
      </c>
      <c r="D122" s="215">
        <v>44371.465755266203</v>
      </c>
      <c r="E122">
        <v>60100</v>
      </c>
    </row>
    <row r="123" spans="1:5">
      <c r="A123" t="s">
        <v>1551</v>
      </c>
      <c r="B123">
        <v>634153867</v>
      </c>
      <c r="C123" t="s">
        <v>1432</v>
      </c>
      <c r="D123" s="215">
        <v>44368.073048611113</v>
      </c>
      <c r="E123">
        <v>60100</v>
      </c>
    </row>
    <row r="124" spans="1:5">
      <c r="A124" t="s">
        <v>1552</v>
      </c>
      <c r="B124">
        <v>672528621</v>
      </c>
      <c r="C124" t="s">
        <v>1432</v>
      </c>
      <c r="D124" s="215">
        <v>44405.395994999999</v>
      </c>
      <c r="E124">
        <v>60100</v>
      </c>
    </row>
    <row r="125" spans="1:5">
      <c r="A125" t="s">
        <v>1553</v>
      </c>
      <c r="B125">
        <v>410876024</v>
      </c>
      <c r="C125" t="s">
        <v>1432</v>
      </c>
      <c r="D125" s="215">
        <v>44354.126216157405</v>
      </c>
      <c r="E125">
        <v>60100</v>
      </c>
    </row>
    <row r="126" spans="1:5">
      <c r="A126" t="s">
        <v>1554</v>
      </c>
      <c r="B126">
        <v>260365413</v>
      </c>
      <c r="C126" t="s">
        <v>1432</v>
      </c>
      <c r="D126" s="215">
        <v>44404.38874253472</v>
      </c>
      <c r="E126">
        <v>60100</v>
      </c>
    </row>
    <row r="127" spans="1:5">
      <c r="A127" t="s">
        <v>1555</v>
      </c>
      <c r="B127">
        <v>697593286</v>
      </c>
      <c r="C127" t="s">
        <v>1432</v>
      </c>
      <c r="D127" s="215">
        <v>44405.394973784722</v>
      </c>
      <c r="E127">
        <v>60100</v>
      </c>
    </row>
    <row r="128" spans="1:5">
      <c r="A128" t="s">
        <v>1556</v>
      </c>
      <c r="B128">
        <v>404564522</v>
      </c>
      <c r="C128" t="s">
        <v>1432</v>
      </c>
      <c r="D128" s="215">
        <v>44251.418735671294</v>
      </c>
      <c r="E128">
        <v>60100</v>
      </c>
    </row>
    <row r="129" spans="1:5">
      <c r="A129" t="s">
        <v>1557</v>
      </c>
      <c r="B129">
        <v>214986782</v>
      </c>
      <c r="C129" t="s">
        <v>1432</v>
      </c>
      <c r="D129" s="215">
        <v>44413.692760104168</v>
      </c>
      <c r="E129">
        <v>60100</v>
      </c>
    </row>
    <row r="130" spans="1:5">
      <c r="A130" t="s">
        <v>1558</v>
      </c>
      <c r="B130">
        <v>140106384</v>
      </c>
      <c r="C130" t="s">
        <v>1432</v>
      </c>
      <c r="D130" s="215">
        <v>44399.095785219906</v>
      </c>
      <c r="E130">
        <v>60100</v>
      </c>
    </row>
    <row r="131" spans="1:5">
      <c r="A131" t="s">
        <v>1559</v>
      </c>
      <c r="B131">
        <v>485648362</v>
      </c>
      <c r="C131" t="s">
        <v>1432</v>
      </c>
      <c r="D131" s="215">
        <v>44320.0670875</v>
      </c>
      <c r="E131">
        <v>60100</v>
      </c>
    </row>
    <row r="132" spans="1:5">
      <c r="A132" t="s">
        <v>1560</v>
      </c>
      <c r="B132">
        <v>419250959</v>
      </c>
      <c r="C132" t="s">
        <v>1432</v>
      </c>
      <c r="D132" s="215">
        <v>44433.075580949073</v>
      </c>
      <c r="E132">
        <v>60100</v>
      </c>
    </row>
    <row r="133" spans="1:5">
      <c r="A133" t="s">
        <v>1561</v>
      </c>
      <c r="B133">
        <v>668283612</v>
      </c>
      <c r="C133" t="s">
        <v>1432</v>
      </c>
      <c r="D133" s="215">
        <v>44251.349272928244</v>
      </c>
      <c r="E133">
        <v>60100</v>
      </c>
    </row>
    <row r="134" spans="1:5">
      <c r="A134" t="s">
        <v>1562</v>
      </c>
      <c r="B134">
        <v>340415874</v>
      </c>
      <c r="C134" t="s">
        <v>1429</v>
      </c>
      <c r="D134" s="215">
        <v>44428.413797442132</v>
      </c>
      <c r="E134">
        <v>60100</v>
      </c>
    </row>
    <row r="135" spans="1:5">
      <c r="A135" t="s">
        <v>1563</v>
      </c>
      <c r="B135">
        <v>180770833</v>
      </c>
      <c r="C135" t="s">
        <v>1432</v>
      </c>
      <c r="D135" s="215">
        <v>44418.427313229164</v>
      </c>
      <c r="E135">
        <v>60100</v>
      </c>
    </row>
    <row r="136" spans="1:5">
      <c r="A136" t="s">
        <v>1564</v>
      </c>
      <c r="B136">
        <v>381818972</v>
      </c>
      <c r="C136" t="s">
        <v>1432</v>
      </c>
      <c r="D136" s="215">
        <v>44267.073729768519</v>
      </c>
      <c r="E136">
        <v>60100</v>
      </c>
    </row>
    <row r="137" spans="1:5">
      <c r="A137" t="s">
        <v>1565</v>
      </c>
      <c r="B137">
        <v>460201027</v>
      </c>
      <c r="C137" t="s">
        <v>1429</v>
      </c>
      <c r="D137" s="215">
        <v>44200.566249351854</v>
      </c>
      <c r="E137">
        <v>50002</v>
      </c>
    </row>
    <row r="138" spans="1:5">
      <c r="A138" t="s">
        <v>1566</v>
      </c>
      <c r="B138">
        <v>454375326</v>
      </c>
      <c r="C138" t="s">
        <v>1429</v>
      </c>
      <c r="D138" s="215">
        <v>44200.572947384258</v>
      </c>
      <c r="E138">
        <v>50002</v>
      </c>
    </row>
    <row r="139" spans="1:5">
      <c r="A139" t="s">
        <v>1567</v>
      </c>
      <c r="B139">
        <v>123928982</v>
      </c>
      <c r="C139" t="s">
        <v>1429</v>
      </c>
      <c r="D139" s="215">
        <v>44200.570648680557</v>
      </c>
      <c r="E139">
        <v>50002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62823-0FFE-4842-9E81-A55511F85BEA}">
  <sheetPr codeName="Sheet24">
    <tabColor theme="5"/>
  </sheetPr>
  <dimension ref="A1:F24"/>
  <sheetViews>
    <sheetView workbookViewId="0">
      <selection activeCell="D55" sqref="D55"/>
    </sheetView>
  </sheetViews>
  <sheetFormatPr baseColWidth="10" defaultColWidth="11" defaultRowHeight="16"/>
  <cols>
    <col min="1" max="1" width="109.1640625" bestFit="1" customWidth="1"/>
    <col min="2" max="2" width="59.83203125" bestFit="1" customWidth="1"/>
    <col min="3" max="3" width="9.6640625" bestFit="1" customWidth="1"/>
    <col min="4" max="5" width="22.5" bestFit="1" customWidth="1"/>
    <col min="6" max="6" width="10.83203125" bestFit="1" customWidth="1"/>
  </cols>
  <sheetData>
    <row r="1" spans="1:6">
      <c r="A1" t="s">
        <v>1380</v>
      </c>
      <c r="B1" t="s">
        <v>1381</v>
      </c>
      <c r="C1" t="s">
        <v>1372</v>
      </c>
      <c r="D1" t="s">
        <v>1568</v>
      </c>
      <c r="E1" t="s">
        <v>1569</v>
      </c>
      <c r="F1" t="s">
        <v>1570</v>
      </c>
    </row>
    <row r="2" spans="1:6">
      <c r="A2" t="s">
        <v>1571</v>
      </c>
      <c r="B2" t="s">
        <v>1572</v>
      </c>
      <c r="C2">
        <v>154952850</v>
      </c>
      <c r="D2" t="s">
        <v>1573</v>
      </c>
      <c r="E2" t="s">
        <v>1574</v>
      </c>
      <c r="F2">
        <v>2</v>
      </c>
    </row>
    <row r="3" spans="1:6">
      <c r="A3" t="s">
        <v>1575</v>
      </c>
      <c r="B3" t="s">
        <v>1047</v>
      </c>
      <c r="C3">
        <v>601006853</v>
      </c>
      <c r="D3" t="s">
        <v>1576</v>
      </c>
      <c r="E3" t="s">
        <v>1577</v>
      </c>
      <c r="F3">
        <v>3</v>
      </c>
    </row>
    <row r="4" spans="1:6">
      <c r="A4" t="s">
        <v>1578</v>
      </c>
      <c r="B4" t="s">
        <v>1341</v>
      </c>
      <c r="C4">
        <v>43013727</v>
      </c>
      <c r="D4" t="s">
        <v>1579</v>
      </c>
      <c r="E4" t="s">
        <v>1580</v>
      </c>
      <c r="F4">
        <v>31</v>
      </c>
    </row>
    <row r="5" spans="1:6">
      <c r="A5" t="s">
        <v>1417</v>
      </c>
      <c r="B5" t="s">
        <v>1136</v>
      </c>
      <c r="C5">
        <v>983807791</v>
      </c>
      <c r="D5" t="s">
        <v>1581</v>
      </c>
      <c r="E5" t="s">
        <v>1418</v>
      </c>
      <c r="F5">
        <v>3</v>
      </c>
    </row>
    <row r="6" spans="1:6">
      <c r="A6" t="s">
        <v>1396</v>
      </c>
      <c r="B6" t="s">
        <v>1038</v>
      </c>
      <c r="C6">
        <v>330856180</v>
      </c>
      <c r="D6" t="s">
        <v>1582</v>
      </c>
      <c r="E6" t="s">
        <v>1398</v>
      </c>
      <c r="F6">
        <v>4</v>
      </c>
    </row>
    <row r="7" spans="1:6">
      <c r="A7" t="s">
        <v>1583</v>
      </c>
      <c r="B7" t="s">
        <v>1005</v>
      </c>
      <c r="C7">
        <v>878938163</v>
      </c>
      <c r="D7" t="s">
        <v>1584</v>
      </c>
      <c r="E7" t="s">
        <v>1585</v>
      </c>
      <c r="F7">
        <v>2</v>
      </c>
    </row>
    <row r="8" spans="1:6">
      <c r="A8" t="s">
        <v>1586</v>
      </c>
      <c r="B8" t="s">
        <v>152</v>
      </c>
      <c r="C8">
        <v>340415874</v>
      </c>
      <c r="D8" t="s">
        <v>1587</v>
      </c>
      <c r="E8" t="s">
        <v>1588</v>
      </c>
      <c r="F8">
        <v>3</v>
      </c>
    </row>
    <row r="9" spans="1:6">
      <c r="A9" t="s">
        <v>1589</v>
      </c>
      <c r="B9" t="s">
        <v>1590</v>
      </c>
      <c r="C9">
        <v>920515851</v>
      </c>
      <c r="D9" t="s">
        <v>1591</v>
      </c>
      <c r="E9" t="s">
        <v>1592</v>
      </c>
      <c r="F9">
        <v>3</v>
      </c>
    </row>
    <row r="10" spans="1:6">
      <c r="A10" t="s">
        <v>1405</v>
      </c>
      <c r="B10" t="s">
        <v>1063</v>
      </c>
      <c r="C10">
        <v>522497260</v>
      </c>
      <c r="D10" t="s">
        <v>1406</v>
      </c>
      <c r="E10" t="s">
        <v>1593</v>
      </c>
      <c r="F10">
        <v>2</v>
      </c>
    </row>
    <row r="11" spans="1:6">
      <c r="A11" t="s">
        <v>1408</v>
      </c>
      <c r="B11" t="s">
        <v>564</v>
      </c>
      <c r="C11">
        <v>479280980</v>
      </c>
      <c r="D11" t="s">
        <v>1409</v>
      </c>
      <c r="E11" t="s">
        <v>1409</v>
      </c>
      <c r="F11">
        <v>1</v>
      </c>
    </row>
    <row r="12" spans="1:6">
      <c r="A12" t="s">
        <v>1387</v>
      </c>
      <c r="B12" t="s">
        <v>1042</v>
      </c>
      <c r="C12">
        <v>852857632</v>
      </c>
      <c r="D12" t="s">
        <v>1393</v>
      </c>
      <c r="E12" t="s">
        <v>1389</v>
      </c>
      <c r="F12">
        <v>2</v>
      </c>
    </row>
    <row r="13" spans="1:6">
      <c r="A13" t="s">
        <v>1594</v>
      </c>
      <c r="B13" t="s">
        <v>1334</v>
      </c>
      <c r="C13">
        <v>793152576</v>
      </c>
      <c r="D13" t="s">
        <v>1595</v>
      </c>
      <c r="E13" t="s">
        <v>1596</v>
      </c>
      <c r="F13">
        <v>4</v>
      </c>
    </row>
    <row r="14" spans="1:6">
      <c r="A14" t="s">
        <v>1412</v>
      </c>
      <c r="B14" t="s">
        <v>1152</v>
      </c>
      <c r="C14">
        <v>83641626</v>
      </c>
      <c r="D14" t="s">
        <v>1414</v>
      </c>
      <c r="E14" t="s">
        <v>1414</v>
      </c>
      <c r="F14">
        <v>1</v>
      </c>
    </row>
    <row r="15" spans="1:6">
      <c r="A15" t="s">
        <v>1597</v>
      </c>
      <c r="B15" t="s">
        <v>1338</v>
      </c>
      <c r="C15">
        <v>576038790</v>
      </c>
      <c r="D15" t="s">
        <v>1598</v>
      </c>
      <c r="E15" t="s">
        <v>1598</v>
      </c>
      <c r="F15">
        <v>1</v>
      </c>
    </row>
    <row r="16" spans="1:6">
      <c r="A16" t="s">
        <v>1599</v>
      </c>
      <c r="B16" t="s">
        <v>1600</v>
      </c>
      <c r="C16">
        <v>297362855</v>
      </c>
      <c r="D16" t="s">
        <v>1601</v>
      </c>
      <c r="E16" t="s">
        <v>1601</v>
      </c>
      <c r="F16">
        <v>1</v>
      </c>
    </row>
    <row r="17" spans="1:6">
      <c r="A17" t="s">
        <v>1420</v>
      </c>
      <c r="B17" t="s">
        <v>1146</v>
      </c>
      <c r="C17">
        <v>84736786</v>
      </c>
      <c r="D17" t="s">
        <v>1421</v>
      </c>
      <c r="E17" t="s">
        <v>1421</v>
      </c>
      <c r="F17">
        <v>1</v>
      </c>
    </row>
    <row r="18" spans="1:6">
      <c r="A18" t="s">
        <v>1602</v>
      </c>
      <c r="B18" t="s">
        <v>1337</v>
      </c>
      <c r="C18">
        <v>116301400</v>
      </c>
      <c r="D18" t="s">
        <v>1603</v>
      </c>
      <c r="E18" t="s">
        <v>1604</v>
      </c>
      <c r="F18">
        <v>18</v>
      </c>
    </row>
    <row r="19" spans="1:6">
      <c r="A19" t="s">
        <v>1605</v>
      </c>
      <c r="B19" t="s">
        <v>1014</v>
      </c>
      <c r="C19">
        <v>711592122</v>
      </c>
      <c r="D19" t="s">
        <v>1606</v>
      </c>
      <c r="E19" t="s">
        <v>1607</v>
      </c>
      <c r="F19">
        <v>2</v>
      </c>
    </row>
    <row r="20" spans="1:6">
      <c r="A20" t="s">
        <v>1608</v>
      </c>
      <c r="B20" t="s">
        <v>1139</v>
      </c>
      <c r="C20">
        <v>722481030</v>
      </c>
      <c r="D20" t="s">
        <v>1609</v>
      </c>
      <c r="E20" t="s">
        <v>1610</v>
      </c>
      <c r="F20">
        <v>5</v>
      </c>
    </row>
    <row r="21" spans="1:6">
      <c r="A21" t="s">
        <v>1611</v>
      </c>
      <c r="B21" t="s">
        <v>1336</v>
      </c>
      <c r="C21">
        <v>647136517</v>
      </c>
      <c r="D21" t="s">
        <v>1612</v>
      </c>
      <c r="E21" t="s">
        <v>1613</v>
      </c>
      <c r="F21">
        <v>2</v>
      </c>
    </row>
    <row r="22" spans="1:6">
      <c r="A22" t="s">
        <v>1614</v>
      </c>
      <c r="B22" t="s">
        <v>1333</v>
      </c>
      <c r="C22">
        <v>123744915</v>
      </c>
      <c r="D22" t="s">
        <v>1615</v>
      </c>
      <c r="E22" t="s">
        <v>1616</v>
      </c>
      <c r="F22">
        <v>420</v>
      </c>
    </row>
    <row r="23" spans="1:6">
      <c r="A23" t="s">
        <v>1617</v>
      </c>
      <c r="B23" t="s">
        <v>1131</v>
      </c>
      <c r="C23">
        <v>195191574</v>
      </c>
      <c r="D23" t="s">
        <v>1618</v>
      </c>
      <c r="E23" t="s">
        <v>1619</v>
      </c>
      <c r="F23">
        <v>3</v>
      </c>
    </row>
    <row r="24" spans="1:6">
      <c r="A24" t="s">
        <v>1620</v>
      </c>
      <c r="B24" t="s">
        <v>1109</v>
      </c>
      <c r="C24">
        <v>404564522</v>
      </c>
      <c r="D24" t="s">
        <v>1621</v>
      </c>
      <c r="E24" t="s">
        <v>1622</v>
      </c>
      <c r="F24">
        <v>2</v>
      </c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0715-86E8-7C4C-AAEF-D31F0E074379}">
  <sheetPr codeName="Sheet19">
    <tabColor theme="4" tint="0.59999389629810485"/>
  </sheetPr>
  <dimension ref="A1:D72"/>
  <sheetViews>
    <sheetView topLeftCell="A11" workbookViewId="0">
      <selection activeCell="E55" sqref="E55"/>
    </sheetView>
  </sheetViews>
  <sheetFormatPr baseColWidth="10" defaultColWidth="10.5" defaultRowHeight="20.25" customHeight="1"/>
  <cols>
    <col min="1" max="1" width="88" style="46" customWidth="1"/>
    <col min="2" max="2" width="133" style="46" customWidth="1"/>
    <col min="3" max="3" width="47" customWidth="1"/>
  </cols>
  <sheetData>
    <row r="1" spans="1:4" ht="20.25" customHeight="1">
      <c r="A1" s="56" t="s">
        <v>1623</v>
      </c>
      <c r="B1" s="55" t="s">
        <v>1624</v>
      </c>
      <c r="C1" s="55" t="s">
        <v>1625</v>
      </c>
    </row>
    <row r="2" spans="1:4" ht="25.5" customHeight="1">
      <c r="A2" s="53" t="s">
        <v>1527</v>
      </c>
      <c r="B2" s="53" t="str">
        <f>CLEAN(LOWER(A2))</f>
        <v>ou=trade finance, o=hangzhou iron &amp; steel (h.k.) company limited, l=hong kong, c=hk</v>
      </c>
      <c r="C2" s="15">
        <f>_xlfn.XLOOKUP(B2,'DB - Identities'!U:U,'DB - Identities'!L:L,"ERROR")</f>
        <v>0</v>
      </c>
    </row>
    <row r="3" spans="1:4" ht="20.25" customHeight="1">
      <c r="A3" s="53" t="s">
        <v>1626</v>
      </c>
      <c r="B3" s="53" t="str">
        <f t="shared" ref="B3:B66" si="0">CLEAN(LOWER(A3))</f>
        <v>ou=gtrf production, o=hang seng bank limited, l=central district, c=hk</v>
      </c>
      <c r="C3" s="15" t="str">
        <f>_xlfn.XLOOKUP(B3,'DB - Identities'!U:U,'DB - Identities'!L:L,"ERROR")</f>
        <v>5493009Z5F07LWZYMK62</v>
      </c>
    </row>
    <row r="4" spans="1:4" ht="20.25" customHeight="1">
      <c r="A4" s="53" t="s">
        <v>1627</v>
      </c>
      <c r="B4" s="53" t="str">
        <f t="shared" si="0"/>
        <v>ou=ctr prd agent 01, o=bnp paribas, l=paris, c=fr</v>
      </c>
      <c r="C4" s="15" t="str">
        <f>_xlfn.XLOOKUP(B4,'DB - Identities'!U:U,'DB - Identities'!L:L,"ERROR")</f>
        <v>R0MUWSFPU8MPRO8K5P83</v>
      </c>
    </row>
    <row r="5" spans="1:4" ht="20.25" customHeight="1">
      <c r="A5" s="53" t="s">
        <v>1628</v>
      </c>
      <c r="B5" s="53" t="str">
        <f t="shared" si="0"/>
        <v>ou=permata, o=pt bank permata tbk, l=jakarta, c=id</v>
      </c>
      <c r="C5" s="15" t="str">
        <f>_xlfn.XLOOKUP(B5,'DB - Identities'!U:U,'DB - Identities'!L:L,"ERROR")</f>
        <v>5493003MGU02RFSRZT53</v>
      </c>
    </row>
    <row r="6" spans="1:4" ht="20.25" customHeight="1">
      <c r="A6" s="53" t="s">
        <v>1629</v>
      </c>
      <c r="B6" s="53" t="str">
        <f t="shared" si="0"/>
        <v>ou=trade finance, o=dbs bank ltd., l=singapore, c=sg</v>
      </c>
      <c r="C6" s="15" t="str">
        <f>_xlfn.XLOOKUP(B6,'DB - Identities'!U:U,'DB - Identities'!L:L,"ERROR")</f>
        <v>ATUEL7OJR5057F2PV266</v>
      </c>
    </row>
    <row r="7" spans="1:4" ht="20.25" customHeight="1">
      <c r="A7" s="53" t="s">
        <v>1630</v>
      </c>
      <c r="B7" s="53" t="str">
        <f t="shared" si="0"/>
        <v>ou=trade finance, o=pointer investment (hong kong) limited, l=hong kong, c=hk</v>
      </c>
      <c r="C7" s="15">
        <f>_xlfn.XLOOKUP(B7,'DB - Identities'!U:U,'DB - Identities'!L:L,"ERROR")</f>
        <v>0</v>
      </c>
    </row>
    <row r="8" spans="1:4" ht="20.25" customHeight="1">
      <c r="A8" s="53" t="s">
        <v>1549</v>
      </c>
      <c r="B8" s="53" t="str">
        <f t="shared" si="0"/>
        <v>ou=trade finance, o=robe river ore sales pty. ltd., l=perth, c=au</v>
      </c>
      <c r="C8" s="15">
        <f>_xlfn.XLOOKUP(B8,'DB - Identities'!U:U,'DB - Identities'!L:L,"ERROR")</f>
        <v>0</v>
      </c>
      <c r="D8" s="54"/>
    </row>
    <row r="9" spans="1:4" ht="20.25" customHeight="1">
      <c r="A9" s="53" t="s">
        <v>1631</v>
      </c>
      <c r="B9" s="53" t="str">
        <f t="shared" si="0"/>
        <v>ou=trade finance, o=hope downs marketing company pty ltd, l=perth, c=au</v>
      </c>
      <c r="C9" s="15">
        <f>_xlfn.XLOOKUP(B9,'DB - Identities'!U:U,'DB - Identities'!L:L,"ERROR")</f>
        <v>0</v>
      </c>
    </row>
    <row r="10" spans="1:4" ht="20.25" customHeight="1">
      <c r="A10" s="53" t="s">
        <v>1632</v>
      </c>
      <c r="B10" s="53" t="str">
        <f t="shared" si="0"/>
        <v>ou=trade finance, o=rio tinto commercial pte ltd, l=singapore, c=sg</v>
      </c>
      <c r="C10" s="15" t="str">
        <f>_xlfn.XLOOKUP(B10,'DB - Identities'!U:U,'DB - Identities'!L:L,"ERROR")</f>
        <v>875500B0FWFIGPISQH05</v>
      </c>
    </row>
    <row r="11" spans="1:4" ht="20.25" customHeight="1">
      <c r="A11" s="53" t="s">
        <v>1633</v>
      </c>
      <c r="B11" s="53" t="str">
        <f t="shared" si="0"/>
        <v>ou=trade finance, o=industrial and commercial bank of china limited xiamen branch business office, l=xiamen, c=cn</v>
      </c>
      <c r="C11" s="15">
        <f>_xlfn.XLOOKUP(B11,'DB - Identities'!U:U,'DB - Identities'!L:L,"ERROR")</f>
        <v>0</v>
      </c>
    </row>
    <row r="12" spans="1:4" ht="20.25" customHeight="1">
      <c r="A12" s="53" t="s">
        <v>1634</v>
      </c>
      <c r="B12" s="53" t="str">
        <f t="shared" si="0"/>
        <v>ou=trade finance, o=xiamen itg group corp. ltd, l=xiamen, c=cn</v>
      </c>
      <c r="C12" s="15">
        <f>_xlfn.XLOOKUP(B12,'DB - Identities'!U:U,'DB - Identities'!L:L,"ERROR")</f>
        <v>0</v>
      </c>
    </row>
    <row r="13" spans="1:4" ht="20.25" customHeight="1">
      <c r="A13" s="53" t="s">
        <v>1635</v>
      </c>
      <c r="B13" s="53" t="str">
        <f t="shared" si="0"/>
        <v>ou=trade finance, o=bank of china (hong kong) limited, l=hong kong, c=hk</v>
      </c>
      <c r="C13" s="15" t="str">
        <f>_xlfn.XLOOKUP(B13,'DB - Identities'!U:U,'DB - Identities'!L:L,"ERROR")</f>
        <v>KNPC1X7GHDZW8U2ZSF89</v>
      </c>
    </row>
    <row r="14" spans="1:4" ht="20.25" customHeight="1">
      <c r="A14" s="53" t="s">
        <v>1636</v>
      </c>
      <c r="B14" s="53" t="str">
        <f t="shared" si="0"/>
        <v>ou=trade finance, o=tata steel limited, l=mumbai, c=in</v>
      </c>
      <c r="C14" s="15" t="str">
        <f>_xlfn.XLOOKUP(B14,'DB - Identities'!U:U,'DB - Identities'!L:L,"ERROR")</f>
        <v>335800E6C75YGSGD5T66</v>
      </c>
    </row>
    <row r="15" spans="1:4" ht="20.25" customHeight="1">
      <c r="A15" s="53" t="s">
        <v>1637</v>
      </c>
      <c r="B15" s="53" t="str">
        <f t="shared" si="0"/>
        <v>ou=trade finance, o=universal tube and plastic industries ltd., l=dubai, c=ae</v>
      </c>
      <c r="C15" s="15">
        <f>_xlfn.XLOOKUP(B15,'DB - Identities'!U:U,'DB - Identities'!L:L,"ERROR")</f>
        <v>0</v>
      </c>
    </row>
    <row r="16" spans="1:4" ht="20.25" customHeight="1">
      <c r="A16" s="53" t="s">
        <v>1638</v>
      </c>
      <c r="B16" s="53" t="str">
        <f t="shared" si="0"/>
        <v>ou=global trade and receivables finance production, o=the hongkong and shanghai banking corporation limited, l=dhaka, c=bd</v>
      </c>
      <c r="C16" s="15">
        <f>_xlfn.XLOOKUP(B16,'DB - Identities'!U:U,'DB - Identities'!L:L,"ERROR")</f>
        <v>0</v>
      </c>
    </row>
    <row r="17" spans="1:3" ht="20.25" customHeight="1">
      <c r="A17" s="53" t="s">
        <v>1639</v>
      </c>
      <c r="B17" s="53" t="str">
        <f t="shared" si="0"/>
        <v>ou=global trade and receivables finance production, o=the hongkong and shanghai banking corporation limited, l=singapore, c=sg</v>
      </c>
      <c r="C17" s="15">
        <f>_xlfn.XLOOKUP(B17,'DB - Identities'!U:U,'DB - Identities'!L:L,"ERROR")</f>
        <v>0</v>
      </c>
    </row>
    <row r="18" spans="1:3" ht="20.25" customHeight="1">
      <c r="A18" s="53" t="s">
        <v>1640</v>
      </c>
      <c r="B18" s="53" t="str">
        <f t="shared" si="0"/>
        <v>ou=global trade and receivables finance production, o=hsbc bank malaysia berhad, l=kuala lumpur, c=my</v>
      </c>
      <c r="C18" s="15" t="str">
        <f>_xlfn.XLOOKUP(B18,'DB - Identities'!U:U,'DB - Identities'!L:L,"ERROR")</f>
        <v>ERROR</v>
      </c>
    </row>
    <row r="19" spans="1:3" ht="20.25" customHeight="1">
      <c r="A19" s="53" t="s">
        <v>1641</v>
      </c>
      <c r="B19" s="53" t="str">
        <f t="shared" si="0"/>
        <v>ou=global trade and receivables finance production, o=hsbc bank middle east ltd, l=dubai, c=ae</v>
      </c>
      <c r="C19" s="15" t="str">
        <f>_xlfn.XLOOKUP(B19,'DB - Identities'!U:U,'DB - Identities'!L:L,"ERROR")</f>
        <v>ERROR</v>
      </c>
    </row>
    <row r="20" spans="1:3" ht="20.25" customHeight="1">
      <c r="A20" s="53" t="s">
        <v>1642</v>
      </c>
      <c r="B20" s="53" t="str">
        <f t="shared" si="0"/>
        <v>ou=gtrf production, o=the hongkong and shanghai banking corporation limited, l=central district, c=hk</v>
      </c>
      <c r="C20" s="15" t="str">
        <f>_xlfn.XLOOKUP(B20,'DB - Identities'!U:U,'DB - Identities'!L:L,"ERROR")</f>
        <v>2HI3YI5320L3RW6NJ957</v>
      </c>
    </row>
    <row r="21" spans="1:3" ht="20.25" customHeight="1">
      <c r="A21" s="53" t="s">
        <v>1643</v>
      </c>
      <c r="B21" s="53" t="str">
        <f t="shared" si="0"/>
        <v>ou=global trade and receivables finance production, o=the hongkong and shanghai banking corporation limited, l=mumbai, c=in</v>
      </c>
      <c r="C21" s="15">
        <f>_xlfn.XLOOKUP(B21,'DB - Identities'!U:U,'DB - Identities'!L:L,"ERROR")</f>
        <v>0</v>
      </c>
    </row>
    <row r="22" spans="1:3" ht="20.25" customHeight="1">
      <c r="A22" s="53" t="s">
        <v>1644</v>
      </c>
      <c r="B22" s="53" t="str">
        <f t="shared" si="0"/>
        <v>ou=global trade and receivables finance production, o=the hongkong and shanghai banking corporation limited, l=central district, c=hk</v>
      </c>
      <c r="C22" s="15" t="str">
        <f>_xlfn.XLOOKUP(B22,'DB - Identities'!U:U,'DB - Identities'!L:L,"ERROR")</f>
        <v>ERROR</v>
      </c>
    </row>
    <row r="23" spans="1:3" ht="20.25" customHeight="1">
      <c r="A23" s="53" t="s">
        <v>1645</v>
      </c>
      <c r="B23" s="53" t="str">
        <f t="shared" si="0"/>
        <v>ou=cib ito-corda, o=standard chartered bank bangladesh branch limited, l=dhaka, c=bd</v>
      </c>
      <c r="C23" s="15">
        <f>_xlfn.XLOOKUP(B23,'DB - Identities'!U:U,'DB - Identities'!L:L,"ERROR")</f>
        <v>0</v>
      </c>
    </row>
    <row r="24" spans="1:3" ht="20.25" customHeight="1">
      <c r="A24" s="53" t="s">
        <v>1646</v>
      </c>
      <c r="B24" s="53" t="str">
        <f t="shared" si="0"/>
        <v>ou=cib ito-corda, o=standard chartered bank (singapore) limited, l=singapore, c=sg</v>
      </c>
      <c r="C24" s="15" t="str">
        <f>_xlfn.XLOOKUP(B24,'DB - Identities'!U:U,'DB - Identities'!L:L,"ERROR")</f>
        <v>549300MDYVVHJ8D1DW28</v>
      </c>
    </row>
    <row r="25" spans="1:3" ht="20.25" customHeight="1">
      <c r="A25" s="53" t="s">
        <v>1647</v>
      </c>
      <c r="B25" s="53" t="str">
        <f t="shared" si="0"/>
        <v>ou=head office, o=joint stock company alfa-bank, l=moscow, c=ru</v>
      </c>
      <c r="C25" s="15" t="str">
        <f>_xlfn.XLOOKUP(B25,'DB - Identities'!U:U,'DB - Identities'!L:L,"ERROR")</f>
        <v>ERROR</v>
      </c>
    </row>
    <row r="26" spans="1:3" ht="20.25" customHeight="1">
      <c r="A26" s="53" t="s">
        <v>1648</v>
      </c>
      <c r="B26" s="53" t="str">
        <f t="shared" si="0"/>
        <v>ou=contour, o=ton dong a corporation, l=binh duong, c=vn</v>
      </c>
      <c r="C26" s="15" t="str">
        <f>_xlfn.XLOOKUP(B26,'DB - Identities'!U:U,'DB - Identities'!L:L,"ERROR")</f>
        <v>ERROR</v>
      </c>
    </row>
    <row r="27" spans="1:3" ht="20.25" customHeight="1">
      <c r="A27" s="53" t="s">
        <v>1649</v>
      </c>
      <c r="B27" s="53" t="str">
        <f t="shared" si="0"/>
        <v>ou=contour, o=kirby southeast asia co. ltd, l=dong nai, c=vn</v>
      </c>
      <c r="C27" s="15" t="str">
        <f>_xlfn.XLOOKUP(B27,'DB - Identities'!U:U,'DB - Identities'!L:L,"ERROR")</f>
        <v>ERROR</v>
      </c>
    </row>
    <row r="28" spans="1:3" ht="20.25" customHeight="1">
      <c r="A28" s="53" t="s">
        <v>1650</v>
      </c>
      <c r="B28" s="53" t="str">
        <f t="shared" si="0"/>
        <v>ou=contour, o=joint stock commercial bank for foreign trade of vietnam, l=hanoi, c=vn</v>
      </c>
      <c r="C28" s="15" t="str">
        <f>_xlfn.XLOOKUP(B28,'DB - Identities'!U:U,'DB - Identities'!L:L,"ERROR")</f>
        <v>ERROR</v>
      </c>
    </row>
    <row r="29" spans="1:3" ht="20.25" customHeight="1">
      <c r="A29" s="53" t="s">
        <v>1651</v>
      </c>
      <c r="B29" s="53" t="str">
        <f t="shared" si="0"/>
        <v>ou=contour, o=apparel link (hk) limited, l=hong kong, c=hk</v>
      </c>
      <c r="C29" s="15" t="str">
        <f>_xlfn.XLOOKUP(B29,'DB - Identities'!U:U,'DB - Identities'!L:L,"ERROR")</f>
        <v>ERROR</v>
      </c>
    </row>
    <row r="30" spans="1:3" ht="20.25" customHeight="1">
      <c r="A30" s="53" t="s">
        <v>1652</v>
      </c>
      <c r="B30" s="53" t="str">
        <f t="shared" si="0"/>
        <v>ou=contour, o=debonair ltd, l=dhaka, c=bd</v>
      </c>
      <c r="C30" s="15" t="str">
        <f>_xlfn.XLOOKUP(B30,'DB - Identities'!U:U,'DB - Identities'!L:L,"ERROR")</f>
        <v>ERROR</v>
      </c>
    </row>
    <row r="31" spans="1:3" ht="20.25" customHeight="1">
      <c r="A31" s="53" t="s">
        <v>1653</v>
      </c>
      <c r="B31" s="53" t="str">
        <f t="shared" si="0"/>
        <v>ou=contour, o=cheongfuli (hong kong) company limited, l=hong kong, c=hk</v>
      </c>
      <c r="C31" s="15" t="str">
        <f>_xlfn.XLOOKUP(B31,'DB - Identities'!U:U,'DB - Identities'!L:L,"ERROR")</f>
        <v>ERROR</v>
      </c>
    </row>
    <row r="32" spans="1:3" ht="20.25" customHeight="1">
      <c r="A32" s="53" t="s">
        <v>1654</v>
      </c>
      <c r="B32" s="53" t="str">
        <f t="shared" si="0"/>
        <v>ou=bochk, o=bank of china (hong kong) limited, l=hong kong, c=hk</v>
      </c>
      <c r="C32" s="15" t="str">
        <f>_xlfn.XLOOKUP(B32,'DB - Identities'!U:U,'DB - Identities'!L:L,"ERROR")</f>
        <v>ERROR</v>
      </c>
    </row>
    <row r="33" spans="1:3" ht="20.25" customHeight="1">
      <c r="A33" s="53" t="s">
        <v>1655</v>
      </c>
      <c r="B33" s="53" t="str">
        <f t="shared" si="0"/>
        <v>ou=citycontour, o=the city bank limited, l=dhaka, c=bd</v>
      </c>
      <c r="C33" s="15" t="str">
        <f>_xlfn.XLOOKUP(B33,'DB - Identities'!U:U,'DB - Identities'!L:L,"ERROR")</f>
        <v>ERROR</v>
      </c>
    </row>
    <row r="34" spans="1:3" ht="20.25" customHeight="1">
      <c r="A34" s="53" t="s">
        <v>1656</v>
      </c>
      <c r="B34" s="53" t="str">
        <f t="shared" si="0"/>
        <v>ou=import export department, o=sai gon plastic joint stock company, l=ho chi minh city, c=vn</v>
      </c>
      <c r="C34" s="15" t="str">
        <f>_xlfn.XLOOKUP(B34,'DB - Identities'!U:U,'DB - Identities'!L:L,"ERROR")</f>
        <v>ERROR</v>
      </c>
    </row>
    <row r="35" spans="1:3" ht="20.25" customHeight="1">
      <c r="A35" s="53" t="s">
        <v>1657</v>
      </c>
      <c r="B35" s="53" t="str">
        <f t="shared" si="0"/>
        <v>ou=contour, o=kingfa commodity supply chain managment co. ltd., l=zhuhai, c=cn</v>
      </c>
      <c r="C35" s="15" t="str">
        <f>_xlfn.XLOOKUP(B35,'DB - Identities'!U:U,'DB - Identities'!L:L,"ERROR")</f>
        <v>ERROR</v>
      </c>
    </row>
    <row r="36" spans="1:3" ht="20.25" customHeight="1">
      <c r="A36" s="53" t="s">
        <v>1658</v>
      </c>
      <c r="B36" s="53" t="str">
        <f t="shared" si="0"/>
        <v>ou=contour, o=oq marketing llc, l=muscat, c=om</v>
      </c>
      <c r="C36" s="15" t="str">
        <f>_xlfn.XLOOKUP(B36,'DB - Identities'!U:U,'DB - Identities'!L:L,"ERROR")</f>
        <v>ERROR</v>
      </c>
    </row>
    <row r="37" spans="1:3" ht="20.25" customHeight="1">
      <c r="A37" s="53" t="s">
        <v>1659</v>
      </c>
      <c r="B37" s="53" t="str">
        <f t="shared" si="0"/>
        <v>ou=pacific poly, o=pacific polysack industry co.ltd., l=bangkok, c=th</v>
      </c>
      <c r="C37" s="15" t="str">
        <f>_xlfn.XLOOKUP(B37,'DB - Identities'!U:U,'DB - Identities'!L:L,"ERROR")</f>
        <v>ERROR</v>
      </c>
    </row>
    <row r="38" spans="1:3" ht="20.25" customHeight="1">
      <c r="A38" s="53" t="s">
        <v>1660</v>
      </c>
      <c r="B38" s="53" t="str">
        <f t="shared" si="0"/>
        <v>ou=tien phong plastic joint stock company, o=tien phong plastic joint stock company, l=hai phong city, c=vn</v>
      </c>
      <c r="C38" s="15" t="str">
        <f>_xlfn.XLOOKUP(B38,'DB - Identities'!U:U,'DB - Identities'!L:L,"ERROR")</f>
        <v>ERROR</v>
      </c>
    </row>
    <row r="39" spans="1:3" ht="20.25" customHeight="1">
      <c r="A39" s="53" t="s">
        <v>1661</v>
      </c>
      <c r="B39" s="53" t="str">
        <f t="shared" si="0"/>
        <v>ou=trade finance services, o=military commercial joint stock bank, l=hanoi, c=vn</v>
      </c>
      <c r="C39" s="15" t="str">
        <f>_xlfn.XLOOKUP(B39,'DB - Identities'!U:U,'DB - Identities'!L:L,"ERROR")</f>
        <v>ERROR</v>
      </c>
    </row>
    <row r="40" spans="1:3" ht="20.25" customHeight="1">
      <c r="A40" s="53" t="s">
        <v>1662</v>
      </c>
      <c r="B40" s="53" t="str">
        <f t="shared" si="0"/>
        <v>ou=pacific con, o=pacific containerbag co. ltd., l=bangkok, c=th</v>
      </c>
      <c r="C40" s="15" t="str">
        <f>_xlfn.XLOOKUP(B40,'DB - Identities'!U:U,'DB - Identities'!L:L,"ERROR")</f>
        <v>ERROR</v>
      </c>
    </row>
    <row r="41" spans="1:3" ht="20.25" customHeight="1">
      <c r="A41" s="53" t="s">
        <v>1663</v>
      </c>
      <c r="B41" s="53" t="str">
        <f t="shared" si="0"/>
        <v>ou=contour, o=basf international trading (shanghai) co. ltd, l=shanghai, c=cn</v>
      </c>
      <c r="C41" s="15" t="str">
        <f>_xlfn.XLOOKUP(B41,'DB - Identities'!U:U,'DB - Identities'!L:L,"ERROR")</f>
        <v>ERROR</v>
      </c>
    </row>
    <row r="42" spans="1:3" ht="20.25" customHeight="1">
      <c r="A42" s="53" t="s">
        <v>1664</v>
      </c>
      <c r="B42" s="53" t="str">
        <f t="shared" si="0"/>
        <v>ou=contour, o=mtc electronic co. limited, l=road town, c=vg</v>
      </c>
      <c r="C42" s="15" t="str">
        <f>_xlfn.XLOOKUP(B42,'DB - Identities'!U:U,'DB - Identities'!L:L,"ERROR")</f>
        <v>ERROR</v>
      </c>
    </row>
    <row r="43" spans="1:3" ht="20.25" customHeight="1">
      <c r="A43" s="53" t="s">
        <v>1665</v>
      </c>
      <c r="B43" s="53" t="str">
        <f t="shared" si="0"/>
        <v>ou=contour, o=shenzhen mtc co limited, l=shenzhen, c=cn</v>
      </c>
      <c r="C43" s="15" t="str">
        <f>_xlfn.XLOOKUP(B43,'DB - Identities'!U:U,'DB - Identities'!L:L,"ERROR")</f>
        <v>ERROR</v>
      </c>
    </row>
    <row r="44" spans="1:3" ht="20.25" customHeight="1">
      <c r="A44" s="53" t="s">
        <v>1666</v>
      </c>
      <c r="B44" s="53" t="str">
        <f t="shared" si="0"/>
        <v>ou=global trade and receivables finance, o=hsbc bank australia limited, l=sydney, c=au</v>
      </c>
      <c r="C44" s="15" t="str">
        <f>_xlfn.XLOOKUP(B44,'DB - Identities'!U:U,'DB - Identities'!L:L,"ERROR")</f>
        <v>ERROR</v>
      </c>
    </row>
    <row r="45" spans="1:3" ht="20.25" customHeight="1">
      <c r="A45" s="53" t="s">
        <v>1667</v>
      </c>
      <c r="B45" s="53" t="str">
        <f t="shared" si="0"/>
        <v>ou=global trade and receivables finance, o=hsbc bank malaysia berhad, l=kuala lumpur, c=my</v>
      </c>
      <c r="C45" s="15" t="str">
        <f>_xlfn.XLOOKUP(B45,'DB - Identities'!U:U,'DB - Identities'!L:L,"ERROR")</f>
        <v>ERROR</v>
      </c>
    </row>
    <row r="46" spans="1:3" ht="20.25" customHeight="1">
      <c r="A46" s="53" t="s">
        <v>1668</v>
      </c>
      <c r="B46" s="53" t="str">
        <f t="shared" si="0"/>
        <v>ou=contour, o=vietinbank, l=hanoi, c=vn</v>
      </c>
      <c r="C46" s="15" t="str">
        <f>_xlfn.XLOOKUP(B46,'DB - Identities'!U:U,'DB - Identities'!L:L,"ERROR")</f>
        <v>ERROR</v>
      </c>
    </row>
    <row r="47" spans="1:3" ht="20.25" customHeight="1">
      <c r="A47" s="53" t="s">
        <v>1669</v>
      </c>
      <c r="B47" s="53" t="str">
        <f t="shared" si="0"/>
        <v>ou=global trade and receivables finance, o=hsbc bank (vietnam) limited, l=ho chi minh city, c=vn</v>
      </c>
      <c r="C47" s="15" t="str">
        <f>_xlfn.XLOOKUP(B47,'DB - Identities'!U:U,'DB - Identities'!L:L,"ERROR")</f>
        <v>ERROR</v>
      </c>
    </row>
    <row r="48" spans="1:3" ht="20.25" customHeight="1">
      <c r="A48" s="53" t="s">
        <v>1670</v>
      </c>
      <c r="B48" s="53" t="str">
        <f t="shared" si="0"/>
        <v>ou=global trade and receivables finance, o=the hongkong and shanghai banking corporation limited, l=kuala lumpur, c=my</v>
      </c>
      <c r="C48" s="15" t="str">
        <f>_xlfn.XLOOKUP(B48,'DB - Identities'!U:U,'DB - Identities'!L:L,"ERROR")</f>
        <v>ERROR</v>
      </c>
    </row>
    <row r="49" spans="1:3" ht="20.25" customHeight="1">
      <c r="A49" s="53" t="s">
        <v>1671</v>
      </c>
      <c r="B49" s="53" t="str">
        <f t="shared" si="0"/>
        <v>ou=global trade and receivables finance, o=the hongkong and shanghai banking corporation limited, l=sydney, c=au</v>
      </c>
      <c r="C49" s="15" t="str">
        <f>_xlfn.XLOOKUP(B49,'DB - Identities'!U:U,'DB - Identities'!L:L,"ERROR")</f>
        <v>ERROR</v>
      </c>
    </row>
    <row r="50" spans="1:3" ht="20.25" customHeight="1">
      <c r="A50" s="53" t="s">
        <v>1672</v>
      </c>
      <c r="B50" s="53" t="str">
        <f t="shared" si="0"/>
        <v>ou=raw materials, o=singapore jinteng international pte. ltd, l=singapore, c=sg</v>
      </c>
      <c r="C50" s="15" t="str">
        <f>_xlfn.XLOOKUP(B50,'DB - Identities'!U:U,'DB - Identities'!L:L,"ERROR")</f>
        <v>ERROR</v>
      </c>
    </row>
    <row r="51" spans="1:3" ht="20.25" customHeight="1">
      <c r="A51" s="53" t="s">
        <v>1673</v>
      </c>
      <c r="B51" s="53" t="str">
        <f t="shared" si="0"/>
        <v>ou=contoursgaamlsb, o=anglo american marketing limited singapore branch, l=singapore, c=sg</v>
      </c>
      <c r="C51" s="15" t="str">
        <f>_xlfn.XLOOKUP(B51,'DB - Identities'!U:U,'DB - Identities'!L:L,"ERROR")</f>
        <v>ERROR</v>
      </c>
    </row>
    <row r="52" spans="1:3" ht="20.25" customHeight="1">
      <c r="A52" s="53" t="s">
        <v>1674</v>
      </c>
      <c r="B52" s="53" t="str">
        <f t="shared" si="0"/>
        <v>ou=global trade receivables finance, o=hsbc bank (china) company limited, l=shanghai, c=cn</v>
      </c>
      <c r="C52" s="15" t="str">
        <f>_xlfn.XLOOKUP(B52,'DB - Identities'!U:U,'DB - Identities'!L:L,"ERROR")</f>
        <v>ERROR</v>
      </c>
    </row>
    <row r="53" spans="1:3" ht="20.25" customHeight="1">
      <c r="A53" s="53" t="s">
        <v>1675</v>
      </c>
      <c r="B53" s="53" t="str">
        <f t="shared" si="0"/>
        <v>ou=global trade and receivables finance, o=hsbc bank middle east ltd, l=dubai, c=ae</v>
      </c>
      <c r="C53" s="15" t="str">
        <f>_xlfn.XLOOKUP(B53,'DB - Identities'!U:U,'DB - Identities'!L:L,"ERROR")</f>
        <v>ERROR</v>
      </c>
    </row>
    <row r="54" spans="1:3" ht="20.25" customHeight="1">
      <c r="A54" s="53" t="s">
        <v>1676</v>
      </c>
      <c r="B54" s="53" t="str">
        <f t="shared" si="0"/>
        <v>ou=contour, o=ineos styrolution korea ltd, l=seoul, c=kr</v>
      </c>
      <c r="C54" s="15" t="str">
        <f>_xlfn.XLOOKUP(B54,'DB - Identities'!U:U,'DB - Identities'!L:L,"ERROR")</f>
        <v>ERROR</v>
      </c>
    </row>
    <row r="55" spans="1:3" ht="20.25" customHeight="1">
      <c r="A55" s="53" t="s">
        <v>1677</v>
      </c>
      <c r="B55" s="53" t="str">
        <f t="shared" si="0"/>
        <v>ou=contour, o=hinex industries limited, l=hong kong, c=hk</v>
      </c>
      <c r="C55" s="15" t="str">
        <f>_xlfn.XLOOKUP(B55,'DB - Identities'!U:U,'DB - Identities'!L:L,"ERROR")</f>
        <v>ERROR</v>
      </c>
    </row>
    <row r="56" spans="1:3" ht="20.25" customHeight="1">
      <c r="A56" s="53" t="s">
        <v>1678</v>
      </c>
      <c r="B56" s="53" t="str">
        <f t="shared" si="0"/>
        <v>ou=global trade and receivables finance, o=the hongkong and shanghai banking corporation limited, l=seoul, c=kr</v>
      </c>
      <c r="C56" s="15" t="str">
        <f>_xlfn.XLOOKUP(B56,'DB - Identities'!U:U,'DB - Identities'!L:L,"ERROR")</f>
        <v>ERROR</v>
      </c>
    </row>
    <row r="57" spans="1:3" ht="20.25" customHeight="1">
      <c r="A57" s="53" t="s">
        <v>1679</v>
      </c>
      <c r="B57" s="53" t="str">
        <f t="shared" si="0"/>
        <v>ou=global trade and receivables finance, o=the hongkong and shanghai banking corporation limited, l=singapore, c=sg</v>
      </c>
      <c r="C57" s="15" t="str">
        <f>_xlfn.XLOOKUP(B57,'DB - Identities'!U:U,'DB - Identities'!L:L,"ERROR")</f>
        <v>ERROR</v>
      </c>
    </row>
    <row r="58" spans="1:3" ht="20.25" customHeight="1">
      <c r="A58" s="53" t="s">
        <v>1680</v>
      </c>
      <c r="B58" s="53" t="str">
        <f t="shared" si="0"/>
        <v>ou=global trade and receivables finance, o=the hongkong and shanghai banking corporation limited, l=hong kong, c=hk</v>
      </c>
      <c r="C58" s="15" t="str">
        <f>_xlfn.XLOOKUP(B58,'DB - Identities'!U:U,'DB - Identities'!L:L,"ERROR")</f>
        <v>ERROR</v>
      </c>
    </row>
    <row r="59" spans="1:3" ht="20.25" customHeight="1">
      <c r="A59" s="53" t="s">
        <v>1681</v>
      </c>
      <c r="B59" s="53" t="str">
        <f t="shared" si="0"/>
        <v>ou=international trade, o=robe river ore sales pty ltd, l=perth, c=au</v>
      </c>
      <c r="C59" s="15" t="str">
        <f>_xlfn.XLOOKUP(B59,'DB - Identities'!U:U,'DB - Identities'!L:L,"ERROR")</f>
        <v>ERROR</v>
      </c>
    </row>
    <row r="60" spans="1:3" ht="20.25" customHeight="1">
      <c r="A60" s="53" t="s">
        <v>1682</v>
      </c>
      <c r="B60" s="53" t="str">
        <f t="shared" si="0"/>
        <v>ou=scg performance chemicals co ltd, o=scg performance chemicals co ltd, l=bangkok, c=th</v>
      </c>
      <c r="C60" s="15" t="str">
        <f>_xlfn.XLOOKUP(B60,'DB - Identities'!U:U,'DB - Identities'!L:L,"ERROR")</f>
        <v>ERROR</v>
      </c>
    </row>
    <row r="61" spans="1:3" ht="20.25" customHeight="1">
      <c r="A61" s="53" t="s">
        <v>1683</v>
      </c>
      <c r="B61" s="53" t="str">
        <f t="shared" si="0"/>
        <v>ou=scg plastics co ltd, o=scg plastics co ltd, l=bangkok, c=th</v>
      </c>
      <c r="C61" s="15" t="str">
        <f>_xlfn.XLOOKUP(B61,'DB - Identities'!U:U,'DB - Identities'!L:L,"ERROR")</f>
        <v>ERROR</v>
      </c>
    </row>
    <row r="62" spans="1:3" ht="20.25" customHeight="1">
      <c r="A62" s="53" t="s">
        <v>1684</v>
      </c>
      <c r="B62" s="53" t="str">
        <f t="shared" si="0"/>
        <v>ou=vale international, o=vale international sa, l=st-prex, c=ch</v>
      </c>
      <c r="C62" s="15" t="str">
        <f>_xlfn.XLOOKUP(B62,'DB - Identities'!U:U,'DB - Identities'!L:L,"ERROR")</f>
        <v>ERROR</v>
      </c>
    </row>
    <row r="63" spans="1:3" ht="20.25" customHeight="1">
      <c r="A63" s="53" t="s">
        <v>1685</v>
      </c>
      <c r="B63" s="53" t="str">
        <f t="shared" si="0"/>
        <v>ou=international trade, o=hope downs marketing company pty ltd, l=perth, c=au</v>
      </c>
      <c r="C63" s="15" t="str">
        <f>_xlfn.XLOOKUP(B63,'DB - Identities'!U:U,'DB - Identities'!L:L,"ERROR")</f>
        <v>ERROR</v>
      </c>
    </row>
    <row r="64" spans="1:3" ht="20.25" customHeight="1">
      <c r="A64" s="53" t="s">
        <v>1686</v>
      </c>
      <c r="B64" s="53" t="str">
        <f t="shared" si="0"/>
        <v>ou=gc marketing solutions company limited, o=gc marketing solutions company limited, l=bangkok, c=th</v>
      </c>
      <c r="C64" s="15" t="str">
        <f>_xlfn.XLOOKUP(B64,'DB - Identities'!U:U,'DB - Identities'!L:L,"ERROR")</f>
        <v>ERROR</v>
      </c>
    </row>
    <row r="65" spans="1:3" ht="20.25" customHeight="1">
      <c r="A65" s="53" t="s">
        <v>1687</v>
      </c>
      <c r="B65" s="53" t="str">
        <f t="shared" si="0"/>
        <v>ou=trade operation, o=opec plastics joint stock company, l=hungyen, c=vn</v>
      </c>
      <c r="C65" s="15" t="str">
        <f>_xlfn.XLOOKUP(B65,'DB - Identities'!U:U,'DB - Identities'!L:L,"ERROR")</f>
        <v>ERROR</v>
      </c>
    </row>
    <row r="66" spans="1:3" ht="20.25" customHeight="1">
      <c r="A66" s="53" t="s">
        <v>1688</v>
      </c>
      <c r="B66" s="53" t="str">
        <f t="shared" si="0"/>
        <v>ou=contour, o=dbs bank ltd, l=singapore, c=sg</v>
      </c>
      <c r="C66" s="15" t="str">
        <f>_xlfn.XLOOKUP(B66,'DB - Identities'!U:U,'DB - Identities'!L:L,"ERROR")</f>
        <v>ERROR</v>
      </c>
    </row>
    <row r="67" spans="1:3" ht="20.25" customHeight="1">
      <c r="A67" s="53" t="s">
        <v>1689</v>
      </c>
      <c r="B67" s="53" t="str">
        <f t="shared" ref="B67:B72" si="1">CLEAN(LOWER(A67))</f>
        <v>ou=trade operation center, o=bank for investment &amp; development of vn, l=hanoi, c=vn</v>
      </c>
      <c r="C67" s="15" t="str">
        <f>_xlfn.XLOOKUP(B67,'DB - Identities'!U:U,'DB - Identities'!L:L,"ERROR")</f>
        <v>ERROR</v>
      </c>
    </row>
    <row r="68" spans="1:3" ht="20.25" customHeight="1">
      <c r="A68" s="53" t="s">
        <v>1690</v>
      </c>
      <c r="B68" s="53" t="str">
        <f t="shared" si="1"/>
        <v>ou=trade finance, o=asian development bank, l=manila, c=ph</v>
      </c>
      <c r="C68" s="15" t="str">
        <f>_xlfn.XLOOKUP(B68,'DB - Identities'!U:U,'DB - Identities'!L:L,"ERROR")</f>
        <v>ERROR</v>
      </c>
    </row>
    <row r="69" spans="1:3" ht="20.25" customHeight="1">
      <c r="A69" s="53" t="s">
        <v>1691</v>
      </c>
      <c r="B69" s="53" t="str">
        <f t="shared" si="1"/>
        <v>cn=itfc, ou=operations department, o=international islamic trade finance corp, l=jeddah, c=sa</v>
      </c>
      <c r="C69" s="15" t="str">
        <f>_xlfn.XLOOKUP(B69,'DB - Identities'!U:U,'DB - Identities'!L:L,"ERROR")</f>
        <v>ERROR</v>
      </c>
    </row>
    <row r="70" spans="1:3" ht="20.25" customHeight="1">
      <c r="A70" s="53" t="s">
        <v>1692</v>
      </c>
      <c r="B70" s="53" t="str">
        <f t="shared" si="1"/>
        <v>ou=node1, o=skandinaviska enskilda banken ab (publ), l=stockholm, c=se</v>
      </c>
      <c r="C70" s="15" t="str">
        <f>_xlfn.XLOOKUP(B70,'DB - Identities'!U:U,'DB - Identities'!L:L,"ERROR")</f>
        <v>F3JS33DEI6XQ4ZBPTN86</v>
      </c>
    </row>
    <row r="71" spans="1:3" ht="20.25" customHeight="1">
      <c r="A71" s="53" t="s">
        <v>1693</v>
      </c>
      <c r="B71" s="53" t="str">
        <f t="shared" si="1"/>
        <v>ou=contour, o=ho chi minh development joint stock commercial bank, l=ho chi minh, c=vn</v>
      </c>
      <c r="C71" s="15" t="str">
        <f>_xlfn.XLOOKUP(B71,'DB - Identities'!U:U,'DB - Identities'!L:L,"ERROR")</f>
        <v>ERROR</v>
      </c>
    </row>
    <row r="72" spans="1:3" ht="20.25" customHeight="1">
      <c r="A72" s="53" t="s">
        <v>1443</v>
      </c>
      <c r="B72" s="53" t="str">
        <f t="shared" si="1"/>
        <v>ou=cib ito-corda-scb my, o=standard chartered bank malaysia berhad, l=kuala lumpur, c=my</v>
      </c>
      <c r="C72" s="15" t="str">
        <f>_xlfn.XLOOKUP(B72,'DB - Identities'!U:U,'DB - Identities'!L:L,"ERROR")</f>
        <v>ERROR</v>
      </c>
    </row>
  </sheetData>
  <conditionalFormatting sqref="C2:C72">
    <cfRule type="containsText" dxfId="7" priority="1" operator="containsText" text="ERROR">
      <formula>NOT(ISERROR(SEARCH("ERROR",C2)))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754F-95EF-408E-846A-BBB14BEA01B2}">
  <sheetPr codeName="Sheet23" filterMode="1">
    <tabColor theme="4" tint="0.59999389629810485"/>
  </sheetPr>
  <dimension ref="A1:AH139"/>
  <sheetViews>
    <sheetView topLeftCell="V1" workbookViewId="0">
      <selection activeCell="Q133" sqref="Q133"/>
    </sheetView>
  </sheetViews>
  <sheetFormatPr baseColWidth="10" defaultColWidth="8.5" defaultRowHeight="16"/>
  <cols>
    <col min="1" max="1" width="29" customWidth="1"/>
    <col min="2" max="2" width="19.83203125" customWidth="1"/>
    <col min="3" max="3" width="16.5" customWidth="1"/>
    <col min="4" max="4" width="12.5" bestFit="1" customWidth="1"/>
    <col min="5" max="5" width="12" customWidth="1"/>
    <col min="6" max="6" width="22.33203125" customWidth="1"/>
    <col min="7" max="7" width="14.5" customWidth="1"/>
    <col min="8" max="8" width="14" customWidth="1"/>
    <col min="9" max="9" width="33" bestFit="1" customWidth="1"/>
    <col min="10" max="10" width="59.5" bestFit="1" customWidth="1"/>
    <col min="11" max="11" width="41.5" bestFit="1" customWidth="1"/>
    <col min="12" max="12" width="41" bestFit="1" customWidth="1"/>
    <col min="13" max="13" width="14.33203125" customWidth="1"/>
    <col min="14" max="14" width="20.5" customWidth="1"/>
    <col min="15" max="15" width="15.5" bestFit="1" customWidth="1"/>
    <col min="16" max="16" width="15.5" customWidth="1"/>
    <col min="17" max="18" width="12.5" customWidth="1"/>
    <col min="19" max="20" width="14.5" style="145" customWidth="1"/>
    <col min="21" max="21" width="14" customWidth="1"/>
    <col min="22" max="22" width="12.5" style="145" customWidth="1"/>
    <col min="23" max="23" width="13.5" bestFit="1" customWidth="1"/>
    <col min="24" max="24" width="9.5" bestFit="1" customWidth="1"/>
    <col min="25" max="25" width="17" bestFit="1" customWidth="1"/>
    <col min="26" max="26" width="22.5" bestFit="1" customWidth="1"/>
    <col min="27" max="27" width="33" bestFit="1" customWidth="1"/>
    <col min="28" max="28" width="19" customWidth="1"/>
    <col min="29" max="29" width="25" customWidth="1"/>
    <col min="30" max="30" width="12.5" bestFit="1" customWidth="1"/>
    <col min="31" max="31" width="14.5" bestFit="1" customWidth="1"/>
    <col min="32" max="32" width="48.33203125" bestFit="1" customWidth="1"/>
    <col min="33" max="33" width="14" bestFit="1" customWidth="1"/>
    <col min="34" max="34" width="45.5" bestFit="1" customWidth="1"/>
    <col min="35" max="35" width="16" customWidth="1"/>
    <col min="36" max="37" width="15.5" bestFit="1" customWidth="1"/>
    <col min="38" max="38" width="44.5" bestFit="1" customWidth="1"/>
    <col min="39" max="39" width="34.5" customWidth="1"/>
  </cols>
  <sheetData>
    <row r="1" spans="1:33">
      <c r="A1" s="122" t="s">
        <v>1694</v>
      </c>
      <c r="B1" s="122" t="s">
        <v>1695</v>
      </c>
      <c r="C1" s="122" t="s">
        <v>1696</v>
      </c>
      <c r="D1" s="122" t="s">
        <v>1697</v>
      </c>
      <c r="E1" s="122" t="s">
        <v>1698</v>
      </c>
      <c r="F1" s="122" t="s">
        <v>1699</v>
      </c>
      <c r="G1" s="122" t="s">
        <v>1700</v>
      </c>
      <c r="H1" s="122" t="s">
        <v>1701</v>
      </c>
      <c r="I1" s="122" t="s">
        <v>1702</v>
      </c>
      <c r="J1" s="122" t="s">
        <v>1703</v>
      </c>
      <c r="K1" s="122" t="s">
        <v>1704</v>
      </c>
      <c r="L1" s="122" t="s">
        <v>1705</v>
      </c>
      <c r="M1" s="122" t="s">
        <v>1706</v>
      </c>
      <c r="N1" s="122" t="s">
        <v>1707</v>
      </c>
      <c r="O1" s="122" t="s">
        <v>1708</v>
      </c>
      <c r="P1" s="122"/>
      <c r="Q1" s="122" t="s">
        <v>1709</v>
      </c>
      <c r="R1" s="122"/>
      <c r="S1" s="122" t="s">
        <v>1710</v>
      </c>
      <c r="T1" s="122" t="s">
        <v>1711</v>
      </c>
      <c r="U1" s="122" t="s">
        <v>1712</v>
      </c>
      <c r="V1" s="122" t="s">
        <v>1713</v>
      </c>
      <c r="W1" s="122" t="s">
        <v>1714</v>
      </c>
      <c r="X1" s="122" t="s">
        <v>1715</v>
      </c>
      <c r="Y1" s="122" t="s">
        <v>1716</v>
      </c>
      <c r="Z1" s="122" t="s">
        <v>1717</v>
      </c>
      <c r="AA1" s="122" t="s">
        <v>1718</v>
      </c>
      <c r="AB1" s="122" t="s">
        <v>1719</v>
      </c>
      <c r="AC1" t="s">
        <v>1718</v>
      </c>
      <c r="AD1" t="s">
        <v>1719</v>
      </c>
      <c r="AE1" t="s">
        <v>1718</v>
      </c>
      <c r="AF1" t="s">
        <v>1704</v>
      </c>
      <c r="AG1" t="s">
        <v>1003</v>
      </c>
    </row>
    <row r="2" spans="1:33">
      <c r="A2" s="122" t="s">
        <v>1720</v>
      </c>
      <c r="B2" s="122" t="s">
        <v>1541</v>
      </c>
      <c r="C2" s="122" t="s">
        <v>1721</v>
      </c>
      <c r="D2" s="122">
        <v>331079860</v>
      </c>
      <c r="E2" s="122" t="s">
        <v>1722</v>
      </c>
      <c r="F2" t="s">
        <v>1309</v>
      </c>
      <c r="H2" s="122" t="b">
        <v>0</v>
      </c>
      <c r="I2" s="122" t="b">
        <v>1</v>
      </c>
      <c r="J2" t="s">
        <v>1309</v>
      </c>
      <c r="L2" s="122" t="s">
        <v>1309</v>
      </c>
      <c r="M2" s="122" t="s">
        <v>1723</v>
      </c>
      <c r="N2" s="122" t="b">
        <v>1</v>
      </c>
      <c r="O2" s="122">
        <v>1630492719039</v>
      </c>
      <c r="P2" s="205">
        <f t="shared" ref="P2:P32" si="0">((((O2/1000)/60)/60)/24)+DATE(1970,1,1)</f>
        <v>44440.44350739583</v>
      </c>
      <c r="Q2" s="122">
        <v>1630546374706</v>
      </c>
      <c r="R2" s="205">
        <f t="shared" ref="R2:R32" si="1">((((Q2/1000)/60)/60)/24)+DATE(1970,1,1)</f>
        <v>44441.064522060187</v>
      </c>
      <c r="S2" s="122" t="s">
        <v>1724</v>
      </c>
      <c r="T2" s="122" t="s">
        <v>1725</v>
      </c>
      <c r="U2" s="122" t="s">
        <v>1726</v>
      </c>
      <c r="V2" s="122" t="s">
        <v>1721</v>
      </c>
      <c r="W2" s="122" t="s">
        <v>1541</v>
      </c>
      <c r="X2" s="122" t="b">
        <v>1</v>
      </c>
      <c r="Y2" s="122" t="b">
        <v>0</v>
      </c>
      <c r="Z2" s="122" t="b">
        <v>0</v>
      </c>
      <c r="AA2" t="s">
        <v>1727</v>
      </c>
      <c r="AC2" t="s">
        <v>1727</v>
      </c>
      <c r="AE2" t="s">
        <v>1727</v>
      </c>
      <c r="AG2" t="str">
        <f>IF(_xlfn.XLOOKUP(B2,'DB - Identities'!U:U,'DB - Identities'!U:U,"ERROR")&lt;&gt;"ERROR","OK","ERROR")</f>
        <v>OK</v>
      </c>
    </row>
    <row r="3" spans="1:33">
      <c r="A3" s="122" t="s">
        <v>1728</v>
      </c>
      <c r="B3" s="122" t="s">
        <v>1526</v>
      </c>
      <c r="C3" s="122" t="s">
        <v>1721</v>
      </c>
      <c r="D3" s="122">
        <v>364873783</v>
      </c>
      <c r="E3" s="122" t="s">
        <v>1729</v>
      </c>
      <c r="F3" t="s">
        <v>399</v>
      </c>
      <c r="H3" s="122" t="b">
        <v>0</v>
      </c>
      <c r="I3" s="122" t="b">
        <v>1</v>
      </c>
      <c r="J3" t="s">
        <v>399</v>
      </c>
      <c r="L3" s="122" t="s">
        <v>399</v>
      </c>
      <c r="M3" s="122" t="s">
        <v>1730</v>
      </c>
      <c r="N3" s="122" t="b">
        <v>0</v>
      </c>
      <c r="O3" s="122">
        <v>1630415201427</v>
      </c>
      <c r="P3" s="205">
        <f t="shared" si="0"/>
        <v>44439.546312812497</v>
      </c>
      <c r="Q3" s="122">
        <v>1630460896177</v>
      </c>
      <c r="R3" s="205">
        <f t="shared" si="1"/>
        <v>44440.075187233801</v>
      </c>
      <c r="S3" s="122" t="s">
        <v>1724</v>
      </c>
      <c r="T3" s="122" t="s">
        <v>1725</v>
      </c>
      <c r="U3" s="122" t="s">
        <v>1731</v>
      </c>
      <c r="V3" s="122" t="s">
        <v>1721</v>
      </c>
      <c r="W3" s="122" t="s">
        <v>1526</v>
      </c>
      <c r="X3" s="122" t="b">
        <v>1</v>
      </c>
      <c r="Y3" s="122" t="b">
        <v>0</v>
      </c>
      <c r="Z3" s="122" t="b">
        <v>0</v>
      </c>
      <c r="AA3" t="s">
        <v>1727</v>
      </c>
      <c r="AC3" t="s">
        <v>1727</v>
      </c>
      <c r="AE3" t="s">
        <v>1727</v>
      </c>
      <c r="AG3" t="str">
        <f>IF(_xlfn.XLOOKUP(B3,'DB - Identities'!U:U,'DB - Identities'!U:U,"ERROR")&lt;&gt;"ERROR","OK","ERROR")</f>
        <v>OK</v>
      </c>
    </row>
    <row r="4" spans="1:33">
      <c r="A4" s="122" t="s">
        <v>1732</v>
      </c>
      <c r="B4" s="122" t="s">
        <v>1512</v>
      </c>
      <c r="C4" s="122" t="s">
        <v>1721</v>
      </c>
      <c r="D4" s="122">
        <v>34682411</v>
      </c>
      <c r="E4" s="122" t="s">
        <v>1729</v>
      </c>
      <c r="F4" t="s">
        <v>1304</v>
      </c>
      <c r="H4" s="122" t="b">
        <v>0</v>
      </c>
      <c r="I4" s="122" t="b">
        <v>1</v>
      </c>
      <c r="J4" t="s">
        <v>1304</v>
      </c>
      <c r="L4" s="122" t="s">
        <v>1304</v>
      </c>
      <c r="M4" s="122" t="s">
        <v>1730</v>
      </c>
      <c r="N4" s="122" t="b">
        <v>0</v>
      </c>
      <c r="O4" s="122">
        <v>1629970003085</v>
      </c>
      <c r="P4" s="205">
        <f t="shared" si="0"/>
        <v>44434.393554224538</v>
      </c>
      <c r="Q4" s="122">
        <v>1630028055558</v>
      </c>
      <c r="R4" s="205">
        <f t="shared" si="1"/>
        <v>44435.065457847224</v>
      </c>
      <c r="S4" s="122" t="s">
        <v>1724</v>
      </c>
      <c r="T4" s="122" t="s">
        <v>1725</v>
      </c>
      <c r="U4" s="122" t="s">
        <v>1733</v>
      </c>
      <c r="V4" s="122" t="s">
        <v>1721</v>
      </c>
      <c r="W4" s="122" t="s">
        <v>1512</v>
      </c>
      <c r="X4" s="122" t="b">
        <v>1</v>
      </c>
      <c r="Y4" s="122" t="b">
        <v>0</v>
      </c>
      <c r="Z4" s="122" t="b">
        <v>0</v>
      </c>
      <c r="AA4" t="s">
        <v>1727</v>
      </c>
      <c r="AC4" t="s">
        <v>1727</v>
      </c>
      <c r="AE4" t="s">
        <v>1727</v>
      </c>
      <c r="AG4" t="str">
        <f>IF(_xlfn.XLOOKUP(B4,'DB - Identities'!U:U,'DB - Identities'!U:U,"ERROR")&lt;&gt;"ERROR","OK","ERROR")</f>
        <v>OK</v>
      </c>
    </row>
    <row r="5" spans="1:33">
      <c r="A5" s="122" t="s">
        <v>1734</v>
      </c>
      <c r="B5" s="122" t="s">
        <v>1522</v>
      </c>
      <c r="C5" s="122" t="s">
        <v>1721</v>
      </c>
      <c r="D5" s="122">
        <v>364992398</v>
      </c>
      <c r="E5" s="122" t="s">
        <v>1722</v>
      </c>
      <c r="F5" t="s">
        <v>1300</v>
      </c>
      <c r="H5" s="122" t="b">
        <v>0</v>
      </c>
      <c r="I5" s="122" t="b">
        <v>1</v>
      </c>
      <c r="J5" t="s">
        <v>1300</v>
      </c>
      <c r="L5" s="122" t="s">
        <v>1300</v>
      </c>
      <c r="M5" s="122" t="s">
        <v>1723</v>
      </c>
      <c r="N5" s="122" t="b">
        <v>1</v>
      </c>
      <c r="O5" s="122">
        <v>1629882993816</v>
      </c>
      <c r="P5" s="205">
        <f t="shared" si="0"/>
        <v>44433.386502499998</v>
      </c>
      <c r="Q5" s="122">
        <v>1629943251417</v>
      </c>
      <c r="R5" s="205">
        <f t="shared" si="1"/>
        <v>44434.083928437496</v>
      </c>
      <c r="S5" s="122" t="s">
        <v>1724</v>
      </c>
      <c r="T5" s="122" t="s">
        <v>1725</v>
      </c>
      <c r="U5" s="122" t="s">
        <v>1735</v>
      </c>
      <c r="V5" s="122" t="s">
        <v>1721</v>
      </c>
      <c r="W5" s="122" t="s">
        <v>1522</v>
      </c>
      <c r="X5" s="122" t="b">
        <v>1</v>
      </c>
      <c r="Y5" s="122" t="b">
        <v>0</v>
      </c>
      <c r="Z5" s="122" t="b">
        <v>0</v>
      </c>
      <c r="AA5" t="s">
        <v>1727</v>
      </c>
      <c r="AC5" t="s">
        <v>1727</v>
      </c>
      <c r="AE5" t="s">
        <v>1727</v>
      </c>
      <c r="AG5" t="str">
        <f>IF(_xlfn.XLOOKUP(B5,'DB - Identities'!U:U,'DB - Identities'!U:U,"ERROR")&lt;&gt;"ERROR","OK","ERROR")</f>
        <v>OK</v>
      </c>
    </row>
    <row r="6" spans="1:33">
      <c r="A6" s="122" t="s">
        <v>1736</v>
      </c>
      <c r="B6" s="122" t="s">
        <v>1474</v>
      </c>
      <c r="C6" s="122" t="s">
        <v>1721</v>
      </c>
      <c r="D6" s="122">
        <v>189127242</v>
      </c>
      <c r="E6" s="122" t="s">
        <v>1722</v>
      </c>
      <c r="F6" t="s">
        <v>1102</v>
      </c>
      <c r="H6" s="122" t="b">
        <v>0</v>
      </c>
      <c r="I6" s="122" t="b">
        <v>1</v>
      </c>
      <c r="J6" t="s">
        <v>1006</v>
      </c>
      <c r="L6" s="122" t="s">
        <v>1006</v>
      </c>
      <c r="M6" s="122" t="s">
        <v>1723</v>
      </c>
      <c r="N6" s="122" t="b">
        <v>1</v>
      </c>
      <c r="O6" s="122">
        <v>1629861433158</v>
      </c>
      <c r="P6" s="205">
        <f t="shared" si="0"/>
        <v>44433.136957847222</v>
      </c>
      <c r="Q6" s="122">
        <v>1629869972999</v>
      </c>
      <c r="R6" s="205">
        <f t="shared" si="1"/>
        <v>44433.235798599533</v>
      </c>
      <c r="S6" s="122" t="s">
        <v>1724</v>
      </c>
      <c r="T6" s="122" t="s">
        <v>1725</v>
      </c>
      <c r="U6" s="122" t="s">
        <v>1737</v>
      </c>
      <c r="V6" s="122" t="s">
        <v>1721</v>
      </c>
      <c r="W6" s="122" t="s">
        <v>1474</v>
      </c>
      <c r="X6" s="122" t="b">
        <v>1</v>
      </c>
      <c r="Y6" s="122" t="b">
        <v>0</v>
      </c>
      <c r="Z6" s="122" t="b">
        <v>0</v>
      </c>
      <c r="AA6" t="s">
        <v>1727</v>
      </c>
      <c r="AC6" t="s">
        <v>1727</v>
      </c>
      <c r="AE6" t="s">
        <v>1727</v>
      </c>
      <c r="AG6" t="str">
        <f>IF(_xlfn.XLOOKUP(B6,'DB - Identities'!U:U,'DB - Identities'!U:U,"ERROR")&lt;&gt;"ERROR","OK","ERROR")</f>
        <v>OK</v>
      </c>
    </row>
    <row r="7" spans="1:33">
      <c r="A7" s="122" t="s">
        <v>1738</v>
      </c>
      <c r="B7" s="122" t="s">
        <v>1532</v>
      </c>
      <c r="C7" s="122" t="s">
        <v>1721</v>
      </c>
      <c r="D7" s="122">
        <v>76611502</v>
      </c>
      <c r="E7" s="122" t="s">
        <v>1729</v>
      </c>
      <c r="F7" t="s">
        <v>1296</v>
      </c>
      <c r="H7" s="122" t="b">
        <v>0</v>
      </c>
      <c r="I7" s="122" t="b">
        <v>1</v>
      </c>
      <c r="J7" t="s">
        <v>1296</v>
      </c>
      <c r="L7" s="122" t="s">
        <v>1296</v>
      </c>
      <c r="M7" s="122" t="s">
        <v>1730</v>
      </c>
      <c r="N7" s="122" t="b">
        <v>0</v>
      </c>
      <c r="O7" s="122">
        <v>1629795505777</v>
      </c>
      <c r="P7" s="205">
        <f t="shared" si="0"/>
        <v>44432.373909456015</v>
      </c>
      <c r="Q7" s="122">
        <v>1629856157056</v>
      </c>
      <c r="R7" s="205">
        <f t="shared" si="1"/>
        <v>44433.075891851855</v>
      </c>
      <c r="S7" s="122" t="s">
        <v>1724</v>
      </c>
      <c r="T7" s="122" t="s">
        <v>1725</v>
      </c>
      <c r="U7" s="122" t="s">
        <v>1739</v>
      </c>
      <c r="V7" s="122" t="s">
        <v>1721</v>
      </c>
      <c r="W7" s="122" t="s">
        <v>1532</v>
      </c>
      <c r="X7" s="122" t="b">
        <v>1</v>
      </c>
      <c r="Y7" s="122" t="b">
        <v>0</v>
      </c>
      <c r="Z7" s="122" t="b">
        <v>0</v>
      </c>
      <c r="AA7" t="s">
        <v>1727</v>
      </c>
      <c r="AC7" t="s">
        <v>1727</v>
      </c>
      <c r="AE7" t="s">
        <v>1727</v>
      </c>
      <c r="AG7" t="str">
        <f>IF(_xlfn.XLOOKUP(B7,'DB - Identities'!U:U,'DB - Identities'!U:U,"ERROR")&lt;&gt;"ERROR","OK","ERROR")</f>
        <v>OK</v>
      </c>
    </row>
    <row r="8" spans="1:33">
      <c r="A8" s="122" t="s">
        <v>1740</v>
      </c>
      <c r="B8" s="122" t="s">
        <v>1560</v>
      </c>
      <c r="C8" s="122" t="s">
        <v>1721</v>
      </c>
      <c r="D8" s="122">
        <v>419250959</v>
      </c>
      <c r="E8" s="122" t="s">
        <v>1729</v>
      </c>
      <c r="F8" t="s">
        <v>1293</v>
      </c>
      <c r="H8" s="122" t="b">
        <v>0</v>
      </c>
      <c r="I8" s="122" t="b">
        <v>1</v>
      </c>
      <c r="J8" t="s">
        <v>1293</v>
      </c>
      <c r="L8" s="122" t="s">
        <v>1293</v>
      </c>
      <c r="M8" s="122" t="s">
        <v>1730</v>
      </c>
      <c r="N8" s="122" t="b">
        <v>0</v>
      </c>
      <c r="O8" s="122">
        <v>1629796211664</v>
      </c>
      <c r="P8" s="205">
        <f t="shared" si="0"/>
        <v>44432.382079444447</v>
      </c>
      <c r="Q8" s="122">
        <v>1629856129146</v>
      </c>
      <c r="R8" s="205">
        <f t="shared" si="1"/>
        <v>44433.075568819448</v>
      </c>
      <c r="S8" s="122" t="s">
        <v>1724</v>
      </c>
      <c r="T8" s="122" t="s">
        <v>1725</v>
      </c>
      <c r="U8" s="122" t="s">
        <v>1741</v>
      </c>
      <c r="V8" s="122" t="s">
        <v>1721</v>
      </c>
      <c r="W8" s="122" t="s">
        <v>1560</v>
      </c>
      <c r="X8" s="122" t="b">
        <v>1</v>
      </c>
      <c r="Y8" s="122" t="b">
        <v>0</v>
      </c>
      <c r="Z8" s="122" t="b">
        <v>0</v>
      </c>
      <c r="AA8" t="s">
        <v>1727</v>
      </c>
      <c r="AC8" t="s">
        <v>1727</v>
      </c>
      <c r="AE8" t="s">
        <v>1727</v>
      </c>
      <c r="AG8" t="str">
        <f>IF(_xlfn.XLOOKUP(B8,'DB - Identities'!U:U,'DB - Identities'!U:U,"ERROR")&lt;&gt;"ERROR","OK","ERROR")</f>
        <v>OK</v>
      </c>
    </row>
    <row r="9" spans="1:33">
      <c r="A9" s="122" t="s">
        <v>1742</v>
      </c>
      <c r="B9" s="122" t="s">
        <v>1514</v>
      </c>
      <c r="C9" s="122" t="s">
        <v>1721</v>
      </c>
      <c r="D9" s="122">
        <v>266516712</v>
      </c>
      <c r="E9" s="122" t="s">
        <v>1729</v>
      </c>
      <c r="F9" t="s">
        <v>379</v>
      </c>
      <c r="H9" s="122" t="b">
        <v>0</v>
      </c>
      <c r="I9" s="122" t="b">
        <v>1</v>
      </c>
      <c r="J9" t="s">
        <v>379</v>
      </c>
      <c r="L9" s="122" t="s">
        <v>379</v>
      </c>
      <c r="M9" s="122" t="s">
        <v>1730</v>
      </c>
      <c r="N9" s="122" t="b">
        <v>0</v>
      </c>
      <c r="O9" s="122">
        <v>1629731433943</v>
      </c>
      <c r="P9" s="205">
        <f t="shared" si="0"/>
        <v>44431.632337303243</v>
      </c>
      <c r="Q9" s="122">
        <v>1629769692874</v>
      </c>
      <c r="R9" s="205">
        <f t="shared" si="1"/>
        <v>44432.075149004624</v>
      </c>
      <c r="S9" s="122" t="s">
        <v>1724</v>
      </c>
      <c r="T9" s="122" t="s">
        <v>1725</v>
      </c>
      <c r="U9" s="122" t="s">
        <v>1743</v>
      </c>
      <c r="V9" s="122" t="s">
        <v>1721</v>
      </c>
      <c r="W9" s="122" t="s">
        <v>1514</v>
      </c>
      <c r="X9" s="122" t="b">
        <v>1</v>
      </c>
      <c r="Y9" s="122" t="b">
        <v>0</v>
      </c>
      <c r="Z9" s="122" t="b">
        <v>0</v>
      </c>
      <c r="AA9" t="s">
        <v>1727</v>
      </c>
      <c r="AC9" t="s">
        <v>1727</v>
      </c>
      <c r="AE9" t="s">
        <v>1727</v>
      </c>
      <c r="AG9" t="str">
        <f>IF(_xlfn.XLOOKUP(B9,'DB - Identities'!U:U,'DB - Identities'!U:U,"ERROR")&lt;&gt;"ERROR","OK","ERROR")</f>
        <v>OK</v>
      </c>
    </row>
    <row r="10" spans="1:33">
      <c r="A10" s="122" t="s">
        <v>1744</v>
      </c>
      <c r="B10" s="122" t="s">
        <v>1533</v>
      </c>
      <c r="C10" s="122" t="s">
        <v>1721</v>
      </c>
      <c r="D10" s="122">
        <v>299071760</v>
      </c>
      <c r="E10" s="122" t="s">
        <v>1729</v>
      </c>
      <c r="F10" t="s">
        <v>1298</v>
      </c>
      <c r="H10" s="122" t="b">
        <v>0</v>
      </c>
      <c r="I10" s="122" t="b">
        <v>1</v>
      </c>
      <c r="J10" t="s">
        <v>1298</v>
      </c>
      <c r="L10" s="122" t="s">
        <v>1298</v>
      </c>
      <c r="M10" s="122" t="s">
        <v>1730</v>
      </c>
      <c r="N10" s="122" t="b">
        <v>0</v>
      </c>
      <c r="O10" s="122">
        <v>1629696514870</v>
      </c>
      <c r="P10" s="205">
        <f t="shared" si="0"/>
        <v>44431.228181365739</v>
      </c>
      <c r="Q10" s="122">
        <v>1629769659058</v>
      </c>
      <c r="R10" s="205">
        <f t="shared" si="1"/>
        <v>44432.074757615745</v>
      </c>
      <c r="S10" s="122" t="s">
        <v>1724</v>
      </c>
      <c r="T10" s="122" t="s">
        <v>1725</v>
      </c>
      <c r="U10" s="122" t="s">
        <v>1745</v>
      </c>
      <c r="V10" s="122" t="s">
        <v>1721</v>
      </c>
      <c r="W10" s="122" t="s">
        <v>1533</v>
      </c>
      <c r="X10" s="122" t="b">
        <v>1</v>
      </c>
      <c r="Y10" s="122" t="b">
        <v>0</v>
      </c>
      <c r="Z10" s="122" t="b">
        <v>0</v>
      </c>
      <c r="AA10" t="s">
        <v>1727</v>
      </c>
      <c r="AC10" t="s">
        <v>1727</v>
      </c>
      <c r="AE10" t="s">
        <v>1727</v>
      </c>
      <c r="AG10" t="str">
        <f>IF(_xlfn.XLOOKUP(B10,'DB - Identities'!U:U,'DB - Identities'!U:U,"ERROR")&lt;&gt;"ERROR","OK","ERROR")</f>
        <v>OK</v>
      </c>
    </row>
    <row r="11" spans="1:33">
      <c r="A11" s="122" t="s">
        <v>1746</v>
      </c>
      <c r="B11" s="122" t="s">
        <v>1547</v>
      </c>
      <c r="C11" s="122" t="s">
        <v>1721</v>
      </c>
      <c r="D11" s="122">
        <v>16001518</v>
      </c>
      <c r="E11" s="122" t="s">
        <v>1729</v>
      </c>
      <c r="F11" t="s">
        <v>1747</v>
      </c>
      <c r="H11" s="122" t="b">
        <v>0</v>
      </c>
      <c r="I11" s="122" t="b">
        <v>1</v>
      </c>
      <c r="J11" t="s">
        <v>1747</v>
      </c>
      <c r="L11" s="122" t="s">
        <v>1747</v>
      </c>
      <c r="M11" s="122" t="s">
        <v>1730</v>
      </c>
      <c r="N11" s="122" t="b">
        <v>0</v>
      </c>
      <c r="O11" s="122">
        <v>1628669246148</v>
      </c>
      <c r="P11" s="205">
        <f t="shared" si="0"/>
        <v>44419.338497083329</v>
      </c>
      <c r="Q11" s="122">
        <v>1629704983647</v>
      </c>
      <c r="R11" s="205">
        <f t="shared" si="1"/>
        <v>44431.326199618052</v>
      </c>
      <c r="S11" s="122" t="s">
        <v>1724</v>
      </c>
      <c r="T11" s="122" t="s">
        <v>1725</v>
      </c>
      <c r="U11" s="122" t="s">
        <v>1748</v>
      </c>
      <c r="V11" s="122" t="s">
        <v>1721</v>
      </c>
      <c r="W11" s="122" t="s">
        <v>1547</v>
      </c>
      <c r="X11" s="122" t="b">
        <v>1</v>
      </c>
      <c r="Y11" s="122" t="b">
        <v>0</v>
      </c>
      <c r="Z11" s="122" t="b">
        <v>0</v>
      </c>
      <c r="AA11" t="s">
        <v>1727</v>
      </c>
      <c r="AC11" t="s">
        <v>1727</v>
      </c>
      <c r="AE11" t="s">
        <v>1727</v>
      </c>
      <c r="AG11" t="str">
        <f>IF(_xlfn.XLOOKUP(B11,'DB - Identities'!U:U,'DB - Identities'!U:U,"ERROR")&lt;&gt;"ERROR","OK","ERROR")</f>
        <v>OK</v>
      </c>
    </row>
    <row r="12" spans="1:33" hidden="1">
      <c r="A12" s="122" t="s">
        <v>1749</v>
      </c>
      <c r="B12" s="122" t="s">
        <v>1473</v>
      </c>
      <c r="C12" s="122" t="s">
        <v>1721</v>
      </c>
      <c r="D12" s="122">
        <v>920515851</v>
      </c>
      <c r="E12" s="122" t="s">
        <v>1722</v>
      </c>
      <c r="F12" s="122" t="s">
        <v>1590</v>
      </c>
      <c r="G12" s="122"/>
      <c r="H12" s="122" t="b">
        <v>0</v>
      </c>
      <c r="I12" s="122" t="b">
        <v>1</v>
      </c>
      <c r="J12" t="s">
        <v>1750</v>
      </c>
      <c r="L12" s="122" t="s">
        <v>1750</v>
      </c>
      <c r="M12" s="122" t="s">
        <v>1723</v>
      </c>
      <c r="N12" s="122" t="b">
        <v>1</v>
      </c>
      <c r="O12" s="122">
        <v>1613010964721</v>
      </c>
      <c r="P12" s="205">
        <f t="shared" si="0"/>
        <v>44238.108387974535</v>
      </c>
      <c r="Q12" s="122">
        <v>1629453489790</v>
      </c>
      <c r="R12" s="205">
        <f t="shared" si="1"/>
        <v>44428.415391087961</v>
      </c>
      <c r="S12" s="122" t="s">
        <v>1751</v>
      </c>
      <c r="T12" s="122" t="s">
        <v>1725</v>
      </c>
      <c r="U12" s="122" t="s">
        <v>1752</v>
      </c>
      <c r="V12" s="122" t="s">
        <v>1721</v>
      </c>
      <c r="W12" s="122" t="s">
        <v>1473</v>
      </c>
      <c r="X12" s="122" t="b">
        <v>0</v>
      </c>
      <c r="Y12" s="122" t="b">
        <v>1</v>
      </c>
      <c r="Z12" s="122" t="b">
        <v>0</v>
      </c>
      <c r="AA12" t="s">
        <v>1727</v>
      </c>
      <c r="AC12" t="s">
        <v>1727</v>
      </c>
      <c r="AE12" t="s">
        <v>1727</v>
      </c>
      <c r="AG12" t="str">
        <f>IF(_xlfn.XLOOKUP(B12,'DB - Identities'!U:U,'DB - Identities'!U:U,"ERROR")&lt;&gt;"ERROR","OK","ERROR")</f>
        <v>ERROR</v>
      </c>
    </row>
    <row r="13" spans="1:33" hidden="1">
      <c r="A13" s="122" t="s">
        <v>1753</v>
      </c>
      <c r="B13" s="122" t="s">
        <v>1472</v>
      </c>
      <c r="C13" s="122" t="s">
        <v>1721</v>
      </c>
      <c r="D13" s="122">
        <v>601006853</v>
      </c>
      <c r="E13" s="122" t="s">
        <v>1722</v>
      </c>
      <c r="F13" t="s">
        <v>1047</v>
      </c>
      <c r="H13" s="122" t="b">
        <v>0</v>
      </c>
      <c r="I13" s="122" t="b">
        <v>1</v>
      </c>
      <c r="J13" t="s">
        <v>1047</v>
      </c>
      <c r="L13" s="122" t="s">
        <v>1047</v>
      </c>
      <c r="M13" s="122" t="s">
        <v>1723</v>
      </c>
      <c r="N13" s="122" t="b">
        <v>1</v>
      </c>
      <c r="O13" s="122">
        <v>1614161975381</v>
      </c>
      <c r="P13" s="205">
        <f t="shared" si="0"/>
        <v>44251.430270613433</v>
      </c>
      <c r="Q13" s="122">
        <v>1629453414365</v>
      </c>
      <c r="R13" s="205">
        <f t="shared" si="1"/>
        <v>44428.414518113423</v>
      </c>
      <c r="S13" s="122" t="s">
        <v>1751</v>
      </c>
      <c r="T13" s="122" t="s">
        <v>1725</v>
      </c>
      <c r="U13" s="122" t="s">
        <v>1754</v>
      </c>
      <c r="V13" s="122" t="s">
        <v>1721</v>
      </c>
      <c r="W13" s="122" t="s">
        <v>1472</v>
      </c>
      <c r="X13" s="122" t="b">
        <v>0</v>
      </c>
      <c r="Y13" s="122" t="b">
        <v>1</v>
      </c>
      <c r="Z13" s="122" t="b">
        <v>0</v>
      </c>
      <c r="AA13" t="s">
        <v>1727</v>
      </c>
      <c r="AC13" t="s">
        <v>1727</v>
      </c>
      <c r="AE13" t="s">
        <v>1727</v>
      </c>
      <c r="AG13" t="str">
        <f>IF(_xlfn.XLOOKUP(B13,'DB - Identities'!U:U,'DB - Identities'!U:U,"ERROR")&lt;&gt;"ERROR","OK","ERROR")</f>
        <v>ERROR</v>
      </c>
    </row>
    <row r="14" spans="1:33" hidden="1">
      <c r="A14" s="122" t="s">
        <v>1755</v>
      </c>
      <c r="B14" s="122" t="s">
        <v>1562</v>
      </c>
      <c r="C14" s="122" t="s">
        <v>1721</v>
      </c>
      <c r="D14" s="122">
        <v>340415874</v>
      </c>
      <c r="E14" s="122" t="s">
        <v>1729</v>
      </c>
      <c r="F14" t="s">
        <v>152</v>
      </c>
      <c r="H14" s="122" t="b">
        <v>0</v>
      </c>
      <c r="I14" s="122" t="b">
        <v>1</v>
      </c>
      <c r="J14" t="s">
        <v>152</v>
      </c>
      <c r="L14" s="122" t="s">
        <v>152</v>
      </c>
      <c r="M14" s="122" t="s">
        <v>1730</v>
      </c>
      <c r="N14" s="122" t="b">
        <v>0</v>
      </c>
      <c r="O14" s="122">
        <v>1619715219975</v>
      </c>
      <c r="P14" s="205">
        <f t="shared" si="0"/>
        <v>44315.703934895835</v>
      </c>
      <c r="Q14" s="122">
        <v>1629453350496</v>
      </c>
      <c r="R14" s="205">
        <f t="shared" si="1"/>
        <v>44428.413778888891</v>
      </c>
      <c r="S14" s="122" t="s">
        <v>1751</v>
      </c>
      <c r="T14" s="122" t="s">
        <v>1725</v>
      </c>
      <c r="U14" s="122" t="s">
        <v>1756</v>
      </c>
      <c r="V14" s="122" t="s">
        <v>1721</v>
      </c>
      <c r="W14" s="122" t="s">
        <v>1562</v>
      </c>
      <c r="X14" s="122" t="b">
        <v>0</v>
      </c>
      <c r="Y14" s="122" t="b">
        <v>1</v>
      </c>
      <c r="Z14" s="122" t="b">
        <v>0</v>
      </c>
      <c r="AA14" t="s">
        <v>1727</v>
      </c>
      <c r="AC14" t="s">
        <v>1727</v>
      </c>
      <c r="AE14" t="s">
        <v>1727</v>
      </c>
      <c r="AG14" t="str">
        <f>IF(_xlfn.XLOOKUP(B14,'DB - Identities'!U:U,'DB - Identities'!U:U,"ERROR")&lt;&gt;"ERROR","OK","ERROR")</f>
        <v>OK</v>
      </c>
    </row>
    <row r="15" spans="1:33">
      <c r="A15" s="122" t="s">
        <v>1757</v>
      </c>
      <c r="B15" s="122" t="s">
        <v>1536</v>
      </c>
      <c r="C15" s="122" t="s">
        <v>1721</v>
      </c>
      <c r="D15" s="122">
        <v>786604617</v>
      </c>
      <c r="E15" s="122" t="s">
        <v>1729</v>
      </c>
      <c r="F15" t="s">
        <v>372</v>
      </c>
      <c r="H15" s="122" t="b">
        <v>0</v>
      </c>
      <c r="I15" s="122" t="b">
        <v>1</v>
      </c>
      <c r="J15" t="s">
        <v>372</v>
      </c>
      <c r="L15" s="122" t="s">
        <v>372</v>
      </c>
      <c r="M15" s="122" t="s">
        <v>1730</v>
      </c>
      <c r="N15" s="122" t="b">
        <v>0</v>
      </c>
      <c r="O15" s="122">
        <v>1629362248045</v>
      </c>
      <c r="P15" s="205">
        <f t="shared" si="0"/>
        <v>44427.359352372689</v>
      </c>
      <c r="Q15" s="122">
        <v>1629424018830</v>
      </c>
      <c r="R15" s="205">
        <f t="shared" si="1"/>
        <v>44428.074292013887</v>
      </c>
      <c r="S15" s="122" t="s">
        <v>1724</v>
      </c>
      <c r="T15" s="122" t="s">
        <v>1725</v>
      </c>
      <c r="U15" s="122" t="s">
        <v>1758</v>
      </c>
      <c r="V15" s="122" t="s">
        <v>1721</v>
      </c>
      <c r="W15" s="122" t="s">
        <v>1536</v>
      </c>
      <c r="X15" s="122" t="b">
        <v>1</v>
      </c>
      <c r="Y15" s="122" t="b">
        <v>0</v>
      </c>
      <c r="Z15" s="122" t="b">
        <v>0</v>
      </c>
      <c r="AA15" t="s">
        <v>1727</v>
      </c>
      <c r="AC15" t="s">
        <v>1727</v>
      </c>
      <c r="AE15" t="s">
        <v>1727</v>
      </c>
      <c r="AG15" t="str">
        <f>IF(_xlfn.XLOOKUP(B15,'DB - Identities'!U:U,'DB - Identities'!U:U,"ERROR")&lt;&gt;"ERROR","OK","ERROR")</f>
        <v>OK</v>
      </c>
    </row>
    <row r="16" spans="1:33">
      <c r="A16" s="122" t="s">
        <v>1759</v>
      </c>
      <c r="B16" s="122" t="s">
        <v>1534</v>
      </c>
      <c r="C16" s="122" t="s">
        <v>1721</v>
      </c>
      <c r="D16" s="122">
        <v>187135132</v>
      </c>
      <c r="E16" s="122" t="s">
        <v>1722</v>
      </c>
      <c r="F16" t="s">
        <v>1284</v>
      </c>
      <c r="H16" s="122" t="b">
        <v>0</v>
      </c>
      <c r="I16" s="122" t="b">
        <v>1</v>
      </c>
      <c r="J16" t="s">
        <v>1284</v>
      </c>
      <c r="L16" s="122" t="s">
        <v>1284</v>
      </c>
      <c r="M16" s="122" t="s">
        <v>1723</v>
      </c>
      <c r="N16" s="122" t="b">
        <v>1</v>
      </c>
      <c r="O16" s="122">
        <v>1629101932022</v>
      </c>
      <c r="P16" s="205">
        <f t="shared" si="0"/>
        <v>44424.346435439817</v>
      </c>
      <c r="Q16" s="122">
        <v>1629197164464</v>
      </c>
      <c r="R16" s="205">
        <f t="shared" si="1"/>
        <v>44425.448662777781</v>
      </c>
      <c r="S16" s="122" t="s">
        <v>1724</v>
      </c>
      <c r="T16" s="122" t="s">
        <v>1725</v>
      </c>
      <c r="U16" s="122" t="s">
        <v>1760</v>
      </c>
      <c r="V16" s="122" t="s">
        <v>1721</v>
      </c>
      <c r="W16" s="122" t="s">
        <v>1534</v>
      </c>
      <c r="X16" s="122" t="b">
        <v>1</v>
      </c>
      <c r="Y16" s="122" t="b">
        <v>0</v>
      </c>
      <c r="Z16" s="122" t="b">
        <v>0</v>
      </c>
      <c r="AA16" t="s">
        <v>1727</v>
      </c>
      <c r="AC16" t="s">
        <v>1727</v>
      </c>
      <c r="AE16" t="s">
        <v>1727</v>
      </c>
      <c r="AG16" t="str">
        <f>IF(_xlfn.XLOOKUP(B16,'DB - Identities'!U:U,'DB - Identities'!U:U,"ERROR")&lt;&gt;"ERROR","OK","ERROR")</f>
        <v>OK</v>
      </c>
    </row>
    <row r="17" spans="1:33">
      <c r="A17" s="122" t="s">
        <v>1761</v>
      </c>
      <c r="B17" s="122" t="s">
        <v>1537</v>
      </c>
      <c r="C17" s="122" t="s">
        <v>1721</v>
      </c>
      <c r="D17" s="122">
        <v>157362304</v>
      </c>
      <c r="E17" s="122" t="s">
        <v>1729</v>
      </c>
      <c r="F17" t="s">
        <v>358</v>
      </c>
      <c r="H17" s="122" t="b">
        <v>0</v>
      </c>
      <c r="I17" s="122" t="b">
        <v>1</v>
      </c>
      <c r="J17" t="s">
        <v>358</v>
      </c>
      <c r="L17" s="122" t="s">
        <v>358</v>
      </c>
      <c r="M17" s="122" t="s">
        <v>1730</v>
      </c>
      <c r="N17" s="122" t="b">
        <v>0</v>
      </c>
      <c r="O17" s="122">
        <v>1629103748689</v>
      </c>
      <c r="P17" s="205">
        <f t="shared" si="0"/>
        <v>44424.367461678237</v>
      </c>
      <c r="Q17" s="122">
        <v>1629196630323</v>
      </c>
      <c r="R17" s="205">
        <f t="shared" si="1"/>
        <v>44425.442480590282</v>
      </c>
      <c r="S17" s="122" t="s">
        <v>1724</v>
      </c>
      <c r="T17" s="122" t="s">
        <v>1725</v>
      </c>
      <c r="U17" s="122" t="s">
        <v>1762</v>
      </c>
      <c r="V17" s="122" t="s">
        <v>1721</v>
      </c>
      <c r="W17" s="122" t="s">
        <v>1537</v>
      </c>
      <c r="X17" s="122" t="b">
        <v>1</v>
      </c>
      <c r="Y17" s="122" t="b">
        <v>0</v>
      </c>
      <c r="Z17" s="122" t="b">
        <v>0</v>
      </c>
      <c r="AA17" t="s">
        <v>1727</v>
      </c>
      <c r="AC17" t="s">
        <v>1727</v>
      </c>
      <c r="AE17" t="s">
        <v>1727</v>
      </c>
      <c r="AG17" t="str">
        <f>IF(_xlfn.XLOOKUP(B17,'DB - Identities'!U:U,'DB - Identities'!U:U,"ERROR")&lt;&gt;"ERROR","OK","ERROR")</f>
        <v>OK</v>
      </c>
    </row>
    <row r="18" spans="1:33">
      <c r="A18" s="122" t="s">
        <v>1763</v>
      </c>
      <c r="B18" s="122" t="s">
        <v>1525</v>
      </c>
      <c r="C18" s="122" t="s">
        <v>1721</v>
      </c>
      <c r="D18" s="122">
        <v>863576436</v>
      </c>
      <c r="E18" s="122" t="s">
        <v>1729</v>
      </c>
      <c r="F18" t="s">
        <v>1277</v>
      </c>
      <c r="H18" s="122" t="b">
        <v>0</v>
      </c>
      <c r="I18" s="122" t="b">
        <v>1</v>
      </c>
      <c r="J18" t="s">
        <v>1277</v>
      </c>
      <c r="L18" s="122" t="s">
        <v>1277</v>
      </c>
      <c r="M18" s="122" t="s">
        <v>1730</v>
      </c>
      <c r="N18" s="122" t="b">
        <v>0</v>
      </c>
      <c r="O18" s="122">
        <v>1629103014137</v>
      </c>
      <c r="P18" s="205">
        <f t="shared" si="0"/>
        <v>44424.358959918987</v>
      </c>
      <c r="Q18" s="122">
        <v>1629196492059</v>
      </c>
      <c r="R18" s="205">
        <f t="shared" si="1"/>
        <v>44425.440880312497</v>
      </c>
      <c r="S18" s="122" t="s">
        <v>1724</v>
      </c>
      <c r="T18" s="122" t="s">
        <v>1725</v>
      </c>
      <c r="U18" s="122" t="s">
        <v>1764</v>
      </c>
      <c r="V18" s="122" t="s">
        <v>1721</v>
      </c>
      <c r="W18" s="122" t="s">
        <v>1525</v>
      </c>
      <c r="X18" s="122" t="b">
        <v>1</v>
      </c>
      <c r="Y18" s="122" t="b">
        <v>0</v>
      </c>
      <c r="Z18" s="122" t="b">
        <v>0</v>
      </c>
      <c r="AA18" t="s">
        <v>1727</v>
      </c>
      <c r="AC18" t="s">
        <v>1727</v>
      </c>
      <c r="AE18" t="s">
        <v>1727</v>
      </c>
      <c r="AG18" t="str">
        <f>IF(_xlfn.XLOOKUP(B18,'DB - Identities'!U:U,'DB - Identities'!U:U,"ERROR")&lt;&gt;"ERROR","OK","ERROR")</f>
        <v>OK</v>
      </c>
    </row>
    <row r="19" spans="1:33">
      <c r="A19" s="122" t="s">
        <v>1765</v>
      </c>
      <c r="B19" s="122" t="s">
        <v>1546</v>
      </c>
      <c r="C19" s="122" t="s">
        <v>1721</v>
      </c>
      <c r="D19" s="122">
        <v>627200948</v>
      </c>
      <c r="E19" s="122" t="s">
        <v>1729</v>
      </c>
      <c r="F19" t="s">
        <v>1271</v>
      </c>
      <c r="H19" s="122" t="b">
        <v>0</v>
      </c>
      <c r="I19" s="122" t="b">
        <v>1</v>
      </c>
      <c r="J19" t="s">
        <v>1271</v>
      </c>
      <c r="L19" s="122" t="s">
        <v>1271</v>
      </c>
      <c r="M19" s="122" t="s">
        <v>1730</v>
      </c>
      <c r="N19" s="122" t="b">
        <v>0</v>
      </c>
      <c r="O19" s="122">
        <v>1628669262783</v>
      </c>
      <c r="P19" s="205">
        <f t="shared" si="0"/>
        <v>44419.33868961806</v>
      </c>
      <c r="Q19" s="122">
        <v>1628676633020</v>
      </c>
      <c r="R19" s="205">
        <f t="shared" si="1"/>
        <v>44419.423993287041</v>
      </c>
      <c r="S19" s="122" t="s">
        <v>1724</v>
      </c>
      <c r="T19" s="122" t="s">
        <v>1725</v>
      </c>
      <c r="U19" s="122" t="s">
        <v>1766</v>
      </c>
      <c r="V19" s="122" t="s">
        <v>1721</v>
      </c>
      <c r="W19" s="122" t="s">
        <v>1546</v>
      </c>
      <c r="X19" s="122" t="b">
        <v>1</v>
      </c>
      <c r="Y19" s="122" t="b">
        <v>0</v>
      </c>
      <c r="Z19" s="122" t="b">
        <v>0</v>
      </c>
      <c r="AA19" t="s">
        <v>1727</v>
      </c>
      <c r="AC19" t="s">
        <v>1727</v>
      </c>
      <c r="AE19" t="s">
        <v>1727</v>
      </c>
      <c r="AG19" t="str">
        <f>IF(_xlfn.XLOOKUP(B19,'DB - Identities'!U:U,'DB - Identities'!U:U,"ERROR")&lt;&gt;"ERROR","OK","ERROR")</f>
        <v>OK</v>
      </c>
    </row>
    <row r="20" spans="1:33">
      <c r="A20" s="122" t="s">
        <v>1767</v>
      </c>
      <c r="B20" s="122" t="s">
        <v>1529</v>
      </c>
      <c r="C20" s="122" t="s">
        <v>1721</v>
      </c>
      <c r="D20" s="122">
        <v>755701683</v>
      </c>
      <c r="E20" s="122" t="s">
        <v>1729</v>
      </c>
      <c r="F20" t="s">
        <v>1268</v>
      </c>
      <c r="H20" s="122" t="b">
        <v>0</v>
      </c>
      <c r="I20" s="122" t="b">
        <v>1</v>
      </c>
      <c r="J20" t="s">
        <v>1268</v>
      </c>
      <c r="L20" s="122" t="s">
        <v>1268</v>
      </c>
      <c r="M20" s="122" t="s">
        <v>1730</v>
      </c>
      <c r="N20" s="122" t="b">
        <v>0</v>
      </c>
      <c r="O20" s="122">
        <v>1628588243753</v>
      </c>
      <c r="P20" s="205">
        <f t="shared" si="0"/>
        <v>44418.400969363429</v>
      </c>
      <c r="Q20" s="122">
        <v>1628590573513</v>
      </c>
      <c r="R20" s="205">
        <f t="shared" si="1"/>
        <v>44418.427934178239</v>
      </c>
      <c r="S20" s="122" t="s">
        <v>1724</v>
      </c>
      <c r="T20" s="122" t="s">
        <v>1725</v>
      </c>
      <c r="U20" s="122" t="s">
        <v>1768</v>
      </c>
      <c r="V20" s="122" t="s">
        <v>1721</v>
      </c>
      <c r="W20" s="122" t="s">
        <v>1529</v>
      </c>
      <c r="X20" s="122" t="b">
        <v>1</v>
      </c>
      <c r="Y20" s="122" t="b">
        <v>0</v>
      </c>
      <c r="Z20" s="122" t="b">
        <v>0</v>
      </c>
      <c r="AA20" t="s">
        <v>1727</v>
      </c>
      <c r="AC20" t="s">
        <v>1727</v>
      </c>
      <c r="AE20" t="s">
        <v>1727</v>
      </c>
      <c r="AG20" t="str">
        <f>IF(_xlfn.XLOOKUP(B20,'DB - Identities'!U:U,'DB - Identities'!U:U,"ERROR")&lt;&gt;"ERROR","OK","ERROR")</f>
        <v>OK</v>
      </c>
    </row>
    <row r="21" spans="1:33">
      <c r="A21" s="122" t="s">
        <v>1769</v>
      </c>
      <c r="B21" s="122" t="s">
        <v>1563</v>
      </c>
      <c r="C21" s="122" t="s">
        <v>1721</v>
      </c>
      <c r="D21" s="122">
        <v>180770833</v>
      </c>
      <c r="E21" s="122" t="s">
        <v>1729</v>
      </c>
      <c r="F21" t="s">
        <v>324</v>
      </c>
      <c r="H21" s="122" t="b">
        <v>0</v>
      </c>
      <c r="I21" s="122" t="b">
        <v>1</v>
      </c>
      <c r="J21" t="s">
        <v>324</v>
      </c>
      <c r="L21" s="122" t="s">
        <v>324</v>
      </c>
      <c r="M21" s="122" t="s">
        <v>1730</v>
      </c>
      <c r="N21" s="122" t="b">
        <v>0</v>
      </c>
      <c r="O21" s="122">
        <v>1628572077321</v>
      </c>
      <c r="P21" s="205">
        <f t="shared" si="0"/>
        <v>44418.213857881943</v>
      </c>
      <c r="Q21" s="122">
        <v>1628590519079</v>
      </c>
      <c r="R21" s="205">
        <f t="shared" si="1"/>
        <v>44418.427304155091</v>
      </c>
      <c r="S21" s="122" t="s">
        <v>1724</v>
      </c>
      <c r="T21" s="122" t="s">
        <v>1725</v>
      </c>
      <c r="U21" s="122" t="s">
        <v>1770</v>
      </c>
      <c r="V21" s="122" t="s">
        <v>1721</v>
      </c>
      <c r="W21" s="122" t="s">
        <v>1563</v>
      </c>
      <c r="X21" s="122" t="b">
        <v>1</v>
      </c>
      <c r="Y21" s="122" t="b">
        <v>0</v>
      </c>
      <c r="Z21" s="122" t="b">
        <v>0</v>
      </c>
      <c r="AA21" t="s">
        <v>1727</v>
      </c>
      <c r="AC21" t="s">
        <v>1727</v>
      </c>
      <c r="AE21" t="s">
        <v>1727</v>
      </c>
      <c r="AG21" t="str">
        <f>IF(_xlfn.XLOOKUP(B21,'DB - Identities'!U:U,'DB - Identities'!U:U,"ERROR")&lt;&gt;"ERROR","OK","ERROR")</f>
        <v>OK</v>
      </c>
    </row>
    <row r="22" spans="1:33">
      <c r="A22" s="122" t="s">
        <v>1771</v>
      </c>
      <c r="B22" s="122" t="s">
        <v>1557</v>
      </c>
      <c r="C22" s="122" t="s">
        <v>1721</v>
      </c>
      <c r="D22" s="122">
        <v>214986782</v>
      </c>
      <c r="E22" s="122" t="s">
        <v>1729</v>
      </c>
      <c r="F22" t="s">
        <v>1259</v>
      </c>
      <c r="H22" s="122" t="b">
        <v>0</v>
      </c>
      <c r="I22" s="122" t="b">
        <v>1</v>
      </c>
      <c r="J22" t="s">
        <v>1259</v>
      </c>
      <c r="L22" s="122" t="s">
        <v>1259</v>
      </c>
      <c r="M22" s="122" t="s">
        <v>1730</v>
      </c>
      <c r="N22" s="122" t="b">
        <v>0</v>
      </c>
      <c r="O22" s="122">
        <v>1628074841643</v>
      </c>
      <c r="P22" s="205">
        <f t="shared" si="0"/>
        <v>44412.458815312501</v>
      </c>
      <c r="Q22" s="122">
        <v>1628181453413</v>
      </c>
      <c r="R22" s="205">
        <f t="shared" si="1"/>
        <v>44413.692747835652</v>
      </c>
      <c r="S22" s="122" t="s">
        <v>1724</v>
      </c>
      <c r="T22" s="122" t="s">
        <v>1725</v>
      </c>
      <c r="U22" s="122" t="s">
        <v>1772</v>
      </c>
      <c r="V22" s="122" t="s">
        <v>1721</v>
      </c>
      <c r="W22" s="122" t="s">
        <v>1557</v>
      </c>
      <c r="X22" s="122" t="b">
        <v>1</v>
      </c>
      <c r="Y22" s="122" t="b">
        <v>0</v>
      </c>
      <c r="Z22" s="122" t="b">
        <v>0</v>
      </c>
      <c r="AA22" t="s">
        <v>1727</v>
      </c>
      <c r="AC22" t="s">
        <v>1727</v>
      </c>
      <c r="AE22" t="s">
        <v>1727</v>
      </c>
      <c r="AG22" t="str">
        <f>IF(_xlfn.XLOOKUP(B22,'DB - Identities'!U:U,'DB - Identities'!U:U,"ERROR")&lt;&gt;"ERROR","OK","ERROR")</f>
        <v>OK</v>
      </c>
    </row>
    <row r="23" spans="1:33">
      <c r="A23" s="122" t="s">
        <v>1773</v>
      </c>
      <c r="B23" s="122" t="s">
        <v>1509</v>
      </c>
      <c r="C23" s="122" t="s">
        <v>1721</v>
      </c>
      <c r="D23" s="122">
        <v>698169473</v>
      </c>
      <c r="E23" s="122" t="s">
        <v>1729</v>
      </c>
      <c r="F23" t="s">
        <v>310</v>
      </c>
      <c r="H23" s="122" t="b">
        <v>0</v>
      </c>
      <c r="I23" s="122" t="b">
        <v>1</v>
      </c>
      <c r="J23" t="s">
        <v>310</v>
      </c>
      <c r="L23" s="122" t="s">
        <v>310</v>
      </c>
      <c r="M23" s="122" t="s">
        <v>1730</v>
      </c>
      <c r="N23" s="122" t="b">
        <v>0</v>
      </c>
      <c r="O23" s="122">
        <v>1628160617408</v>
      </c>
      <c r="P23" s="205">
        <f t="shared" si="0"/>
        <v>44413.451590370372</v>
      </c>
      <c r="Q23" s="122">
        <v>1628171964018</v>
      </c>
      <c r="R23" s="205">
        <f t="shared" si="1"/>
        <v>44413.582916874999</v>
      </c>
      <c r="S23" s="122" t="s">
        <v>1724</v>
      </c>
      <c r="T23" s="122" t="s">
        <v>1725</v>
      </c>
      <c r="U23" s="122" t="s">
        <v>1774</v>
      </c>
      <c r="V23" s="122" t="s">
        <v>1721</v>
      </c>
      <c r="W23" s="122" t="s">
        <v>1509</v>
      </c>
      <c r="X23" s="122" t="b">
        <v>1</v>
      </c>
      <c r="Y23" s="122" t="b">
        <v>0</v>
      </c>
      <c r="Z23" s="122" t="b">
        <v>0</v>
      </c>
      <c r="AA23" t="s">
        <v>1727</v>
      </c>
      <c r="AC23" t="s">
        <v>1727</v>
      </c>
      <c r="AE23" t="s">
        <v>1727</v>
      </c>
      <c r="AG23" t="str">
        <f>IF(_xlfn.XLOOKUP(B23,'DB - Identities'!U:U,'DB - Identities'!U:U,"ERROR")&lt;&gt;"ERROR","OK","ERROR")</f>
        <v>OK</v>
      </c>
    </row>
    <row r="24" spans="1:33">
      <c r="A24" s="122" t="s">
        <v>1775</v>
      </c>
      <c r="B24" s="122" t="s">
        <v>1508</v>
      </c>
      <c r="C24" s="122" t="s">
        <v>1721</v>
      </c>
      <c r="D24" s="122">
        <v>839391795</v>
      </c>
      <c r="E24" s="122" t="s">
        <v>1729</v>
      </c>
      <c r="F24" t="s">
        <v>1256</v>
      </c>
      <c r="H24" s="122" t="b">
        <v>0</v>
      </c>
      <c r="I24" s="122" t="b">
        <v>1</v>
      </c>
      <c r="J24" t="s">
        <v>1256</v>
      </c>
      <c r="L24" s="122" t="s">
        <v>1256</v>
      </c>
      <c r="M24" s="122" t="s">
        <v>1730</v>
      </c>
      <c r="N24" s="122" t="b">
        <v>0</v>
      </c>
      <c r="O24" s="122">
        <v>1628075845127</v>
      </c>
      <c r="P24" s="205">
        <f t="shared" si="0"/>
        <v>44412.470429710651</v>
      </c>
      <c r="Q24" s="122">
        <v>1628082097323</v>
      </c>
      <c r="R24" s="205">
        <f t="shared" si="1"/>
        <v>44412.542793090281</v>
      </c>
      <c r="S24" s="122" t="s">
        <v>1724</v>
      </c>
      <c r="T24" s="122" t="s">
        <v>1725</v>
      </c>
      <c r="U24" s="122" t="s">
        <v>1776</v>
      </c>
      <c r="V24" s="122" t="s">
        <v>1721</v>
      </c>
      <c r="W24" s="122" t="s">
        <v>1508</v>
      </c>
      <c r="X24" s="122" t="b">
        <v>1</v>
      </c>
      <c r="Y24" s="122" t="b">
        <v>0</v>
      </c>
      <c r="Z24" s="122" t="b">
        <v>0</v>
      </c>
      <c r="AA24" t="s">
        <v>1727</v>
      </c>
      <c r="AC24" t="s">
        <v>1727</v>
      </c>
      <c r="AE24" t="s">
        <v>1727</v>
      </c>
      <c r="AG24" t="str">
        <f>IF(_xlfn.XLOOKUP(B24,'DB - Identities'!U:U,'DB - Identities'!U:U,"ERROR")&lt;&gt;"ERROR","OK","ERROR")</f>
        <v>OK</v>
      </c>
    </row>
    <row r="25" spans="1:33">
      <c r="A25" s="122" t="s">
        <v>1777</v>
      </c>
      <c r="B25" s="122" t="s">
        <v>1490</v>
      </c>
      <c r="C25" s="122" t="s">
        <v>1721</v>
      </c>
      <c r="D25" s="122">
        <v>479280980</v>
      </c>
      <c r="E25" s="122" t="s">
        <v>1722</v>
      </c>
      <c r="F25" s="122" t="s">
        <v>564</v>
      </c>
      <c r="G25" s="122"/>
      <c r="H25" s="122" t="b">
        <v>0</v>
      </c>
      <c r="I25" s="122" t="b">
        <v>1</v>
      </c>
      <c r="J25" t="s">
        <v>1750</v>
      </c>
      <c r="L25" s="122" t="s">
        <v>1750</v>
      </c>
      <c r="M25" s="122" t="s">
        <v>1723</v>
      </c>
      <c r="N25" s="122" t="b">
        <v>1</v>
      </c>
      <c r="O25" s="122">
        <v>1627653828361</v>
      </c>
      <c r="P25" s="205">
        <f t="shared" si="0"/>
        <v>44407.585976400464</v>
      </c>
      <c r="Q25" s="122">
        <v>1627655197257</v>
      </c>
      <c r="R25" s="205">
        <f t="shared" si="1"/>
        <v>44407.601820104166</v>
      </c>
      <c r="S25" s="122" t="s">
        <v>1724</v>
      </c>
      <c r="T25" s="122" t="s">
        <v>1725</v>
      </c>
      <c r="U25" s="122" t="s">
        <v>1778</v>
      </c>
      <c r="V25" s="122" t="s">
        <v>1721</v>
      </c>
      <c r="W25" s="122" t="s">
        <v>1490</v>
      </c>
      <c r="X25" s="122" t="b">
        <v>1</v>
      </c>
      <c r="Y25" s="122" t="b">
        <v>0</v>
      </c>
      <c r="Z25" s="122" t="b">
        <v>0</v>
      </c>
      <c r="AA25" t="s">
        <v>1727</v>
      </c>
      <c r="AC25" t="s">
        <v>1727</v>
      </c>
      <c r="AE25" t="s">
        <v>1727</v>
      </c>
      <c r="AG25" t="str">
        <f>IF(_xlfn.XLOOKUP(B25,'DB - Identities'!U:U,'DB - Identities'!U:U,"ERROR")&lt;&gt;"ERROR","OK","ERROR")</f>
        <v>OK</v>
      </c>
    </row>
    <row r="26" spans="1:33">
      <c r="A26" s="122" t="s">
        <v>1779</v>
      </c>
      <c r="B26" s="122" t="s">
        <v>1489</v>
      </c>
      <c r="C26" s="122" t="s">
        <v>1721</v>
      </c>
      <c r="D26" s="122">
        <v>509447106</v>
      </c>
      <c r="E26" s="122" t="s">
        <v>1722</v>
      </c>
      <c r="F26" t="s">
        <v>1046</v>
      </c>
      <c r="H26" s="122" t="b">
        <v>0</v>
      </c>
      <c r="I26" s="122" t="b">
        <v>1</v>
      </c>
      <c r="J26" t="s">
        <v>1047</v>
      </c>
      <c r="L26" s="122" t="s">
        <v>1047</v>
      </c>
      <c r="M26" s="122" t="s">
        <v>1723</v>
      </c>
      <c r="N26" s="122" t="b">
        <v>1</v>
      </c>
      <c r="O26" s="122">
        <v>1627652286012</v>
      </c>
      <c r="P26" s="205">
        <f t="shared" si="0"/>
        <v>44407.568125138889</v>
      </c>
      <c r="Q26" s="122">
        <v>1627655107804</v>
      </c>
      <c r="R26" s="205">
        <f t="shared" si="1"/>
        <v>44407.600784768518</v>
      </c>
      <c r="S26" s="122" t="s">
        <v>1724</v>
      </c>
      <c r="T26" s="122" t="s">
        <v>1725</v>
      </c>
      <c r="U26" s="122" t="s">
        <v>1780</v>
      </c>
      <c r="V26" s="122" t="s">
        <v>1721</v>
      </c>
      <c r="W26" s="122" t="s">
        <v>1489</v>
      </c>
      <c r="X26" s="122" t="b">
        <v>1</v>
      </c>
      <c r="Y26" s="122" t="b">
        <v>0</v>
      </c>
      <c r="Z26" s="122" t="b">
        <v>0</v>
      </c>
      <c r="AA26" t="s">
        <v>1727</v>
      </c>
      <c r="AC26" t="s">
        <v>1727</v>
      </c>
      <c r="AE26" t="s">
        <v>1727</v>
      </c>
      <c r="AG26" t="str">
        <f>IF(_xlfn.XLOOKUP(B26,'DB - Identities'!U:U,'DB - Identities'!U:U,"ERROR")&lt;&gt;"ERROR","OK","ERROR")</f>
        <v>OK</v>
      </c>
    </row>
    <row r="27" spans="1:33">
      <c r="A27" s="122" t="s">
        <v>1781</v>
      </c>
      <c r="B27" s="122" t="s">
        <v>1538</v>
      </c>
      <c r="C27" s="122" t="s">
        <v>1721</v>
      </c>
      <c r="D27" s="122">
        <v>160967364</v>
      </c>
      <c r="E27" s="122" t="s">
        <v>1729</v>
      </c>
      <c r="F27" t="s">
        <v>1244</v>
      </c>
      <c r="H27" s="122" t="b">
        <v>0</v>
      </c>
      <c r="I27" s="122" t="b">
        <v>1</v>
      </c>
      <c r="J27" t="s">
        <v>1244</v>
      </c>
      <c r="L27" s="122" t="s">
        <v>1244</v>
      </c>
      <c r="M27" s="122" t="s">
        <v>1730</v>
      </c>
      <c r="N27" s="122" t="b">
        <v>0</v>
      </c>
      <c r="O27" s="122">
        <v>1627479502169</v>
      </c>
      <c r="P27" s="205">
        <f t="shared" si="0"/>
        <v>44405.5683121412</v>
      </c>
      <c r="Q27" s="122">
        <v>1627523967091</v>
      </c>
      <c r="R27" s="205">
        <f t="shared" si="1"/>
        <v>44406.082952442128</v>
      </c>
      <c r="S27" s="122" t="s">
        <v>1724</v>
      </c>
      <c r="T27" s="122" t="s">
        <v>1725</v>
      </c>
      <c r="U27" s="122" t="s">
        <v>1782</v>
      </c>
      <c r="V27" s="122" t="s">
        <v>1721</v>
      </c>
      <c r="W27" s="122" t="s">
        <v>1538</v>
      </c>
      <c r="X27" s="122" t="b">
        <v>1</v>
      </c>
      <c r="Y27" s="122" t="b">
        <v>0</v>
      </c>
      <c r="Z27" s="122" t="b">
        <v>0</v>
      </c>
      <c r="AA27" t="s">
        <v>1727</v>
      </c>
      <c r="AC27" t="s">
        <v>1727</v>
      </c>
      <c r="AE27" t="s">
        <v>1727</v>
      </c>
      <c r="AG27" t="str">
        <f>IF(_xlfn.XLOOKUP(B27,'DB - Identities'!U:U,'DB - Identities'!U:U,"ERROR")&lt;&gt;"ERROR","OK","ERROR")</f>
        <v>OK</v>
      </c>
    </row>
    <row r="28" spans="1:33">
      <c r="A28" s="122" t="s">
        <v>1783</v>
      </c>
      <c r="B28" s="122" t="s">
        <v>1552</v>
      </c>
      <c r="C28" s="122" t="s">
        <v>1721</v>
      </c>
      <c r="D28" s="122">
        <v>672528621</v>
      </c>
      <c r="E28" s="122" t="s">
        <v>1729</v>
      </c>
      <c r="F28" t="s">
        <v>1253</v>
      </c>
      <c r="H28" s="122" t="b">
        <v>0</v>
      </c>
      <c r="I28" s="122" t="b">
        <v>1</v>
      </c>
      <c r="J28" t="s">
        <v>1253</v>
      </c>
      <c r="L28" s="122" t="s">
        <v>1253</v>
      </c>
      <c r="M28" s="122" t="s">
        <v>1730</v>
      </c>
      <c r="N28" s="122" t="b">
        <v>0</v>
      </c>
      <c r="O28" s="122">
        <v>1627456700515</v>
      </c>
      <c r="P28" s="205">
        <f t="shared" si="0"/>
        <v>44405.3044041088</v>
      </c>
      <c r="Q28" s="122">
        <v>1627464613220</v>
      </c>
      <c r="R28" s="205">
        <f t="shared" si="1"/>
        <v>44405.395986342599</v>
      </c>
      <c r="S28" s="122" t="s">
        <v>1724</v>
      </c>
      <c r="T28" s="122" t="s">
        <v>1725</v>
      </c>
      <c r="U28" s="122" t="s">
        <v>1784</v>
      </c>
      <c r="V28" s="122" t="s">
        <v>1721</v>
      </c>
      <c r="W28" s="122" t="s">
        <v>1552</v>
      </c>
      <c r="X28" s="122" t="b">
        <v>1</v>
      </c>
      <c r="Y28" s="122" t="b">
        <v>0</v>
      </c>
      <c r="Z28" s="122" t="b">
        <v>0</v>
      </c>
      <c r="AA28" t="s">
        <v>1727</v>
      </c>
      <c r="AC28" t="s">
        <v>1727</v>
      </c>
      <c r="AE28" t="s">
        <v>1727</v>
      </c>
      <c r="AG28" t="str">
        <f>IF(_xlfn.XLOOKUP(B28,'DB - Identities'!U:U,'DB - Identities'!U:U,"ERROR")&lt;&gt;"ERROR","OK","ERROR")</f>
        <v>OK</v>
      </c>
    </row>
    <row r="29" spans="1:33">
      <c r="A29" s="122" t="s">
        <v>1785</v>
      </c>
      <c r="B29" s="122" t="s">
        <v>1555</v>
      </c>
      <c r="C29" s="122" t="s">
        <v>1721</v>
      </c>
      <c r="D29" s="122">
        <v>697593286</v>
      </c>
      <c r="E29" s="122" t="s">
        <v>1722</v>
      </c>
      <c r="F29" t="s">
        <v>1248</v>
      </c>
      <c r="H29" s="122" t="b">
        <v>0</v>
      </c>
      <c r="I29" s="122" t="b">
        <v>1</v>
      </c>
      <c r="J29" t="s">
        <v>1248</v>
      </c>
      <c r="L29" s="122" t="s">
        <v>1248</v>
      </c>
      <c r="M29" s="122" t="s">
        <v>1723</v>
      </c>
      <c r="N29" s="122" t="b">
        <v>1</v>
      </c>
      <c r="O29" s="122">
        <v>1627457311099</v>
      </c>
      <c r="P29" s="205">
        <f t="shared" si="0"/>
        <v>44405.311471053239</v>
      </c>
      <c r="Q29" s="122">
        <v>1627464525208</v>
      </c>
      <c r="R29" s="205">
        <f t="shared" si="1"/>
        <v>44405.394967685184</v>
      </c>
      <c r="S29" s="122" t="s">
        <v>1724</v>
      </c>
      <c r="T29" s="122" t="s">
        <v>1725</v>
      </c>
      <c r="U29" s="122" t="s">
        <v>1786</v>
      </c>
      <c r="V29" s="122" t="s">
        <v>1721</v>
      </c>
      <c r="W29" s="122" t="s">
        <v>1555</v>
      </c>
      <c r="X29" s="122" t="b">
        <v>1</v>
      </c>
      <c r="Y29" s="122" t="b">
        <v>0</v>
      </c>
      <c r="Z29" s="122" t="b">
        <v>0</v>
      </c>
      <c r="AA29" t="s">
        <v>1727</v>
      </c>
      <c r="AC29" t="s">
        <v>1727</v>
      </c>
      <c r="AE29" t="s">
        <v>1727</v>
      </c>
      <c r="AG29" t="str">
        <f>IF(_xlfn.XLOOKUP(B29,'DB - Identities'!U:U,'DB - Identities'!U:U,"ERROR")&lt;&gt;"ERROR","OK","ERROR")</f>
        <v>OK</v>
      </c>
    </row>
    <row r="30" spans="1:33">
      <c r="A30" s="122" t="s">
        <v>1787</v>
      </c>
      <c r="B30" s="122" t="s">
        <v>1539</v>
      </c>
      <c r="C30" s="122" t="s">
        <v>1721</v>
      </c>
      <c r="D30" s="122">
        <v>242720749</v>
      </c>
      <c r="E30" s="122" t="s">
        <v>1729</v>
      </c>
      <c r="F30" t="s">
        <v>245</v>
      </c>
      <c r="H30" s="122" t="b">
        <v>0</v>
      </c>
      <c r="I30" s="122" t="b">
        <v>1</v>
      </c>
      <c r="J30" t="s">
        <v>245</v>
      </c>
      <c r="L30" s="122" t="s">
        <v>245</v>
      </c>
      <c r="M30" s="122" t="s">
        <v>1730</v>
      </c>
      <c r="N30" s="122" t="b">
        <v>0</v>
      </c>
      <c r="O30" s="122">
        <v>1627364308282</v>
      </c>
      <c r="P30" s="205">
        <f t="shared" si="0"/>
        <v>44404.235049560186</v>
      </c>
      <c r="Q30" s="122">
        <v>1627379730543</v>
      </c>
      <c r="R30" s="205">
        <f t="shared" si="1"/>
        <v>44404.413547951393</v>
      </c>
      <c r="S30" s="122" t="s">
        <v>1724</v>
      </c>
      <c r="T30" s="122" t="s">
        <v>1725</v>
      </c>
      <c r="U30" s="122" t="s">
        <v>1788</v>
      </c>
      <c r="V30" s="122" t="s">
        <v>1721</v>
      </c>
      <c r="W30" s="122" t="s">
        <v>1539</v>
      </c>
      <c r="X30" s="122" t="b">
        <v>1</v>
      </c>
      <c r="Y30" s="122" t="b">
        <v>0</v>
      </c>
      <c r="Z30" s="122" t="b">
        <v>0</v>
      </c>
      <c r="AA30" t="s">
        <v>1727</v>
      </c>
      <c r="AC30" t="s">
        <v>1727</v>
      </c>
      <c r="AE30" t="s">
        <v>1727</v>
      </c>
      <c r="AG30" t="str">
        <f>IF(_xlfn.XLOOKUP(B30,'DB - Identities'!U:U,'DB - Identities'!U:U,"ERROR")&lt;&gt;"ERROR","OK","ERROR")</f>
        <v>OK</v>
      </c>
    </row>
    <row r="31" spans="1:33">
      <c r="A31" s="122" t="s">
        <v>1789</v>
      </c>
      <c r="B31" s="122" t="s">
        <v>1510</v>
      </c>
      <c r="C31" s="122" t="s">
        <v>1721</v>
      </c>
      <c r="D31" s="122">
        <v>408372966</v>
      </c>
      <c r="E31" s="122" t="s">
        <v>1729</v>
      </c>
      <c r="F31" t="s">
        <v>292</v>
      </c>
      <c r="H31" s="122" t="b">
        <v>0</v>
      </c>
      <c r="I31" s="122" t="b">
        <v>1</v>
      </c>
      <c r="J31" t="s">
        <v>292</v>
      </c>
      <c r="L31" s="122" t="s">
        <v>292</v>
      </c>
      <c r="M31" s="122" t="s">
        <v>1730</v>
      </c>
      <c r="N31" s="122" t="b">
        <v>0</v>
      </c>
      <c r="O31" s="122">
        <v>1627364864931</v>
      </c>
      <c r="P31" s="205">
        <f t="shared" si="0"/>
        <v>44404.241492256944</v>
      </c>
      <c r="Q31" s="122">
        <v>1627379678077</v>
      </c>
      <c r="R31" s="205">
        <f t="shared" si="1"/>
        <v>44404.412940706017</v>
      </c>
      <c r="S31" s="122" t="s">
        <v>1724</v>
      </c>
      <c r="T31" s="122" t="s">
        <v>1725</v>
      </c>
      <c r="U31" s="122" t="s">
        <v>1790</v>
      </c>
      <c r="V31" s="122" t="s">
        <v>1721</v>
      </c>
      <c r="W31" s="122" t="s">
        <v>1510</v>
      </c>
      <c r="X31" s="122" t="b">
        <v>1</v>
      </c>
      <c r="Y31" s="122" t="b">
        <v>0</v>
      </c>
      <c r="Z31" s="122" t="b">
        <v>0</v>
      </c>
      <c r="AA31" t="s">
        <v>1727</v>
      </c>
      <c r="AC31" t="s">
        <v>1727</v>
      </c>
      <c r="AE31" t="s">
        <v>1727</v>
      </c>
      <c r="AG31" t="str">
        <f>IF(_xlfn.XLOOKUP(B31,'DB - Identities'!U:U,'DB - Identities'!U:U,"ERROR")&lt;&gt;"ERROR","OK","ERROR")</f>
        <v>OK</v>
      </c>
    </row>
    <row r="32" spans="1:33">
      <c r="A32" s="122" t="s">
        <v>1791</v>
      </c>
      <c r="B32" s="122" t="s">
        <v>1554</v>
      </c>
      <c r="C32" s="122" t="s">
        <v>1721</v>
      </c>
      <c r="D32" s="122">
        <v>260365413</v>
      </c>
      <c r="E32" s="122" t="s">
        <v>1729</v>
      </c>
      <c r="F32" t="s">
        <v>286</v>
      </c>
      <c r="H32" s="122" t="b">
        <v>0</v>
      </c>
      <c r="I32" s="122" t="b">
        <v>1</v>
      </c>
      <c r="J32" t="s">
        <v>286</v>
      </c>
      <c r="L32" s="122" t="s">
        <v>286</v>
      </c>
      <c r="M32" s="122" t="s">
        <v>1730</v>
      </c>
      <c r="N32" s="122" t="b">
        <v>0</v>
      </c>
      <c r="O32" s="122">
        <v>1627300083320</v>
      </c>
      <c r="P32" s="205">
        <f t="shared" si="0"/>
        <v>44403.491705092587</v>
      </c>
      <c r="Q32" s="122">
        <v>1627377585722</v>
      </c>
      <c r="R32" s="205">
        <f t="shared" si="1"/>
        <v>44404.388723634256</v>
      </c>
      <c r="S32" s="122" t="s">
        <v>1724</v>
      </c>
      <c r="T32" s="122" t="s">
        <v>1725</v>
      </c>
      <c r="U32" s="122" t="s">
        <v>1792</v>
      </c>
      <c r="V32" s="122" t="s">
        <v>1721</v>
      </c>
      <c r="W32" s="122" t="s">
        <v>1554</v>
      </c>
      <c r="X32" s="122" t="b">
        <v>1</v>
      </c>
      <c r="Y32" s="122" t="b">
        <v>0</v>
      </c>
      <c r="Z32" s="122" t="b">
        <v>0</v>
      </c>
      <c r="AA32" t="s">
        <v>1727</v>
      </c>
      <c r="AC32" t="s">
        <v>1727</v>
      </c>
      <c r="AE32" t="s">
        <v>1727</v>
      </c>
      <c r="AG32" t="str">
        <f>IF(_xlfn.XLOOKUP(B32,'DB - Identities'!U:U,'DB - Identities'!U:U,"ERROR")&lt;&gt;"ERROR","OK","ERROR")</f>
        <v>OK</v>
      </c>
    </row>
    <row r="33" spans="1:33" hidden="1">
      <c r="A33" s="122" t="s">
        <v>1793</v>
      </c>
      <c r="B33" s="122" t="s">
        <v>1505</v>
      </c>
      <c r="C33" s="122" t="s">
        <v>1721</v>
      </c>
      <c r="D33" s="122">
        <v>176862724</v>
      </c>
      <c r="E33" s="122" t="s">
        <v>1729</v>
      </c>
      <c r="F33" t="s">
        <v>1794</v>
      </c>
      <c r="H33" s="122" t="b">
        <v>0</v>
      </c>
      <c r="I33" s="122" t="b">
        <v>1</v>
      </c>
      <c r="J33" t="s">
        <v>1794</v>
      </c>
      <c r="L33" s="122" t="s">
        <v>1794</v>
      </c>
      <c r="M33" s="122" t="s">
        <v>1730</v>
      </c>
      <c r="N33" s="122" t="b">
        <v>0</v>
      </c>
      <c r="O33" s="122">
        <v>1627215480000</v>
      </c>
      <c r="P33" s="122"/>
      <c r="Q33" s="122">
        <v>1627215646348</v>
      </c>
      <c r="R33" s="122"/>
      <c r="S33" s="122" t="s">
        <v>1724</v>
      </c>
      <c r="T33" s="122" t="s">
        <v>1725</v>
      </c>
      <c r="U33" s="122" t="s">
        <v>1795</v>
      </c>
      <c r="V33" s="122" t="s">
        <v>1721</v>
      </c>
      <c r="W33" s="122" t="s">
        <v>1505</v>
      </c>
      <c r="X33" s="122" t="b">
        <v>1</v>
      </c>
      <c r="Y33" s="122" t="b">
        <v>0</v>
      </c>
      <c r="Z33" s="122" t="b">
        <v>0</v>
      </c>
      <c r="AA33" t="s">
        <v>1727</v>
      </c>
      <c r="AC33" t="s">
        <v>1727</v>
      </c>
      <c r="AE33" t="s">
        <v>1727</v>
      </c>
      <c r="AG33" t="str">
        <f>IF(_xlfn.XLOOKUP(B33,'DB - Identities'!U:U,'DB - Identities'!U:U,"ERROR")&lt;&gt;"ERROR","OK","ERROR")</f>
        <v>OK</v>
      </c>
    </row>
    <row r="34" spans="1:33" hidden="1">
      <c r="A34" s="122" t="s">
        <v>1796</v>
      </c>
      <c r="B34" s="122" t="s">
        <v>1558</v>
      </c>
      <c r="C34" s="122" t="s">
        <v>1721</v>
      </c>
      <c r="D34" s="122">
        <v>140106384</v>
      </c>
      <c r="E34" s="122" t="s">
        <v>1729</v>
      </c>
      <c r="F34" t="s">
        <v>280</v>
      </c>
      <c r="H34" s="122" t="b">
        <v>0</v>
      </c>
      <c r="I34" s="122" t="b">
        <v>1</v>
      </c>
      <c r="J34" t="s">
        <v>280</v>
      </c>
      <c r="L34" s="122" t="s">
        <v>280</v>
      </c>
      <c r="M34" s="122" t="s">
        <v>1730</v>
      </c>
      <c r="N34" s="122" t="b">
        <v>0</v>
      </c>
      <c r="O34" s="122">
        <v>1626872866456</v>
      </c>
      <c r="P34" s="122"/>
      <c r="Q34" s="122">
        <v>1626920275277</v>
      </c>
      <c r="R34" s="122"/>
      <c r="S34" s="122" t="s">
        <v>1724</v>
      </c>
      <c r="T34" s="122" t="s">
        <v>1725</v>
      </c>
      <c r="U34" s="122" t="s">
        <v>1797</v>
      </c>
      <c r="V34" s="122" t="s">
        <v>1721</v>
      </c>
      <c r="W34" s="122" t="s">
        <v>1558</v>
      </c>
      <c r="X34" s="122" t="b">
        <v>1</v>
      </c>
      <c r="Y34" s="122" t="b">
        <v>0</v>
      </c>
      <c r="Z34" s="122" t="b">
        <v>0</v>
      </c>
      <c r="AA34" t="s">
        <v>1727</v>
      </c>
      <c r="AC34" t="s">
        <v>1727</v>
      </c>
      <c r="AE34" t="s">
        <v>1727</v>
      </c>
      <c r="AG34" t="str">
        <f>IF(_xlfn.XLOOKUP(B34,'DB - Identities'!U:U,'DB - Identities'!U:U,"ERROR")&lt;&gt;"ERROR","OK","ERROR")</f>
        <v>OK</v>
      </c>
    </row>
    <row r="35" spans="1:33">
      <c r="A35" s="122" t="s">
        <v>1798</v>
      </c>
      <c r="B35" s="122" t="s">
        <v>1544</v>
      </c>
      <c r="C35" s="122" t="s">
        <v>1721</v>
      </c>
      <c r="D35" s="122">
        <v>510564880</v>
      </c>
      <c r="E35" s="122" t="s">
        <v>1729</v>
      </c>
      <c r="F35" t="s">
        <v>266</v>
      </c>
      <c r="H35" s="122" t="b">
        <v>0</v>
      </c>
      <c r="I35" s="122" t="b">
        <v>1</v>
      </c>
      <c r="J35" t="s">
        <v>266</v>
      </c>
      <c r="L35" s="122" t="s">
        <v>266</v>
      </c>
      <c r="M35" s="122" t="s">
        <v>1730</v>
      </c>
      <c r="N35" s="122" t="b">
        <v>0</v>
      </c>
      <c r="O35" s="122">
        <v>1626869309562</v>
      </c>
      <c r="P35" s="205">
        <f t="shared" ref="P35:P69" si="2">((((O35/1000)/60)/60)/24)+DATE(1970,1,1)</f>
        <v>44398.505897708332</v>
      </c>
      <c r="Q35" s="122">
        <v>1626920237660</v>
      </c>
      <c r="R35" s="205">
        <f t="shared" ref="R35:R69" si="3">((((Q35/1000)/60)/60)/24)+DATE(1970,1,1)</f>
        <v>44399.095343287037</v>
      </c>
      <c r="S35" s="122" t="s">
        <v>1724</v>
      </c>
      <c r="T35" s="122" t="s">
        <v>1725</v>
      </c>
      <c r="U35" s="122" t="s">
        <v>1799</v>
      </c>
      <c r="V35" s="122" t="s">
        <v>1721</v>
      </c>
      <c r="W35" s="122" t="s">
        <v>1544</v>
      </c>
      <c r="X35" s="122" t="b">
        <v>1</v>
      </c>
      <c r="Y35" s="122" t="b">
        <v>0</v>
      </c>
      <c r="Z35" s="122" t="b">
        <v>0</v>
      </c>
      <c r="AA35" t="s">
        <v>1727</v>
      </c>
      <c r="AC35" t="s">
        <v>1727</v>
      </c>
      <c r="AE35" t="s">
        <v>1727</v>
      </c>
      <c r="AG35" t="str">
        <f>IF(_xlfn.XLOOKUP(B35,'DB - Identities'!U:U,'DB - Identities'!U:U,"ERROR")&lt;&gt;"ERROR","OK","ERROR")</f>
        <v>OK</v>
      </c>
    </row>
    <row r="36" spans="1:33">
      <c r="A36" s="122" t="s">
        <v>1800</v>
      </c>
      <c r="B36" s="122" t="s">
        <v>1442</v>
      </c>
      <c r="C36" s="122" t="s">
        <v>1721</v>
      </c>
      <c r="D36" s="122">
        <v>154952850</v>
      </c>
      <c r="E36" s="122" t="s">
        <v>1722</v>
      </c>
      <c r="F36" t="s">
        <v>1095</v>
      </c>
      <c r="H36" s="122" t="b">
        <v>0</v>
      </c>
      <c r="I36" s="122" t="b">
        <v>1</v>
      </c>
      <c r="J36" t="s">
        <v>1096</v>
      </c>
      <c r="L36" s="122" t="s">
        <v>1096</v>
      </c>
      <c r="M36" s="122" t="s">
        <v>1723</v>
      </c>
      <c r="N36" s="122" t="b">
        <v>1</v>
      </c>
      <c r="O36" s="122">
        <v>1626572967018</v>
      </c>
      <c r="P36" s="205">
        <f t="shared" si="2"/>
        <v>44395.076007152777</v>
      </c>
      <c r="Q36" s="122">
        <v>1626579222162</v>
      </c>
      <c r="R36" s="205">
        <f t="shared" si="3"/>
        <v>44395.148404652777</v>
      </c>
      <c r="S36" s="122" t="s">
        <v>1724</v>
      </c>
      <c r="T36" s="122" t="s">
        <v>1725</v>
      </c>
      <c r="U36" s="122" t="s">
        <v>1801</v>
      </c>
      <c r="V36" s="122" t="s">
        <v>1721</v>
      </c>
      <c r="W36" s="122" t="s">
        <v>1442</v>
      </c>
      <c r="X36" s="122" t="b">
        <v>1</v>
      </c>
      <c r="Y36" s="122" t="b">
        <v>0</v>
      </c>
      <c r="Z36" s="122" t="b">
        <v>0</v>
      </c>
      <c r="AA36" t="s">
        <v>1727</v>
      </c>
      <c r="AC36" t="s">
        <v>1727</v>
      </c>
      <c r="AE36" t="s">
        <v>1727</v>
      </c>
      <c r="AG36" t="str">
        <f>IF(_xlfn.XLOOKUP(B36,'DB - Identities'!U:U,'DB - Identities'!U:U,"ERROR")&lt;&gt;"ERROR","OK","ERROR")</f>
        <v>OK</v>
      </c>
    </row>
    <row r="37" spans="1:33">
      <c r="A37" s="122" t="s">
        <v>1802</v>
      </c>
      <c r="B37" s="122" t="s">
        <v>1488</v>
      </c>
      <c r="C37" s="122" t="s">
        <v>1721</v>
      </c>
      <c r="D37" s="122">
        <v>883662669</v>
      </c>
      <c r="E37" s="122" t="s">
        <v>1722</v>
      </c>
      <c r="F37" t="s">
        <v>1069</v>
      </c>
      <c r="H37" s="122" t="b">
        <v>0</v>
      </c>
      <c r="I37" s="122" t="b">
        <v>1</v>
      </c>
      <c r="J37" t="s">
        <v>1070</v>
      </c>
      <c r="L37" s="122" t="s">
        <v>1070</v>
      </c>
      <c r="M37" s="122" t="s">
        <v>1723</v>
      </c>
      <c r="N37" s="122" t="b">
        <v>1</v>
      </c>
      <c r="O37" s="122">
        <v>1625739605836</v>
      </c>
      <c r="P37" s="205">
        <f t="shared" si="2"/>
        <v>44385.430623101856</v>
      </c>
      <c r="Q37" s="122">
        <v>1625798161836</v>
      </c>
      <c r="R37" s="205">
        <f t="shared" si="3"/>
        <v>44386.108354583339</v>
      </c>
      <c r="S37" s="122" t="s">
        <v>1724</v>
      </c>
      <c r="T37" s="122" t="s">
        <v>1725</v>
      </c>
      <c r="U37" s="122" t="s">
        <v>1803</v>
      </c>
      <c r="V37" s="122" t="s">
        <v>1721</v>
      </c>
      <c r="W37" s="122" t="s">
        <v>1488</v>
      </c>
      <c r="X37" s="122" t="b">
        <v>1</v>
      </c>
      <c r="Y37" s="122" t="b">
        <v>0</v>
      </c>
      <c r="Z37" s="122" t="b">
        <v>0</v>
      </c>
      <c r="AA37" t="s">
        <v>1727</v>
      </c>
      <c r="AC37" t="s">
        <v>1727</v>
      </c>
      <c r="AE37" t="s">
        <v>1727</v>
      </c>
      <c r="AG37" t="str">
        <f>IF(_xlfn.XLOOKUP(B37,'DB - Identities'!U:U,'DB - Identities'!U:U,"ERROR")&lt;&gt;"ERROR","OK","ERROR")</f>
        <v>OK</v>
      </c>
    </row>
    <row r="38" spans="1:33">
      <c r="A38" s="122" t="s">
        <v>1804</v>
      </c>
      <c r="B38" s="122" t="s">
        <v>1523</v>
      </c>
      <c r="C38" s="122" t="s">
        <v>1721</v>
      </c>
      <c r="D38" s="122">
        <v>112554448</v>
      </c>
      <c r="E38" s="122" t="s">
        <v>1722</v>
      </c>
      <c r="F38" t="s">
        <v>252</v>
      </c>
      <c r="H38" s="122" t="b">
        <v>0</v>
      </c>
      <c r="I38" s="122" t="b">
        <v>1</v>
      </c>
      <c r="J38" t="s">
        <v>252</v>
      </c>
      <c r="L38" s="122" t="s">
        <v>252</v>
      </c>
      <c r="M38" s="122" t="s">
        <v>1723</v>
      </c>
      <c r="N38" s="122" t="b">
        <v>1</v>
      </c>
      <c r="O38" s="122">
        <v>1625744465995</v>
      </c>
      <c r="P38" s="205">
        <f t="shared" si="2"/>
        <v>44385.486874942129</v>
      </c>
      <c r="Q38" s="122">
        <v>1625769611103</v>
      </c>
      <c r="R38" s="205">
        <f t="shared" si="3"/>
        <v>44385.777906284726</v>
      </c>
      <c r="S38" s="122" t="s">
        <v>1724</v>
      </c>
      <c r="T38" s="122" t="s">
        <v>1725</v>
      </c>
      <c r="U38" s="122" t="s">
        <v>1805</v>
      </c>
      <c r="V38" s="122" t="s">
        <v>1721</v>
      </c>
      <c r="W38" s="122" t="s">
        <v>1523</v>
      </c>
      <c r="X38" s="122" t="b">
        <v>1</v>
      </c>
      <c r="Y38" s="122" t="b">
        <v>0</v>
      </c>
      <c r="Z38" s="122" t="b">
        <v>0</v>
      </c>
      <c r="AA38" t="s">
        <v>1727</v>
      </c>
      <c r="AC38" t="s">
        <v>1727</v>
      </c>
      <c r="AE38" t="s">
        <v>1727</v>
      </c>
      <c r="AG38" t="str">
        <f>IF(_xlfn.XLOOKUP(B38,'DB - Identities'!U:U,'DB - Identities'!U:U,"ERROR")&lt;&gt;"ERROR","OK","ERROR")</f>
        <v>OK</v>
      </c>
    </row>
    <row r="39" spans="1:33">
      <c r="A39" s="122" t="s">
        <v>1806</v>
      </c>
      <c r="B39" s="122" t="s">
        <v>1511</v>
      </c>
      <c r="C39" s="122" t="s">
        <v>1721</v>
      </c>
      <c r="D39" s="122">
        <v>53489564</v>
      </c>
      <c r="E39" s="122" t="s">
        <v>1729</v>
      </c>
      <c r="F39" t="s">
        <v>1214</v>
      </c>
      <c r="H39" s="122" t="b">
        <v>0</v>
      </c>
      <c r="I39" s="122" t="b">
        <v>1</v>
      </c>
      <c r="J39" t="s">
        <v>1214</v>
      </c>
      <c r="L39" s="122" t="s">
        <v>1214</v>
      </c>
      <c r="M39" s="122" t="s">
        <v>1730</v>
      </c>
      <c r="N39" s="122" t="b">
        <v>0</v>
      </c>
      <c r="O39" s="122">
        <v>1625486241475</v>
      </c>
      <c r="P39" s="205">
        <f t="shared" si="2"/>
        <v>44382.498165219906</v>
      </c>
      <c r="Q39" s="122">
        <v>1625536229047</v>
      </c>
      <c r="R39" s="205">
        <f t="shared" si="3"/>
        <v>44383.076725081017</v>
      </c>
      <c r="S39" s="122" t="s">
        <v>1724</v>
      </c>
      <c r="T39" s="122" t="s">
        <v>1725</v>
      </c>
      <c r="U39" s="122" t="s">
        <v>1807</v>
      </c>
      <c r="V39" s="122" t="s">
        <v>1721</v>
      </c>
      <c r="W39" s="122" t="s">
        <v>1511</v>
      </c>
      <c r="X39" s="122" t="b">
        <v>1</v>
      </c>
      <c r="Y39" s="122" t="b">
        <v>0</v>
      </c>
      <c r="Z39" s="122" t="b">
        <v>0</v>
      </c>
      <c r="AA39" t="s">
        <v>1727</v>
      </c>
      <c r="AC39" t="s">
        <v>1727</v>
      </c>
      <c r="AE39" t="s">
        <v>1727</v>
      </c>
      <c r="AG39" t="str">
        <f>IF(_xlfn.XLOOKUP(B39,'DB - Identities'!U:U,'DB - Identities'!U:U,"ERROR")&lt;&gt;"ERROR","OK","ERROR")</f>
        <v>OK</v>
      </c>
    </row>
    <row r="40" spans="1:33">
      <c r="A40" s="122" t="s">
        <v>1808</v>
      </c>
      <c r="B40" s="122" t="s">
        <v>1521</v>
      </c>
      <c r="C40" s="122" t="s">
        <v>1721</v>
      </c>
      <c r="D40" s="122">
        <v>427638024</v>
      </c>
      <c r="E40" s="122" t="s">
        <v>1729</v>
      </c>
      <c r="F40" t="s">
        <v>1220</v>
      </c>
      <c r="H40" s="122" t="b">
        <v>0</v>
      </c>
      <c r="I40" s="122" t="b">
        <v>1</v>
      </c>
      <c r="J40" t="s">
        <v>1220</v>
      </c>
      <c r="L40" s="122" t="s">
        <v>1220</v>
      </c>
      <c r="M40" s="122" t="s">
        <v>1730</v>
      </c>
      <c r="N40" s="122" t="b">
        <v>0</v>
      </c>
      <c r="O40" s="122">
        <v>1625486307727</v>
      </c>
      <c r="P40" s="205">
        <f t="shared" si="2"/>
        <v>44382.498932025468</v>
      </c>
      <c r="Q40" s="122">
        <v>1625536187783</v>
      </c>
      <c r="R40" s="205">
        <f t="shared" si="3"/>
        <v>44383.076247488425</v>
      </c>
      <c r="S40" s="122" t="s">
        <v>1724</v>
      </c>
      <c r="T40" s="122" t="s">
        <v>1725</v>
      </c>
      <c r="U40" s="122" t="s">
        <v>1809</v>
      </c>
      <c r="V40" s="122" t="s">
        <v>1721</v>
      </c>
      <c r="W40" s="122" t="s">
        <v>1521</v>
      </c>
      <c r="X40" s="122" t="b">
        <v>1</v>
      </c>
      <c r="Y40" s="122" t="b">
        <v>0</v>
      </c>
      <c r="Z40" s="122" t="b">
        <v>0</v>
      </c>
      <c r="AA40" t="s">
        <v>1727</v>
      </c>
      <c r="AC40" t="s">
        <v>1727</v>
      </c>
      <c r="AE40" t="s">
        <v>1727</v>
      </c>
      <c r="AG40" t="str">
        <f>IF(_xlfn.XLOOKUP(B40,'DB - Identities'!U:U,'DB - Identities'!U:U,"ERROR")&lt;&gt;"ERROR","OK","ERROR")</f>
        <v>OK</v>
      </c>
    </row>
    <row r="41" spans="1:33">
      <c r="A41" s="122" t="s">
        <v>1810</v>
      </c>
      <c r="B41" s="122" t="s">
        <v>1507</v>
      </c>
      <c r="C41" s="122" t="s">
        <v>1721</v>
      </c>
      <c r="D41" s="122">
        <v>160466141</v>
      </c>
      <c r="E41" s="122" t="s">
        <v>1729</v>
      </c>
      <c r="F41" t="s">
        <v>1224</v>
      </c>
      <c r="H41" s="122" t="b">
        <v>0</v>
      </c>
      <c r="I41" s="122" t="b">
        <v>1</v>
      </c>
      <c r="J41" t="s">
        <v>1224</v>
      </c>
      <c r="L41" s="122" t="s">
        <v>1224</v>
      </c>
      <c r="M41" s="122" t="s">
        <v>1730</v>
      </c>
      <c r="N41" s="122" t="b">
        <v>0</v>
      </c>
      <c r="O41" s="122">
        <v>1625226611029</v>
      </c>
      <c r="P41" s="205">
        <f t="shared" si="2"/>
        <v>44379.493183206025</v>
      </c>
      <c r="Q41" s="122">
        <v>1625235381338</v>
      </c>
      <c r="R41" s="205">
        <f t="shared" si="3"/>
        <v>44379.594691412036</v>
      </c>
      <c r="S41" s="122" t="s">
        <v>1724</v>
      </c>
      <c r="T41" s="122" t="s">
        <v>1725</v>
      </c>
      <c r="U41" s="122" t="s">
        <v>1811</v>
      </c>
      <c r="V41" s="122" t="s">
        <v>1721</v>
      </c>
      <c r="W41" s="122" t="s">
        <v>1507</v>
      </c>
      <c r="X41" s="122" t="b">
        <v>1</v>
      </c>
      <c r="Y41" s="122" t="b">
        <v>0</v>
      </c>
      <c r="Z41" s="122" t="b">
        <v>0</v>
      </c>
      <c r="AA41" t="s">
        <v>1727</v>
      </c>
      <c r="AC41" t="s">
        <v>1727</v>
      </c>
      <c r="AE41" t="s">
        <v>1727</v>
      </c>
      <c r="AG41" t="str">
        <f>IF(_xlfn.XLOOKUP(B41,'DB - Identities'!U:U,'DB - Identities'!U:U,"ERROR")&lt;&gt;"ERROR","OK","ERROR")</f>
        <v>OK</v>
      </c>
    </row>
    <row r="42" spans="1:33">
      <c r="A42" s="122" t="s">
        <v>1812</v>
      </c>
      <c r="B42" s="122" t="s">
        <v>1543</v>
      </c>
      <c r="C42" s="122" t="s">
        <v>1721</v>
      </c>
      <c r="D42" s="122">
        <v>27155922</v>
      </c>
      <c r="E42" s="122" t="s">
        <v>1729</v>
      </c>
      <c r="F42" t="s">
        <v>1143</v>
      </c>
      <c r="H42" s="122" t="b">
        <v>0</v>
      </c>
      <c r="I42" s="122" t="b">
        <v>1</v>
      </c>
      <c r="J42" t="s">
        <v>1144</v>
      </c>
      <c r="L42" s="122" t="s">
        <v>1144</v>
      </c>
      <c r="M42" s="122" t="s">
        <v>1730</v>
      </c>
      <c r="N42" s="122" t="b">
        <v>0</v>
      </c>
      <c r="O42" s="122">
        <v>1616570397199</v>
      </c>
      <c r="P42" s="205">
        <f t="shared" si="2"/>
        <v>44279.305523136572</v>
      </c>
      <c r="Q42" s="122">
        <v>1625227559130</v>
      </c>
      <c r="R42" s="205">
        <f t="shared" si="3"/>
        <v>44379.504156597221</v>
      </c>
      <c r="S42" s="122" t="s">
        <v>1724</v>
      </c>
      <c r="T42" s="122" t="s">
        <v>1725</v>
      </c>
      <c r="U42" s="122" t="s">
        <v>1813</v>
      </c>
      <c r="V42" s="122" t="s">
        <v>1721</v>
      </c>
      <c r="W42" s="122" t="s">
        <v>1543</v>
      </c>
      <c r="X42" s="122" t="b">
        <v>1</v>
      </c>
      <c r="Y42" s="122" t="b">
        <v>0</v>
      </c>
      <c r="Z42" s="122" t="b">
        <v>0</v>
      </c>
      <c r="AA42" t="s">
        <v>1727</v>
      </c>
      <c r="AC42" t="s">
        <v>1727</v>
      </c>
      <c r="AE42" t="s">
        <v>1727</v>
      </c>
      <c r="AG42" t="str">
        <f>IF(_xlfn.XLOOKUP(B42,'DB - Identities'!U:U,'DB - Identities'!U:U,"ERROR")&lt;&gt;"ERROR","OK","ERROR")</f>
        <v>OK</v>
      </c>
    </row>
    <row r="43" spans="1:33">
      <c r="A43" s="122" t="s">
        <v>1814</v>
      </c>
      <c r="B43" s="122" t="s">
        <v>1542</v>
      </c>
      <c r="C43" s="122" t="s">
        <v>1721</v>
      </c>
      <c r="D43" s="122">
        <v>729539857</v>
      </c>
      <c r="E43" s="122" t="s">
        <v>1729</v>
      </c>
      <c r="F43" t="s">
        <v>212</v>
      </c>
      <c r="H43" s="122" t="b">
        <v>0</v>
      </c>
      <c r="I43" s="122" t="b">
        <v>1</v>
      </c>
      <c r="J43" t="s">
        <v>212</v>
      </c>
      <c r="L43" s="122" t="s">
        <v>212</v>
      </c>
      <c r="M43" s="122" t="s">
        <v>1730</v>
      </c>
      <c r="N43" s="122" t="b">
        <v>0</v>
      </c>
      <c r="O43" s="122">
        <v>1625226519213</v>
      </c>
      <c r="P43" s="205">
        <f t="shared" si="2"/>
        <v>44379.492120520837</v>
      </c>
      <c r="Q43" s="122">
        <v>1625226819581</v>
      </c>
      <c r="R43" s="205">
        <f t="shared" si="3"/>
        <v>44379.495597002315</v>
      </c>
      <c r="S43" s="122" t="s">
        <v>1724</v>
      </c>
      <c r="T43" s="122" t="s">
        <v>1725</v>
      </c>
      <c r="U43" s="122" t="s">
        <v>1815</v>
      </c>
      <c r="V43" s="122" t="s">
        <v>1721</v>
      </c>
      <c r="W43" s="122" t="s">
        <v>1542</v>
      </c>
      <c r="X43" s="122" t="b">
        <v>1</v>
      </c>
      <c r="Y43" s="122" t="b">
        <v>0</v>
      </c>
      <c r="Z43" s="122" t="b">
        <v>0</v>
      </c>
      <c r="AA43" t="s">
        <v>1727</v>
      </c>
      <c r="AC43" t="s">
        <v>1727</v>
      </c>
      <c r="AE43" t="s">
        <v>1727</v>
      </c>
      <c r="AG43" t="str">
        <f>IF(_xlfn.XLOOKUP(B43,'DB - Identities'!U:U,'DB - Identities'!U:U,"ERROR")&lt;&gt;"ERROR","OK","ERROR")</f>
        <v>OK</v>
      </c>
    </row>
    <row r="44" spans="1:33">
      <c r="A44" s="122" t="s">
        <v>1816</v>
      </c>
      <c r="B44" s="122" t="s">
        <v>1518</v>
      </c>
      <c r="C44" s="122" t="s">
        <v>1721</v>
      </c>
      <c r="D44" s="122">
        <v>367210856</v>
      </c>
      <c r="E44" s="122" t="s">
        <v>1729</v>
      </c>
      <c r="F44" t="s">
        <v>1209</v>
      </c>
      <c r="H44" s="122" t="b">
        <v>0</v>
      </c>
      <c r="I44" s="122" t="b">
        <v>1</v>
      </c>
      <c r="J44" t="s">
        <v>1209</v>
      </c>
      <c r="L44" s="122" t="s">
        <v>1209</v>
      </c>
      <c r="M44" s="122" t="s">
        <v>1730</v>
      </c>
      <c r="N44" s="122" t="b">
        <v>0</v>
      </c>
      <c r="O44" s="122">
        <v>1625062847893</v>
      </c>
      <c r="P44" s="205">
        <f t="shared" si="2"/>
        <v>44377.597776539347</v>
      </c>
      <c r="Q44" s="122">
        <v>1625199056401</v>
      </c>
      <c r="R44" s="205">
        <f t="shared" si="3"/>
        <v>44379.174263900466</v>
      </c>
      <c r="S44" s="122" t="s">
        <v>1724</v>
      </c>
      <c r="T44" s="122" t="s">
        <v>1725</v>
      </c>
      <c r="U44" s="122" t="s">
        <v>1817</v>
      </c>
      <c r="V44" s="122" t="s">
        <v>1721</v>
      </c>
      <c r="W44" s="122" t="s">
        <v>1518</v>
      </c>
      <c r="X44" s="122" t="b">
        <v>1</v>
      </c>
      <c r="Y44" s="122" t="b">
        <v>0</v>
      </c>
      <c r="Z44" s="122" t="b">
        <v>0</v>
      </c>
      <c r="AA44" t="s">
        <v>1727</v>
      </c>
      <c r="AC44" t="s">
        <v>1727</v>
      </c>
      <c r="AE44" t="s">
        <v>1727</v>
      </c>
      <c r="AG44" t="str">
        <f>IF(_xlfn.XLOOKUP(B44,'DB - Identities'!U:U,'DB - Identities'!U:U,"ERROR")&lt;&gt;"ERROR","OK","ERROR")</f>
        <v>OK</v>
      </c>
    </row>
    <row r="45" spans="1:33">
      <c r="A45" s="122" t="s">
        <v>1818</v>
      </c>
      <c r="B45" s="122" t="s">
        <v>1545</v>
      </c>
      <c r="C45" s="122" t="s">
        <v>1721</v>
      </c>
      <c r="D45" s="122">
        <v>892739391</v>
      </c>
      <c r="E45" s="122" t="s">
        <v>1729</v>
      </c>
      <c r="F45" t="s">
        <v>1205</v>
      </c>
      <c r="H45" s="122" t="b">
        <v>0</v>
      </c>
      <c r="I45" s="122" t="b">
        <v>1</v>
      </c>
      <c r="J45" t="s">
        <v>1205</v>
      </c>
      <c r="L45" s="122" t="s">
        <v>1205</v>
      </c>
      <c r="M45" s="122" t="s">
        <v>1730</v>
      </c>
      <c r="N45" s="122" t="b">
        <v>0</v>
      </c>
      <c r="O45" s="122">
        <v>1624968697406</v>
      </c>
      <c r="P45" s="205">
        <f t="shared" si="2"/>
        <v>44376.508071828706</v>
      </c>
      <c r="Q45" s="122">
        <v>1625016611732</v>
      </c>
      <c r="R45" s="205">
        <f t="shared" si="3"/>
        <v>44377.062635787035</v>
      </c>
      <c r="S45" s="122" t="s">
        <v>1724</v>
      </c>
      <c r="T45" s="122" t="s">
        <v>1725</v>
      </c>
      <c r="U45" s="122" t="s">
        <v>1819</v>
      </c>
      <c r="V45" s="122" t="s">
        <v>1721</v>
      </c>
      <c r="W45" s="122" t="s">
        <v>1545</v>
      </c>
      <c r="X45" s="122" t="b">
        <v>1</v>
      </c>
      <c r="Y45" s="122" t="b">
        <v>0</v>
      </c>
      <c r="Z45" s="122" t="b">
        <v>0</v>
      </c>
      <c r="AA45" t="s">
        <v>1727</v>
      </c>
      <c r="AC45" t="s">
        <v>1727</v>
      </c>
      <c r="AE45" t="s">
        <v>1727</v>
      </c>
      <c r="AG45" t="str">
        <f>IF(_xlfn.XLOOKUP(B45,'DB - Identities'!U:U,'DB - Identities'!U:U,"ERROR")&lt;&gt;"ERROR","OK","ERROR")</f>
        <v>OK</v>
      </c>
    </row>
    <row r="46" spans="1:33" hidden="1">
      <c r="A46" s="122" t="s">
        <v>1820</v>
      </c>
      <c r="B46" s="122" t="s">
        <v>1443</v>
      </c>
      <c r="C46" s="122" t="s">
        <v>1721</v>
      </c>
      <c r="D46" s="122">
        <v>507948264</v>
      </c>
      <c r="E46" s="122" t="s">
        <v>1722</v>
      </c>
      <c r="F46" t="s">
        <v>1821</v>
      </c>
      <c r="H46" s="122" t="b">
        <v>0</v>
      </c>
      <c r="I46" s="122" t="b">
        <v>1</v>
      </c>
      <c r="J46" t="s">
        <v>1821</v>
      </c>
      <c r="L46" s="122" t="s">
        <v>1821</v>
      </c>
      <c r="M46" s="122" t="s">
        <v>1723</v>
      </c>
      <c r="N46" s="122" t="b">
        <v>1</v>
      </c>
      <c r="O46" s="122">
        <v>1623763911645</v>
      </c>
      <c r="P46" s="205">
        <f t="shared" si="2"/>
        <v>44362.563792187502</v>
      </c>
      <c r="Q46" s="122">
        <v>1624584094955</v>
      </c>
      <c r="R46" s="205">
        <f t="shared" si="3"/>
        <v>44372.056654571759</v>
      </c>
      <c r="S46" s="122" t="s">
        <v>1751</v>
      </c>
      <c r="T46" s="122" t="s">
        <v>1725</v>
      </c>
      <c r="U46" s="122" t="s">
        <v>1822</v>
      </c>
      <c r="V46" s="122" t="s">
        <v>1721</v>
      </c>
      <c r="W46" s="122" t="s">
        <v>1443</v>
      </c>
      <c r="X46" s="122" t="b">
        <v>0</v>
      </c>
      <c r="Y46" s="122" t="b">
        <v>1</v>
      </c>
      <c r="Z46" s="122" t="b">
        <v>0</v>
      </c>
      <c r="AA46" t="s">
        <v>1727</v>
      </c>
      <c r="AC46" t="s">
        <v>1727</v>
      </c>
      <c r="AE46" t="s">
        <v>1727</v>
      </c>
      <c r="AG46" t="str">
        <f>IF(_xlfn.XLOOKUP(B46,'DB - Identities'!U:U,'DB - Identities'!U:U,"ERROR")&lt;&gt;"ERROR","OK","ERROR")</f>
        <v>ERROR</v>
      </c>
    </row>
    <row r="47" spans="1:33" hidden="1">
      <c r="A47" s="122" t="s">
        <v>1823</v>
      </c>
      <c r="B47" s="122" t="s">
        <v>1441</v>
      </c>
      <c r="C47" s="122" t="s">
        <v>1721</v>
      </c>
      <c r="D47" s="122">
        <v>623962708</v>
      </c>
      <c r="E47" s="122" t="s">
        <v>1722</v>
      </c>
      <c r="F47" t="s">
        <v>1824</v>
      </c>
      <c r="H47" s="122" t="b">
        <v>0</v>
      </c>
      <c r="I47" s="122" t="b">
        <v>1</v>
      </c>
      <c r="J47" t="s">
        <v>1824</v>
      </c>
      <c r="L47" s="122" t="s">
        <v>1824</v>
      </c>
      <c r="M47" s="122" t="s">
        <v>1723</v>
      </c>
      <c r="N47" s="122" t="b">
        <v>1</v>
      </c>
      <c r="O47" s="122">
        <v>1623764785297</v>
      </c>
      <c r="P47" s="205">
        <f t="shared" si="2"/>
        <v>44362.573903900462</v>
      </c>
      <c r="Q47" s="122">
        <v>1624584037106</v>
      </c>
      <c r="R47" s="205">
        <f t="shared" si="3"/>
        <v>44372.055985023151</v>
      </c>
      <c r="S47" s="122" t="s">
        <v>1751</v>
      </c>
      <c r="T47" s="122" t="s">
        <v>1725</v>
      </c>
      <c r="U47" s="122" t="s">
        <v>1825</v>
      </c>
      <c r="V47" s="122" t="s">
        <v>1721</v>
      </c>
      <c r="W47" s="122" t="s">
        <v>1441</v>
      </c>
      <c r="X47" s="122" t="b">
        <v>0</v>
      </c>
      <c r="Y47" s="122" t="b">
        <v>1</v>
      </c>
      <c r="Z47" s="122" t="b">
        <v>0</v>
      </c>
      <c r="AA47" t="s">
        <v>1727</v>
      </c>
      <c r="AC47" t="s">
        <v>1727</v>
      </c>
      <c r="AE47" t="s">
        <v>1727</v>
      </c>
      <c r="AG47" t="str">
        <f>IF(_xlfn.XLOOKUP(B47,'DB - Identities'!U:U,'DB - Identities'!U:U,"ERROR")&lt;&gt;"ERROR","OK","ERROR")</f>
        <v>ERROR</v>
      </c>
    </row>
    <row r="48" spans="1:33">
      <c r="A48" s="122" t="s">
        <v>1826</v>
      </c>
      <c r="B48" s="122" t="s">
        <v>1550</v>
      </c>
      <c r="C48" s="122" t="s">
        <v>1721</v>
      </c>
      <c r="D48" s="122">
        <v>600389668</v>
      </c>
      <c r="E48" s="122" t="s">
        <v>1729</v>
      </c>
      <c r="F48" t="s">
        <v>1200</v>
      </c>
      <c r="H48" s="122" t="b">
        <v>0</v>
      </c>
      <c r="I48" s="122" t="b">
        <v>1</v>
      </c>
      <c r="J48" t="s">
        <v>1200</v>
      </c>
      <c r="L48" s="122" t="s">
        <v>1200</v>
      </c>
      <c r="M48" s="122" t="s">
        <v>1730</v>
      </c>
      <c r="N48" s="122" t="b">
        <v>0</v>
      </c>
      <c r="O48" s="122">
        <v>1624532943689</v>
      </c>
      <c r="P48" s="205">
        <f t="shared" si="2"/>
        <v>44371.464626030094</v>
      </c>
      <c r="Q48" s="122">
        <v>1624533040567</v>
      </c>
      <c r="R48" s="205">
        <f t="shared" si="3"/>
        <v>44371.465747303242</v>
      </c>
      <c r="S48" s="122" t="s">
        <v>1724</v>
      </c>
      <c r="T48" s="122" t="s">
        <v>1725</v>
      </c>
      <c r="U48" s="122" t="s">
        <v>1827</v>
      </c>
      <c r="V48" s="122" t="s">
        <v>1721</v>
      </c>
      <c r="W48" s="122" t="s">
        <v>1550</v>
      </c>
      <c r="X48" s="122" t="b">
        <v>1</v>
      </c>
      <c r="Y48" s="122" t="b">
        <v>0</v>
      </c>
      <c r="Z48" s="122" t="b">
        <v>0</v>
      </c>
      <c r="AA48" t="s">
        <v>1727</v>
      </c>
      <c r="AC48" t="s">
        <v>1727</v>
      </c>
      <c r="AE48" t="s">
        <v>1727</v>
      </c>
      <c r="AG48" t="str">
        <f>IF(_xlfn.XLOOKUP(B48,'DB - Identities'!U:U,'DB - Identities'!U:U,"ERROR")&lt;&gt;"ERROR","OK","ERROR")</f>
        <v>OK</v>
      </c>
    </row>
    <row r="49" spans="1:33">
      <c r="A49" s="122" t="s">
        <v>1828</v>
      </c>
      <c r="B49" s="122" t="s">
        <v>1487</v>
      </c>
      <c r="C49" s="122" t="s">
        <v>1721</v>
      </c>
      <c r="D49" s="122">
        <v>522497260</v>
      </c>
      <c r="E49" s="122" t="s">
        <v>1722</v>
      </c>
      <c r="F49" t="s">
        <v>1063</v>
      </c>
      <c r="H49" s="122" t="b">
        <v>0</v>
      </c>
      <c r="I49" s="122" t="b">
        <v>1</v>
      </c>
      <c r="J49" t="s">
        <v>1064</v>
      </c>
      <c r="L49" s="122" t="s">
        <v>1064</v>
      </c>
      <c r="M49" s="122" t="s">
        <v>1723</v>
      </c>
      <c r="N49" s="122" t="b">
        <v>1</v>
      </c>
      <c r="O49" s="122">
        <v>1617871917887</v>
      </c>
      <c r="P49" s="205">
        <f t="shared" si="2"/>
        <v>44294.369419988427</v>
      </c>
      <c r="Q49" s="122">
        <v>1624524442335</v>
      </c>
      <c r="R49" s="205">
        <f t="shared" si="3"/>
        <v>44371.366230729167</v>
      </c>
      <c r="S49" s="122" t="s">
        <v>1724</v>
      </c>
      <c r="T49" s="122" t="s">
        <v>1725</v>
      </c>
      <c r="U49" s="122" t="s">
        <v>1829</v>
      </c>
      <c r="V49" s="122" t="s">
        <v>1721</v>
      </c>
      <c r="W49" s="122" t="s">
        <v>1487</v>
      </c>
      <c r="X49" s="122" t="b">
        <v>1</v>
      </c>
      <c r="Y49" s="122" t="b">
        <v>0</v>
      </c>
      <c r="Z49" s="122" t="b">
        <v>0</v>
      </c>
      <c r="AA49" t="s">
        <v>1727</v>
      </c>
      <c r="AC49" t="s">
        <v>1727</v>
      </c>
      <c r="AE49" t="s">
        <v>1727</v>
      </c>
      <c r="AG49" t="str">
        <f>IF(_xlfn.XLOOKUP(B49,'DB - Identities'!U:U,'DB - Identities'!U:U,"ERROR")&lt;&gt;"ERROR","OK","ERROR")</f>
        <v>OK</v>
      </c>
    </row>
    <row r="50" spans="1:33">
      <c r="A50" s="122" t="s">
        <v>1830</v>
      </c>
      <c r="B50" s="122" t="s">
        <v>1475</v>
      </c>
      <c r="C50" s="122" t="s">
        <v>1721</v>
      </c>
      <c r="D50" s="122">
        <v>852857632</v>
      </c>
      <c r="E50" s="122" t="s">
        <v>1722</v>
      </c>
      <c r="F50" t="s">
        <v>1042</v>
      </c>
      <c r="H50" s="122" t="b">
        <v>0</v>
      </c>
      <c r="I50" s="122" t="b">
        <v>1</v>
      </c>
      <c r="J50" t="s">
        <v>1006</v>
      </c>
      <c r="L50" s="122" t="s">
        <v>1006</v>
      </c>
      <c r="M50" s="122" t="s">
        <v>1723</v>
      </c>
      <c r="N50" s="122" t="b">
        <v>1</v>
      </c>
      <c r="O50" s="122">
        <v>1614167472333</v>
      </c>
      <c r="P50" s="205">
        <f t="shared" si="2"/>
        <v>44251.493892743056</v>
      </c>
      <c r="Q50" s="122">
        <v>1624524416500</v>
      </c>
      <c r="R50" s="205">
        <f t="shared" si="3"/>
        <v>44371.365931712964</v>
      </c>
      <c r="S50" s="122" t="s">
        <v>1724</v>
      </c>
      <c r="T50" s="122" t="s">
        <v>1725</v>
      </c>
      <c r="U50" s="122" t="s">
        <v>1831</v>
      </c>
      <c r="V50" s="122" t="s">
        <v>1721</v>
      </c>
      <c r="W50" s="122" t="s">
        <v>1475</v>
      </c>
      <c r="X50" s="122" t="b">
        <v>1</v>
      </c>
      <c r="Y50" s="122" t="b">
        <v>0</v>
      </c>
      <c r="Z50" s="122" t="b">
        <v>0</v>
      </c>
      <c r="AA50" t="s">
        <v>1727</v>
      </c>
      <c r="AC50" t="s">
        <v>1727</v>
      </c>
      <c r="AE50" t="s">
        <v>1727</v>
      </c>
      <c r="AG50" t="str">
        <f>IF(_xlfn.XLOOKUP(B50,'DB - Identities'!U:U,'DB - Identities'!U:U,"ERROR")&lt;&gt;"ERROR","OK","ERROR")</f>
        <v>OK</v>
      </c>
    </row>
    <row r="51" spans="1:33">
      <c r="A51" s="122" t="s">
        <v>1832</v>
      </c>
      <c r="B51" s="122" t="s">
        <v>1476</v>
      </c>
      <c r="C51" s="122" t="s">
        <v>1721</v>
      </c>
      <c r="D51" s="122">
        <v>878938163</v>
      </c>
      <c r="E51" s="122" t="s">
        <v>1722</v>
      </c>
      <c r="F51" t="s">
        <v>1005</v>
      </c>
      <c r="H51" s="122" t="b">
        <v>0</v>
      </c>
      <c r="I51" s="122" t="b">
        <v>1</v>
      </c>
      <c r="J51" t="s">
        <v>1006</v>
      </c>
      <c r="L51" s="122" t="s">
        <v>1006</v>
      </c>
      <c r="M51" s="122" t="s">
        <v>1723</v>
      </c>
      <c r="N51" s="122" t="b">
        <v>1</v>
      </c>
      <c r="O51" s="122">
        <v>1611756598482</v>
      </c>
      <c r="P51" s="205">
        <f t="shared" si="2"/>
        <v>44223.590260208337</v>
      </c>
      <c r="Q51" s="122">
        <v>1624524376915</v>
      </c>
      <c r="R51" s="205">
        <f t="shared" si="3"/>
        <v>44371.36547355324</v>
      </c>
      <c r="S51" s="122" t="s">
        <v>1724</v>
      </c>
      <c r="T51" s="122" t="s">
        <v>1725</v>
      </c>
      <c r="U51" s="122" t="s">
        <v>1833</v>
      </c>
      <c r="V51" s="122" t="s">
        <v>1721</v>
      </c>
      <c r="W51" s="122" t="s">
        <v>1476</v>
      </c>
      <c r="X51" s="122" t="b">
        <v>1</v>
      </c>
      <c r="Y51" s="122" t="b">
        <v>0</v>
      </c>
      <c r="Z51" s="122" t="b">
        <v>0</v>
      </c>
      <c r="AA51" t="s">
        <v>1727</v>
      </c>
      <c r="AC51" t="s">
        <v>1727</v>
      </c>
      <c r="AE51" t="s">
        <v>1727</v>
      </c>
      <c r="AG51" t="str">
        <f>IF(_xlfn.XLOOKUP(B51,'DB - Identities'!U:U,'DB - Identities'!U:U,"ERROR")&lt;&gt;"ERROR","OK","ERROR")</f>
        <v>OK</v>
      </c>
    </row>
    <row r="52" spans="1:33">
      <c r="A52" s="122" t="s">
        <v>1834</v>
      </c>
      <c r="B52" s="122" t="s">
        <v>1477</v>
      </c>
      <c r="C52" s="122" t="s">
        <v>1721</v>
      </c>
      <c r="D52" s="122">
        <v>330856180</v>
      </c>
      <c r="E52" s="122" t="s">
        <v>1722</v>
      </c>
      <c r="F52" t="s">
        <v>1038</v>
      </c>
      <c r="H52" s="122" t="b">
        <v>0</v>
      </c>
      <c r="I52" s="122" t="b">
        <v>1</v>
      </c>
      <c r="J52" t="s">
        <v>1006</v>
      </c>
      <c r="L52" s="122" t="s">
        <v>1006</v>
      </c>
      <c r="M52" s="122" t="s">
        <v>1723</v>
      </c>
      <c r="N52" s="122" t="b">
        <v>1</v>
      </c>
      <c r="O52" s="122">
        <v>1613020759992</v>
      </c>
      <c r="P52" s="205">
        <f t="shared" si="2"/>
        <v>44238.22175916667</v>
      </c>
      <c r="Q52" s="122">
        <v>1624524311399</v>
      </c>
      <c r="R52" s="205">
        <f t="shared" si="3"/>
        <v>44371.364715266202</v>
      </c>
      <c r="S52" s="122" t="s">
        <v>1724</v>
      </c>
      <c r="T52" s="122" t="s">
        <v>1725</v>
      </c>
      <c r="U52" s="122" t="s">
        <v>1835</v>
      </c>
      <c r="V52" s="122" t="s">
        <v>1721</v>
      </c>
      <c r="W52" s="122" t="s">
        <v>1477</v>
      </c>
      <c r="X52" s="122" t="b">
        <v>1</v>
      </c>
      <c r="Y52" s="122" t="b">
        <v>0</v>
      </c>
      <c r="Z52" s="122" t="b">
        <v>0</v>
      </c>
      <c r="AA52" t="s">
        <v>1727</v>
      </c>
      <c r="AC52" t="s">
        <v>1727</v>
      </c>
      <c r="AE52" t="s">
        <v>1727</v>
      </c>
      <c r="AG52" t="str">
        <f>IF(_xlfn.XLOOKUP(B52,'DB - Identities'!U:U,'DB - Identities'!U:U,"ERROR")&lt;&gt;"ERROR","OK","ERROR")</f>
        <v>OK</v>
      </c>
    </row>
    <row r="53" spans="1:33">
      <c r="A53" s="122" t="s">
        <v>1836</v>
      </c>
      <c r="B53" s="122" t="s">
        <v>1491</v>
      </c>
      <c r="C53" s="122" t="s">
        <v>1721</v>
      </c>
      <c r="D53" s="122">
        <v>711592122</v>
      </c>
      <c r="E53" s="122" t="s">
        <v>1722</v>
      </c>
      <c r="F53" t="s">
        <v>1014</v>
      </c>
      <c r="H53" s="122" t="b">
        <v>0</v>
      </c>
      <c r="I53" s="122" t="b">
        <v>1</v>
      </c>
      <c r="J53" t="s">
        <v>1006</v>
      </c>
      <c r="L53" s="122" t="s">
        <v>1006</v>
      </c>
      <c r="M53" s="122" t="s">
        <v>1723</v>
      </c>
      <c r="N53" s="122" t="b">
        <v>1</v>
      </c>
      <c r="O53" s="122">
        <v>1611887265363</v>
      </c>
      <c r="P53" s="205">
        <f t="shared" si="2"/>
        <v>44225.102608368055</v>
      </c>
      <c r="Q53" s="122">
        <v>1624519377825</v>
      </c>
      <c r="R53" s="205">
        <f t="shared" si="3"/>
        <v>44371.307613715282</v>
      </c>
      <c r="S53" s="122" t="s">
        <v>1724</v>
      </c>
      <c r="T53" s="122" t="s">
        <v>1725</v>
      </c>
      <c r="U53" s="122" t="s">
        <v>1837</v>
      </c>
      <c r="V53" s="122" t="s">
        <v>1721</v>
      </c>
      <c r="W53" s="122" t="s">
        <v>1491</v>
      </c>
      <c r="X53" s="122" t="b">
        <v>1</v>
      </c>
      <c r="Y53" s="122" t="b">
        <v>0</v>
      </c>
      <c r="Z53" s="122" t="b">
        <v>0</v>
      </c>
      <c r="AA53" t="s">
        <v>1727</v>
      </c>
      <c r="AC53" t="s">
        <v>1727</v>
      </c>
      <c r="AE53" t="s">
        <v>1727</v>
      </c>
      <c r="AG53" t="str">
        <f>IF(_xlfn.XLOOKUP(B53,'DB - Identities'!U:U,'DB - Identities'!U:U,"ERROR")&lt;&gt;"ERROR","OK","ERROR")</f>
        <v>OK</v>
      </c>
    </row>
    <row r="54" spans="1:33">
      <c r="A54" s="122" t="s">
        <v>1838</v>
      </c>
      <c r="B54" s="122" t="s">
        <v>1551</v>
      </c>
      <c r="C54" s="122" t="s">
        <v>1721</v>
      </c>
      <c r="D54" s="122">
        <v>634153867</v>
      </c>
      <c r="E54" s="122" t="s">
        <v>1729</v>
      </c>
      <c r="F54" t="s">
        <v>1197</v>
      </c>
      <c r="H54" s="122" t="b">
        <v>0</v>
      </c>
      <c r="I54" s="122" t="b">
        <v>1</v>
      </c>
      <c r="J54" t="s">
        <v>1197</v>
      </c>
      <c r="L54" s="122" t="s">
        <v>1197</v>
      </c>
      <c r="M54" s="122" t="s">
        <v>1730</v>
      </c>
      <c r="N54" s="122" t="b">
        <v>0</v>
      </c>
      <c r="O54" s="122">
        <v>1624022365133</v>
      </c>
      <c r="P54" s="205">
        <f t="shared" si="2"/>
        <v>44365.555152002315</v>
      </c>
      <c r="Q54" s="122">
        <v>1624239909833</v>
      </c>
      <c r="R54" s="205">
        <f t="shared" si="3"/>
        <v>44368.073030474538</v>
      </c>
      <c r="S54" s="122" t="s">
        <v>1724</v>
      </c>
      <c r="T54" s="122" t="s">
        <v>1725</v>
      </c>
      <c r="U54" s="122" t="s">
        <v>1839</v>
      </c>
      <c r="V54" s="122" t="s">
        <v>1721</v>
      </c>
      <c r="W54" s="122" t="s">
        <v>1551</v>
      </c>
      <c r="X54" s="122" t="b">
        <v>1</v>
      </c>
      <c r="Y54" s="122" t="b">
        <v>0</v>
      </c>
      <c r="Z54" s="122" t="b">
        <v>0</v>
      </c>
      <c r="AA54" t="s">
        <v>1727</v>
      </c>
      <c r="AC54" t="s">
        <v>1727</v>
      </c>
      <c r="AE54" t="s">
        <v>1727</v>
      </c>
      <c r="AG54" t="str">
        <f>IF(_xlfn.XLOOKUP(B54,'DB - Identities'!U:U,'DB - Identities'!U:U,"ERROR")&lt;&gt;"ERROR","OK","ERROR")</f>
        <v>OK</v>
      </c>
    </row>
    <row r="55" spans="1:33">
      <c r="A55" s="122" t="s">
        <v>1840</v>
      </c>
      <c r="B55" s="122" t="s">
        <v>1540</v>
      </c>
      <c r="C55" s="122" t="s">
        <v>1721</v>
      </c>
      <c r="D55" s="122">
        <v>569400533</v>
      </c>
      <c r="E55" s="122" t="s">
        <v>1729</v>
      </c>
      <c r="F55" t="s">
        <v>1194</v>
      </c>
      <c r="H55" s="122" t="b">
        <v>0</v>
      </c>
      <c r="I55" s="122" t="b">
        <v>1</v>
      </c>
      <c r="J55" t="s">
        <v>1194</v>
      </c>
      <c r="L55" s="122" t="s">
        <v>1194</v>
      </c>
      <c r="M55" s="122" t="s">
        <v>1730</v>
      </c>
      <c r="N55" s="122" t="b">
        <v>0</v>
      </c>
      <c r="O55" s="122">
        <v>1623866952252</v>
      </c>
      <c r="P55" s="205">
        <f t="shared" si="2"/>
        <v>44363.756391805553</v>
      </c>
      <c r="Q55" s="122">
        <v>1623892539840</v>
      </c>
      <c r="R55" s="205">
        <f t="shared" si="3"/>
        <v>44364.052544444443</v>
      </c>
      <c r="S55" s="122" t="s">
        <v>1724</v>
      </c>
      <c r="T55" s="122" t="s">
        <v>1725</v>
      </c>
      <c r="U55" s="122" t="s">
        <v>1841</v>
      </c>
      <c r="V55" s="122" t="s">
        <v>1721</v>
      </c>
      <c r="W55" s="122" t="s">
        <v>1540</v>
      </c>
      <c r="X55" s="122" t="b">
        <v>1</v>
      </c>
      <c r="Y55" s="122" t="b">
        <v>0</v>
      </c>
      <c r="Z55" s="122" t="b">
        <v>0</v>
      </c>
      <c r="AA55" t="s">
        <v>1727</v>
      </c>
      <c r="AC55" t="s">
        <v>1727</v>
      </c>
      <c r="AE55" t="s">
        <v>1727</v>
      </c>
      <c r="AG55" t="str">
        <f>IF(_xlfn.XLOOKUP(B55,'DB - Identities'!U:U,'DB - Identities'!U:U,"ERROR")&lt;&gt;"ERROR","OK","ERROR")</f>
        <v>OK</v>
      </c>
    </row>
    <row r="56" spans="1:33">
      <c r="A56" s="122" t="s">
        <v>1842</v>
      </c>
      <c r="B56" s="122" t="s">
        <v>1519</v>
      </c>
      <c r="C56" s="122" t="s">
        <v>1721</v>
      </c>
      <c r="D56" s="122">
        <v>92015259</v>
      </c>
      <c r="E56" s="122" t="s">
        <v>1729</v>
      </c>
      <c r="F56" t="s">
        <v>1191</v>
      </c>
      <c r="H56" s="122" t="b">
        <v>0</v>
      </c>
      <c r="I56" s="122" t="b">
        <v>1</v>
      </c>
      <c r="J56" t="s">
        <v>1191</v>
      </c>
      <c r="L56" s="122" t="s">
        <v>1191</v>
      </c>
      <c r="M56" s="122" t="s">
        <v>1730</v>
      </c>
      <c r="N56" s="122" t="b">
        <v>0</v>
      </c>
      <c r="O56" s="122">
        <v>1623667165420</v>
      </c>
      <c r="P56" s="205">
        <f t="shared" si="2"/>
        <v>44361.444044212963</v>
      </c>
      <c r="Q56" s="122">
        <v>1623718831611</v>
      </c>
      <c r="R56" s="205">
        <f t="shared" si="3"/>
        <v>44362.042032534722</v>
      </c>
      <c r="S56" s="122" t="s">
        <v>1724</v>
      </c>
      <c r="T56" s="122" t="s">
        <v>1725</v>
      </c>
      <c r="U56" s="122" t="s">
        <v>1843</v>
      </c>
      <c r="V56" s="122" t="s">
        <v>1721</v>
      </c>
      <c r="W56" s="122" t="s">
        <v>1519</v>
      </c>
      <c r="X56" s="122" t="b">
        <v>1</v>
      </c>
      <c r="Y56" s="122" t="b">
        <v>0</v>
      </c>
      <c r="Z56" s="122" t="b">
        <v>0</v>
      </c>
      <c r="AA56" t="s">
        <v>1727</v>
      </c>
      <c r="AC56" t="s">
        <v>1727</v>
      </c>
      <c r="AE56" t="s">
        <v>1727</v>
      </c>
      <c r="AG56" t="str">
        <f>IF(_xlfn.XLOOKUP(B56,'DB - Identities'!U:U,'DB - Identities'!U:U,"ERROR")&lt;&gt;"ERROR","OK","ERROR")</f>
        <v>OK</v>
      </c>
    </row>
    <row r="57" spans="1:33">
      <c r="A57" s="122" t="s">
        <v>1844</v>
      </c>
      <c r="B57" s="122" t="s">
        <v>1530</v>
      </c>
      <c r="C57" s="122" t="s">
        <v>1721</v>
      </c>
      <c r="D57" s="122">
        <v>58791134</v>
      </c>
      <c r="E57" s="122" t="s">
        <v>1729</v>
      </c>
      <c r="F57" t="s">
        <v>1189</v>
      </c>
      <c r="H57" s="122" t="b">
        <v>0</v>
      </c>
      <c r="I57" s="122" t="b">
        <v>1</v>
      </c>
      <c r="J57" t="s">
        <v>1189</v>
      </c>
      <c r="L57" s="122" t="s">
        <v>1189</v>
      </c>
      <c r="M57" s="122" t="s">
        <v>1730</v>
      </c>
      <c r="N57" s="122" t="b">
        <v>0</v>
      </c>
      <c r="O57" s="122">
        <v>1623415182011</v>
      </c>
      <c r="P57" s="205">
        <f t="shared" si="2"/>
        <v>44358.527569571757</v>
      </c>
      <c r="Q57" s="122">
        <v>1623636517333</v>
      </c>
      <c r="R57" s="205">
        <f t="shared" si="3"/>
        <v>44361.089320983796</v>
      </c>
      <c r="S57" s="122" t="s">
        <v>1724</v>
      </c>
      <c r="T57" s="122" t="s">
        <v>1725</v>
      </c>
      <c r="U57" s="122" t="s">
        <v>1845</v>
      </c>
      <c r="V57" s="122" t="s">
        <v>1721</v>
      </c>
      <c r="W57" s="122" t="s">
        <v>1530</v>
      </c>
      <c r="X57" s="122" t="b">
        <v>1</v>
      </c>
      <c r="Y57" s="122" t="b">
        <v>0</v>
      </c>
      <c r="Z57" s="122" t="b">
        <v>0</v>
      </c>
      <c r="AA57" t="s">
        <v>1727</v>
      </c>
      <c r="AC57" t="s">
        <v>1727</v>
      </c>
      <c r="AE57" t="s">
        <v>1727</v>
      </c>
      <c r="AG57" t="str">
        <f>IF(_xlfn.XLOOKUP(B57,'DB - Identities'!U:U,'DB - Identities'!U:U,"ERROR")&lt;&gt;"ERROR","OK","ERROR")</f>
        <v>OK</v>
      </c>
    </row>
    <row r="58" spans="1:33">
      <c r="A58" s="122" t="s">
        <v>1846</v>
      </c>
      <c r="B58" s="122" t="s">
        <v>1520</v>
      </c>
      <c r="C58" s="122" t="s">
        <v>1721</v>
      </c>
      <c r="D58" s="122">
        <v>152502340</v>
      </c>
      <c r="E58" s="122" t="s">
        <v>1729</v>
      </c>
      <c r="F58" t="s">
        <v>1185</v>
      </c>
      <c r="H58" s="122" t="b">
        <v>0</v>
      </c>
      <c r="I58" s="122" t="b">
        <v>1</v>
      </c>
      <c r="J58" t="s">
        <v>1185</v>
      </c>
      <c r="L58" s="122" t="s">
        <v>1185</v>
      </c>
      <c r="M58" s="122" t="s">
        <v>1730</v>
      </c>
      <c r="N58" s="122" t="b">
        <v>0</v>
      </c>
      <c r="O58" s="122">
        <v>1623052832056</v>
      </c>
      <c r="P58" s="205">
        <f t="shared" si="2"/>
        <v>44354.333704351855</v>
      </c>
      <c r="Q58" s="122">
        <v>1623054749742</v>
      </c>
      <c r="R58" s="205">
        <f t="shared" si="3"/>
        <v>44354.35589979167</v>
      </c>
      <c r="S58" s="122" t="s">
        <v>1724</v>
      </c>
      <c r="T58" s="122" t="s">
        <v>1725</v>
      </c>
      <c r="U58" s="122" t="s">
        <v>1847</v>
      </c>
      <c r="V58" s="122" t="s">
        <v>1721</v>
      </c>
      <c r="W58" s="122" t="s">
        <v>1520</v>
      </c>
      <c r="X58" s="122" t="b">
        <v>1</v>
      </c>
      <c r="Y58" s="122" t="b">
        <v>0</v>
      </c>
      <c r="Z58" s="122" t="b">
        <v>0</v>
      </c>
      <c r="AA58" t="s">
        <v>1727</v>
      </c>
      <c r="AC58" t="s">
        <v>1727</v>
      </c>
      <c r="AE58" t="s">
        <v>1727</v>
      </c>
      <c r="AG58" t="str">
        <f>IF(_xlfn.XLOOKUP(B58,'DB - Identities'!U:U,'DB - Identities'!U:U,"ERROR")&lt;&gt;"ERROR","OK","ERROR")</f>
        <v>OK</v>
      </c>
    </row>
    <row r="59" spans="1:33">
      <c r="A59" s="122" t="s">
        <v>1848</v>
      </c>
      <c r="B59" s="122" t="s">
        <v>1553</v>
      </c>
      <c r="C59" s="122" t="s">
        <v>1721</v>
      </c>
      <c r="D59" s="122">
        <v>410876024</v>
      </c>
      <c r="E59" s="122" t="s">
        <v>1729</v>
      </c>
      <c r="F59" t="s">
        <v>648</v>
      </c>
      <c r="H59" s="122" t="b">
        <v>0</v>
      </c>
      <c r="I59" s="122" t="b">
        <v>1</v>
      </c>
      <c r="J59" t="s">
        <v>648</v>
      </c>
      <c r="L59" s="122" t="s">
        <v>648</v>
      </c>
      <c r="M59" s="122" t="s">
        <v>1730</v>
      </c>
      <c r="N59" s="122" t="b">
        <v>0</v>
      </c>
      <c r="O59" s="122">
        <v>1622731808982</v>
      </c>
      <c r="P59" s="205">
        <f t="shared" si="2"/>
        <v>44350.618159513891</v>
      </c>
      <c r="Q59" s="122">
        <v>1623034903498</v>
      </c>
      <c r="R59" s="205">
        <f t="shared" si="3"/>
        <v>44354.126197893522</v>
      </c>
      <c r="S59" s="122" t="s">
        <v>1724</v>
      </c>
      <c r="T59" s="122" t="s">
        <v>1725</v>
      </c>
      <c r="U59" s="122" t="s">
        <v>1849</v>
      </c>
      <c r="V59" s="122" t="s">
        <v>1721</v>
      </c>
      <c r="W59" s="122" t="s">
        <v>1553</v>
      </c>
      <c r="X59" s="122" t="b">
        <v>1</v>
      </c>
      <c r="Y59" s="122" t="b">
        <v>0</v>
      </c>
      <c r="Z59" s="122" t="b">
        <v>0</v>
      </c>
      <c r="AA59" t="s">
        <v>1727</v>
      </c>
      <c r="AC59" t="s">
        <v>1727</v>
      </c>
      <c r="AE59" t="s">
        <v>1727</v>
      </c>
      <c r="AG59" t="str">
        <f>IF(_xlfn.XLOOKUP(B59,'DB - Identities'!U:U,'DB - Identities'!U:U,"ERROR")&lt;&gt;"ERROR","OK","ERROR")</f>
        <v>OK</v>
      </c>
    </row>
    <row r="60" spans="1:33">
      <c r="A60" s="122" t="s">
        <v>1850</v>
      </c>
      <c r="B60" s="122" t="s">
        <v>1444</v>
      </c>
      <c r="C60" s="122" t="s">
        <v>1721</v>
      </c>
      <c r="D60" s="122">
        <v>197542693</v>
      </c>
      <c r="E60" s="122" t="s">
        <v>1722</v>
      </c>
      <c r="F60" t="s">
        <v>1021</v>
      </c>
      <c r="H60" s="122" t="b">
        <v>0</v>
      </c>
      <c r="I60" s="122" t="b">
        <v>1</v>
      </c>
      <c r="J60" t="s">
        <v>41</v>
      </c>
      <c r="L60" s="122" t="s">
        <v>41</v>
      </c>
      <c r="M60" s="122" t="s">
        <v>1723</v>
      </c>
      <c r="N60" s="122" t="b">
        <v>1</v>
      </c>
      <c r="O60" s="122">
        <v>1610086487212</v>
      </c>
      <c r="P60" s="205">
        <f t="shared" si="2"/>
        <v>44204.26026865741</v>
      </c>
      <c r="Q60" s="122">
        <v>1620613025462</v>
      </c>
      <c r="R60" s="205">
        <f t="shared" si="3"/>
        <v>44326.09520210648</v>
      </c>
      <c r="S60" s="122" t="s">
        <v>1724</v>
      </c>
      <c r="T60" s="122" t="s">
        <v>1725</v>
      </c>
      <c r="U60" s="122" t="s">
        <v>1851</v>
      </c>
      <c r="V60" s="122" t="s">
        <v>1721</v>
      </c>
      <c r="W60" s="122" t="s">
        <v>1444</v>
      </c>
      <c r="X60" s="122" t="b">
        <v>1</v>
      </c>
      <c r="Y60" s="122" t="b">
        <v>0</v>
      </c>
      <c r="Z60" s="122" t="b">
        <v>0</v>
      </c>
      <c r="AA60" t="s">
        <v>1727</v>
      </c>
      <c r="AC60" t="s">
        <v>1727</v>
      </c>
      <c r="AE60" t="s">
        <v>1727</v>
      </c>
      <c r="AG60" t="str">
        <f>IF(_xlfn.XLOOKUP(B60,'DB - Identities'!U:U,'DB - Identities'!U:U,"ERROR")&lt;&gt;"ERROR","OK","ERROR")</f>
        <v>OK</v>
      </c>
    </row>
    <row r="61" spans="1:33">
      <c r="A61" s="122" t="s">
        <v>1852</v>
      </c>
      <c r="B61" s="122" t="s">
        <v>1559</v>
      </c>
      <c r="C61" s="122" t="s">
        <v>1721</v>
      </c>
      <c r="D61" s="122">
        <v>485648362</v>
      </c>
      <c r="E61" s="122" t="s">
        <v>1729</v>
      </c>
      <c r="F61" t="s">
        <v>1179</v>
      </c>
      <c r="H61" s="122" t="b">
        <v>0</v>
      </c>
      <c r="I61" s="122" t="b">
        <v>1</v>
      </c>
      <c r="J61" t="s">
        <v>1179</v>
      </c>
      <c r="L61" s="122" t="s">
        <v>1179</v>
      </c>
      <c r="M61" s="122" t="s">
        <v>1730</v>
      </c>
      <c r="N61" s="122" t="b">
        <v>0</v>
      </c>
      <c r="O61" s="122">
        <v>1620065143131</v>
      </c>
      <c r="P61" s="205">
        <f t="shared" si="2"/>
        <v>44319.753971423612</v>
      </c>
      <c r="Q61" s="122">
        <v>1620092195829</v>
      </c>
      <c r="R61" s="205">
        <f t="shared" si="3"/>
        <v>44320.067081354166</v>
      </c>
      <c r="S61" s="122" t="s">
        <v>1724</v>
      </c>
      <c r="T61" s="122" t="s">
        <v>1725</v>
      </c>
      <c r="U61" s="122" t="s">
        <v>1853</v>
      </c>
      <c r="V61" s="122" t="s">
        <v>1721</v>
      </c>
      <c r="W61" s="122" t="s">
        <v>1559</v>
      </c>
      <c r="X61" s="122" t="b">
        <v>1</v>
      </c>
      <c r="Y61" s="122" t="b">
        <v>0</v>
      </c>
      <c r="Z61" s="122" t="b">
        <v>0</v>
      </c>
      <c r="AA61" t="s">
        <v>1727</v>
      </c>
      <c r="AC61" t="s">
        <v>1727</v>
      </c>
      <c r="AE61" t="s">
        <v>1727</v>
      </c>
      <c r="AG61" t="str">
        <f>IF(_xlfn.XLOOKUP(B61,'DB - Identities'!U:U,'DB - Identities'!U:U,"ERROR")&lt;&gt;"ERROR","OK","ERROR")</f>
        <v>OK</v>
      </c>
    </row>
    <row r="62" spans="1:33">
      <c r="A62" s="122" t="s">
        <v>1854</v>
      </c>
      <c r="B62" s="122" t="s">
        <v>1468</v>
      </c>
      <c r="C62" s="122" t="s">
        <v>1721</v>
      </c>
      <c r="D62" s="122">
        <v>82710369</v>
      </c>
      <c r="E62" s="122" t="s">
        <v>1722</v>
      </c>
      <c r="F62" t="s">
        <v>1085</v>
      </c>
      <c r="H62" s="122" t="b">
        <v>0</v>
      </c>
      <c r="I62" s="122" t="b">
        <v>1</v>
      </c>
      <c r="J62" t="s">
        <v>1085</v>
      </c>
      <c r="L62" s="122" t="s">
        <v>1085</v>
      </c>
      <c r="M62" s="122" t="s">
        <v>1723</v>
      </c>
      <c r="N62" s="122" t="b">
        <v>1</v>
      </c>
      <c r="O62" s="122">
        <v>1618930622394</v>
      </c>
      <c r="P62" s="205">
        <f t="shared" si="2"/>
        <v>44306.622944375005</v>
      </c>
      <c r="Q62" s="122">
        <v>1619602717781</v>
      </c>
      <c r="R62" s="205">
        <f t="shared" si="3"/>
        <v>44314.401826168978</v>
      </c>
      <c r="S62" s="122" t="s">
        <v>1724</v>
      </c>
      <c r="T62" s="122" t="s">
        <v>1725</v>
      </c>
      <c r="U62" s="122" t="s">
        <v>1855</v>
      </c>
      <c r="V62" s="122" t="s">
        <v>1721</v>
      </c>
      <c r="W62" s="122" t="s">
        <v>1468</v>
      </c>
      <c r="X62" s="122" t="b">
        <v>1</v>
      </c>
      <c r="Y62" s="122" t="b">
        <v>0</v>
      </c>
      <c r="Z62" s="122" t="b">
        <v>0</v>
      </c>
      <c r="AA62" t="s">
        <v>1727</v>
      </c>
      <c r="AC62" t="s">
        <v>1727</v>
      </c>
      <c r="AE62" t="s">
        <v>1727</v>
      </c>
      <c r="AG62" t="str">
        <f>IF(_xlfn.XLOOKUP(B62,'DB - Identities'!U:U,'DB - Identities'!U:U,"ERROR")&lt;&gt;"ERROR","OK","ERROR")</f>
        <v>OK</v>
      </c>
    </row>
    <row r="63" spans="1:33">
      <c r="A63" s="122" t="s">
        <v>1856</v>
      </c>
      <c r="B63" s="122" t="s">
        <v>1448</v>
      </c>
      <c r="C63" s="122" t="s">
        <v>1721</v>
      </c>
      <c r="D63" s="122">
        <v>287885091</v>
      </c>
      <c r="E63" s="122" t="s">
        <v>1729</v>
      </c>
      <c r="F63" t="s">
        <v>1857</v>
      </c>
      <c r="H63" s="122" t="b">
        <v>0</v>
      </c>
      <c r="I63" s="122" t="b">
        <v>1</v>
      </c>
      <c r="J63" t="s">
        <v>1335</v>
      </c>
      <c r="L63" s="122" t="s">
        <v>1335</v>
      </c>
      <c r="M63" s="122" t="s">
        <v>1730</v>
      </c>
      <c r="N63" s="122" t="b">
        <v>0</v>
      </c>
      <c r="O63" s="122">
        <v>1598600352334</v>
      </c>
      <c r="P63" s="205">
        <f t="shared" si="2"/>
        <v>44071.318892754629</v>
      </c>
      <c r="Q63" s="122">
        <v>1619167159879</v>
      </c>
      <c r="R63" s="205">
        <f t="shared" si="3"/>
        <v>44309.360646747678</v>
      </c>
      <c r="S63" s="122" t="s">
        <v>1724</v>
      </c>
      <c r="T63" s="122" t="s">
        <v>1725</v>
      </c>
      <c r="U63" s="122" t="s">
        <v>1858</v>
      </c>
      <c r="V63" s="122" t="s">
        <v>1721</v>
      </c>
      <c r="W63" s="122" t="s">
        <v>1448</v>
      </c>
      <c r="X63" s="122" t="b">
        <v>1</v>
      </c>
      <c r="Y63" s="122" t="b">
        <v>0</v>
      </c>
      <c r="Z63" s="122" t="b">
        <v>0</v>
      </c>
      <c r="AA63" t="s">
        <v>1727</v>
      </c>
      <c r="AC63" t="s">
        <v>1727</v>
      </c>
      <c r="AE63" t="s">
        <v>1727</v>
      </c>
      <c r="AG63" t="str">
        <f>IF(_xlfn.XLOOKUP(B63,'DB - Identities'!U:U,'DB - Identities'!U:U,"ERROR")&lt;&gt;"ERROR","OK","ERROR")</f>
        <v>OK</v>
      </c>
    </row>
    <row r="64" spans="1:33">
      <c r="A64" s="122" t="s">
        <v>1859</v>
      </c>
      <c r="B64" s="122" t="s">
        <v>1528</v>
      </c>
      <c r="C64" s="122" t="s">
        <v>1721</v>
      </c>
      <c r="D64" s="122">
        <v>928801753</v>
      </c>
      <c r="E64" s="122" t="s">
        <v>1729</v>
      </c>
      <c r="F64" t="s">
        <v>1169</v>
      </c>
      <c r="H64" s="122" t="b">
        <v>0</v>
      </c>
      <c r="I64" s="122" t="b">
        <v>1</v>
      </c>
      <c r="J64" t="s">
        <v>1169</v>
      </c>
      <c r="L64" s="122" t="s">
        <v>1169</v>
      </c>
      <c r="M64" s="122" t="s">
        <v>1730</v>
      </c>
      <c r="N64" s="122" t="b">
        <v>0</v>
      </c>
      <c r="O64" s="122">
        <v>1618908797718</v>
      </c>
      <c r="P64" s="205">
        <f t="shared" si="2"/>
        <v>44306.370343958333</v>
      </c>
      <c r="Q64" s="122">
        <v>1618910967943</v>
      </c>
      <c r="R64" s="205">
        <f t="shared" si="3"/>
        <v>44306.39546230324</v>
      </c>
      <c r="S64" s="122" t="s">
        <v>1724</v>
      </c>
      <c r="T64" s="122" t="s">
        <v>1725</v>
      </c>
      <c r="U64" s="122" t="s">
        <v>1860</v>
      </c>
      <c r="V64" s="122" t="s">
        <v>1721</v>
      </c>
      <c r="W64" s="122" t="s">
        <v>1528</v>
      </c>
      <c r="X64" s="122" t="b">
        <v>1</v>
      </c>
      <c r="Y64" s="122" t="b">
        <v>0</v>
      </c>
      <c r="Z64" s="122" t="b">
        <v>0</v>
      </c>
      <c r="AA64" t="s">
        <v>1727</v>
      </c>
      <c r="AC64" t="s">
        <v>1727</v>
      </c>
      <c r="AE64" t="s">
        <v>1727</v>
      </c>
      <c r="AG64" t="str">
        <f>IF(_xlfn.XLOOKUP(B64,'DB - Identities'!U:U,'DB - Identities'!U:U,"ERROR")&lt;&gt;"ERROR","OK","ERROR")</f>
        <v>OK</v>
      </c>
    </row>
    <row r="65" spans="1:34">
      <c r="A65" s="122" t="s">
        <v>1861</v>
      </c>
      <c r="B65" s="122" t="s">
        <v>1497</v>
      </c>
      <c r="C65" s="122" t="s">
        <v>1721</v>
      </c>
      <c r="D65" s="122">
        <v>11567442</v>
      </c>
      <c r="E65" s="122" t="s">
        <v>1722</v>
      </c>
      <c r="F65" s="122" t="s">
        <v>731</v>
      </c>
      <c r="G65" s="122"/>
      <c r="H65" s="122" t="b">
        <v>0</v>
      </c>
      <c r="I65" s="122" t="b">
        <v>1</v>
      </c>
      <c r="J65" t="s">
        <v>1862</v>
      </c>
      <c r="L65" s="122" t="s">
        <v>1862</v>
      </c>
      <c r="M65" s="122" t="s">
        <v>1723</v>
      </c>
      <c r="N65" s="122" t="b">
        <v>1</v>
      </c>
      <c r="O65" s="122">
        <v>1604486256448</v>
      </c>
      <c r="P65" s="205">
        <f t="shared" si="2"/>
        <v>44139.442782962957</v>
      </c>
      <c r="Q65" s="122">
        <v>1618390656926</v>
      </c>
      <c r="R65" s="205">
        <f t="shared" si="3"/>
        <v>44300.373344050924</v>
      </c>
      <c r="S65" s="122" t="s">
        <v>1724</v>
      </c>
      <c r="T65" s="122" t="s">
        <v>1725</v>
      </c>
      <c r="U65" s="122" t="s">
        <v>1863</v>
      </c>
      <c r="V65" s="122" t="s">
        <v>1721</v>
      </c>
      <c r="W65" s="122" t="s">
        <v>1497</v>
      </c>
      <c r="X65" s="122" t="b">
        <v>1</v>
      </c>
      <c r="Y65" s="122" t="b">
        <v>0</v>
      </c>
      <c r="Z65" s="122" t="b">
        <v>0</v>
      </c>
      <c r="AA65" t="s">
        <v>1727</v>
      </c>
      <c r="AC65" t="s">
        <v>1727</v>
      </c>
      <c r="AE65" t="s">
        <v>1727</v>
      </c>
      <c r="AG65" t="str">
        <f>IF(_xlfn.XLOOKUP(B65,'DB - Identities'!U:U,'DB - Identities'!U:U,"ERROR")&lt;&gt;"ERROR","OK","ERROR")</f>
        <v>OK</v>
      </c>
    </row>
    <row r="66" spans="1:34">
      <c r="A66" s="122" t="s">
        <v>1864</v>
      </c>
      <c r="B66" s="122" t="s">
        <v>1527</v>
      </c>
      <c r="C66" s="122" t="s">
        <v>1721</v>
      </c>
      <c r="D66" s="122">
        <v>578096936</v>
      </c>
      <c r="E66" s="122" t="s">
        <v>1729</v>
      </c>
      <c r="F66" t="s">
        <v>1166</v>
      </c>
      <c r="H66" s="122" t="b">
        <v>0</v>
      </c>
      <c r="I66" s="122" t="b">
        <v>1</v>
      </c>
      <c r="J66" t="s">
        <v>1166</v>
      </c>
      <c r="L66" s="122" t="s">
        <v>1166</v>
      </c>
      <c r="M66" s="122" t="s">
        <v>1730</v>
      </c>
      <c r="N66" s="122" t="b">
        <v>0</v>
      </c>
      <c r="O66" s="122">
        <v>1617961331058</v>
      </c>
      <c r="P66" s="205">
        <f t="shared" si="2"/>
        <v>44295.404294652777</v>
      </c>
      <c r="Q66" s="122">
        <v>1617962239151</v>
      </c>
      <c r="R66" s="205">
        <f t="shared" si="3"/>
        <v>44295.414804988424</v>
      </c>
      <c r="S66" s="122" t="s">
        <v>1724</v>
      </c>
      <c r="T66" s="122" t="s">
        <v>1725</v>
      </c>
      <c r="U66" s="122" t="s">
        <v>1865</v>
      </c>
      <c r="V66" s="122" t="s">
        <v>1721</v>
      </c>
      <c r="W66" s="122" t="s">
        <v>1527</v>
      </c>
      <c r="X66" s="122" t="b">
        <v>1</v>
      </c>
      <c r="Y66" s="122" t="b">
        <v>0</v>
      </c>
      <c r="Z66" s="122" t="b">
        <v>0</v>
      </c>
      <c r="AA66" t="s">
        <v>1727</v>
      </c>
      <c r="AC66" t="s">
        <v>1727</v>
      </c>
      <c r="AE66" t="s">
        <v>1727</v>
      </c>
      <c r="AG66" t="str">
        <f>IF(_xlfn.XLOOKUP(B66,'DB - Identities'!U:U,'DB - Identities'!U:U,"ERROR")&lt;&gt;"ERROR","OK","ERROR")</f>
        <v>OK</v>
      </c>
    </row>
    <row r="67" spans="1:34">
      <c r="A67" s="122" t="s">
        <v>1866</v>
      </c>
      <c r="B67" s="122" t="s">
        <v>1496</v>
      </c>
      <c r="C67" s="122" t="s">
        <v>1721</v>
      </c>
      <c r="D67" s="122">
        <v>297362855</v>
      </c>
      <c r="E67" s="122" t="s">
        <v>1722</v>
      </c>
      <c r="F67" t="s">
        <v>1600</v>
      </c>
      <c r="H67" s="122" t="b">
        <v>0</v>
      </c>
      <c r="I67" s="122" t="b">
        <v>1</v>
      </c>
      <c r="J67" t="s">
        <v>1600</v>
      </c>
      <c r="L67" s="122" t="s">
        <v>1600</v>
      </c>
      <c r="M67" s="122" t="s">
        <v>1723</v>
      </c>
      <c r="N67" s="122" t="b">
        <v>1</v>
      </c>
      <c r="O67" s="122">
        <v>1598601033637</v>
      </c>
      <c r="P67" s="205">
        <f t="shared" si="2"/>
        <v>44071.326778206014</v>
      </c>
      <c r="Q67" s="122">
        <v>1617248956234</v>
      </c>
      <c r="R67" s="205">
        <f t="shared" si="3"/>
        <v>44287.159215671294</v>
      </c>
      <c r="S67" s="122" t="s">
        <v>1724</v>
      </c>
      <c r="T67" s="122" t="s">
        <v>1725</v>
      </c>
      <c r="U67" s="122" t="s">
        <v>1867</v>
      </c>
      <c r="V67" s="122" t="s">
        <v>1721</v>
      </c>
      <c r="W67" s="122" t="s">
        <v>1496</v>
      </c>
      <c r="X67" s="122" t="b">
        <v>1</v>
      </c>
      <c r="Y67" s="122" t="b">
        <v>0</v>
      </c>
      <c r="Z67" s="122" t="b">
        <v>0</v>
      </c>
      <c r="AA67" t="s">
        <v>1727</v>
      </c>
      <c r="AC67" t="s">
        <v>1727</v>
      </c>
      <c r="AE67" t="s">
        <v>1727</v>
      </c>
      <c r="AG67" t="str">
        <f>IF(_xlfn.XLOOKUP(B67,'DB - Identities'!U:U,'DB - Identities'!U:U,"ERROR")&lt;&gt;"ERROR","OK","ERROR")</f>
        <v>OK</v>
      </c>
    </row>
    <row r="68" spans="1:34">
      <c r="A68" s="122" t="s">
        <v>1868</v>
      </c>
      <c r="B68" s="122" t="s">
        <v>1500</v>
      </c>
      <c r="C68" s="122" t="s">
        <v>1721</v>
      </c>
      <c r="D68" s="122">
        <v>769225837</v>
      </c>
      <c r="E68" s="122" t="s">
        <v>1722</v>
      </c>
      <c r="F68" t="s">
        <v>1054</v>
      </c>
      <c r="H68" s="122" t="b">
        <v>0</v>
      </c>
      <c r="I68" s="122" t="b">
        <v>1</v>
      </c>
      <c r="J68" t="s">
        <v>1054</v>
      </c>
      <c r="L68" s="122" t="s">
        <v>1054</v>
      </c>
      <c r="M68" s="122" t="s">
        <v>1723</v>
      </c>
      <c r="N68" s="122" t="b">
        <v>1</v>
      </c>
      <c r="O68" s="122">
        <v>1617091301869</v>
      </c>
      <c r="P68" s="205">
        <f t="shared" si="2"/>
        <v>44285.33451237269</v>
      </c>
      <c r="Q68" s="122">
        <v>1617092809492</v>
      </c>
      <c r="R68" s="205">
        <f t="shared" si="3"/>
        <v>44285.351961712964</v>
      </c>
      <c r="S68" s="122" t="s">
        <v>1724</v>
      </c>
      <c r="T68" s="122" t="s">
        <v>1725</v>
      </c>
      <c r="U68" s="122" t="s">
        <v>1869</v>
      </c>
      <c r="V68" s="122" t="s">
        <v>1721</v>
      </c>
      <c r="W68" s="122" t="s">
        <v>1500</v>
      </c>
      <c r="X68" s="122" t="b">
        <v>1</v>
      </c>
      <c r="Y68" s="122" t="b">
        <v>0</v>
      </c>
      <c r="Z68" s="122" t="b">
        <v>0</v>
      </c>
      <c r="AA68" t="s">
        <v>1727</v>
      </c>
      <c r="AC68" t="s">
        <v>1727</v>
      </c>
      <c r="AE68" t="s">
        <v>1727</v>
      </c>
      <c r="AG68" t="str">
        <f>IF(_xlfn.XLOOKUP(B68,'DB - Identities'!U:U,'DB - Identities'!U:U,"ERROR")&lt;&gt;"ERROR","OK","ERROR")</f>
        <v>OK</v>
      </c>
    </row>
    <row r="69" spans="1:34">
      <c r="A69" s="122" t="s">
        <v>1870</v>
      </c>
      <c r="B69" s="122" t="s">
        <v>1524</v>
      </c>
      <c r="C69" s="122" t="s">
        <v>1721</v>
      </c>
      <c r="D69" s="122">
        <v>722481030</v>
      </c>
      <c r="E69" s="122" t="s">
        <v>1722</v>
      </c>
      <c r="F69" t="s">
        <v>1139</v>
      </c>
      <c r="H69" s="122" t="b">
        <v>0</v>
      </c>
      <c r="I69" s="122" t="b">
        <v>1</v>
      </c>
      <c r="J69" t="s">
        <v>1139</v>
      </c>
      <c r="L69" s="122" t="s">
        <v>1139</v>
      </c>
      <c r="M69" s="122" t="s">
        <v>1723</v>
      </c>
      <c r="N69" s="122" t="b">
        <v>1</v>
      </c>
      <c r="O69" s="122">
        <v>1617018805293</v>
      </c>
      <c r="P69" s="205">
        <f t="shared" si="2"/>
        <v>44284.495431631949</v>
      </c>
      <c r="Q69" s="122">
        <v>1617019083452</v>
      </c>
      <c r="R69" s="205">
        <f t="shared" si="3"/>
        <v>44284.498651064816</v>
      </c>
      <c r="S69" s="122" t="s">
        <v>1724</v>
      </c>
      <c r="T69" s="122" t="s">
        <v>1725</v>
      </c>
      <c r="U69" s="122" t="s">
        <v>1871</v>
      </c>
      <c r="V69" s="122" t="s">
        <v>1721</v>
      </c>
      <c r="W69" s="122" t="s">
        <v>1524</v>
      </c>
      <c r="X69" s="122" t="b">
        <v>1</v>
      </c>
      <c r="Y69" s="122" t="b">
        <v>0</v>
      </c>
      <c r="Z69" s="122" t="b">
        <v>0</v>
      </c>
      <c r="AA69" t="s">
        <v>1727</v>
      </c>
      <c r="AC69" t="s">
        <v>1727</v>
      </c>
      <c r="AE69" t="s">
        <v>1727</v>
      </c>
      <c r="AG69" t="str">
        <f>IF(_xlfn.XLOOKUP(B69,'DB - Identities'!U:U,'DB - Identities'!U:U,"ERROR")&lt;&gt;"ERROR","OK","ERROR")</f>
        <v>OK</v>
      </c>
    </row>
    <row r="70" spans="1:34" hidden="1">
      <c r="A70" s="122" t="s">
        <v>1872</v>
      </c>
      <c r="B70" s="122" t="s">
        <v>1515</v>
      </c>
      <c r="C70" s="122" t="s">
        <v>1721</v>
      </c>
      <c r="D70" s="122">
        <v>725177225</v>
      </c>
      <c r="E70" s="122" t="s">
        <v>1722</v>
      </c>
      <c r="F70" t="s">
        <v>1156</v>
      </c>
      <c r="H70" s="122" t="b">
        <v>0</v>
      </c>
      <c r="I70" s="122" t="b">
        <v>1</v>
      </c>
      <c r="J70" t="s">
        <v>1156</v>
      </c>
      <c r="L70" s="122" t="s">
        <v>1156</v>
      </c>
      <c r="M70" s="122" t="s">
        <v>1723</v>
      </c>
      <c r="N70" s="122" t="b">
        <v>1</v>
      </c>
      <c r="O70" s="122">
        <v>1616570348759</v>
      </c>
      <c r="P70" s="122"/>
      <c r="Q70" s="122">
        <v>1616573775158</v>
      </c>
      <c r="R70" s="122"/>
      <c r="S70" s="122" t="s">
        <v>1724</v>
      </c>
      <c r="T70" s="122" t="s">
        <v>1725</v>
      </c>
      <c r="U70" s="122" t="s">
        <v>1873</v>
      </c>
      <c r="V70" s="122" t="s">
        <v>1721</v>
      </c>
      <c r="W70" s="122" t="s">
        <v>1515</v>
      </c>
      <c r="X70" s="122" t="b">
        <v>1</v>
      </c>
      <c r="Y70" s="122" t="b">
        <v>0</v>
      </c>
      <c r="Z70" s="122" t="b">
        <v>0</v>
      </c>
      <c r="AA70" t="s">
        <v>1727</v>
      </c>
      <c r="AC70" t="s">
        <v>1727</v>
      </c>
      <c r="AE70" t="s">
        <v>1727</v>
      </c>
      <c r="AG70" t="str">
        <f>IF(_xlfn.XLOOKUP(B70,'DB - Identities'!U:U,'DB - Identities'!U:U,"ERROR")&lt;&gt;"ERROR","OK","ERROR")</f>
        <v>OK</v>
      </c>
    </row>
    <row r="71" spans="1:34" hidden="1">
      <c r="A71" s="122" t="s">
        <v>1874</v>
      </c>
      <c r="B71" s="122" t="s">
        <v>1549</v>
      </c>
      <c r="C71" s="122" t="s">
        <v>1721</v>
      </c>
      <c r="D71" s="122">
        <v>84736786</v>
      </c>
      <c r="E71" s="122" t="s">
        <v>1729</v>
      </c>
      <c r="F71" t="s">
        <v>1146</v>
      </c>
      <c r="H71" s="122" t="b">
        <v>0</v>
      </c>
      <c r="I71" s="122" t="b">
        <v>1</v>
      </c>
      <c r="J71" t="s">
        <v>1146</v>
      </c>
      <c r="L71" s="122" t="s">
        <v>1146</v>
      </c>
      <c r="M71" s="122" t="s">
        <v>1730</v>
      </c>
      <c r="N71" s="122" t="b">
        <v>0</v>
      </c>
      <c r="O71" s="122">
        <v>1616569216616</v>
      </c>
      <c r="P71" s="122"/>
      <c r="Q71" s="122">
        <v>1616573719992</v>
      </c>
      <c r="R71" s="122"/>
      <c r="S71" s="122" t="s">
        <v>1724</v>
      </c>
      <c r="T71" s="122" t="s">
        <v>1725</v>
      </c>
      <c r="U71" s="122" t="s">
        <v>1875</v>
      </c>
      <c r="V71" s="122" t="s">
        <v>1721</v>
      </c>
      <c r="W71" s="122" t="s">
        <v>1549</v>
      </c>
      <c r="X71" s="122" t="b">
        <v>1</v>
      </c>
      <c r="Y71" s="122" t="b">
        <v>0</v>
      </c>
      <c r="Z71" s="122" t="b">
        <v>0</v>
      </c>
      <c r="AA71" t="s">
        <v>1727</v>
      </c>
      <c r="AC71" t="s">
        <v>1727</v>
      </c>
      <c r="AE71" t="s">
        <v>1727</v>
      </c>
      <c r="AG71" t="str">
        <f>IF(_xlfn.XLOOKUP(B71,'DB - Identities'!U:U,'DB - Identities'!U:U,"ERROR")&lt;&gt;"ERROR","OK","ERROR")</f>
        <v>OK</v>
      </c>
    </row>
    <row r="72" spans="1:34" hidden="1">
      <c r="A72" s="122" t="s">
        <v>1876</v>
      </c>
      <c r="B72" s="122" t="s">
        <v>1516</v>
      </c>
      <c r="C72" s="122" t="s">
        <v>1721</v>
      </c>
      <c r="D72" s="122">
        <v>269950954</v>
      </c>
      <c r="E72" s="122" t="s">
        <v>1722</v>
      </c>
      <c r="F72" t="s">
        <v>1160</v>
      </c>
      <c r="H72" s="122" t="b">
        <v>0</v>
      </c>
      <c r="I72" s="122" t="b">
        <v>1</v>
      </c>
      <c r="J72" t="s">
        <v>1160</v>
      </c>
      <c r="L72" s="122" t="s">
        <v>1160</v>
      </c>
      <c r="M72" s="122" t="s">
        <v>1723</v>
      </c>
      <c r="N72" s="122" t="b">
        <v>1</v>
      </c>
      <c r="O72" s="122">
        <v>1616490508179</v>
      </c>
      <c r="P72" s="122"/>
      <c r="Q72" s="122">
        <v>1616557111774</v>
      </c>
      <c r="R72" s="122"/>
      <c r="S72" s="122" t="s">
        <v>1724</v>
      </c>
      <c r="T72" s="122" t="s">
        <v>1725</v>
      </c>
      <c r="U72" s="122" t="s">
        <v>1877</v>
      </c>
      <c r="V72" s="122" t="s">
        <v>1721</v>
      </c>
      <c r="W72" s="122" t="s">
        <v>1516</v>
      </c>
      <c r="X72" s="122" t="b">
        <v>1</v>
      </c>
      <c r="Y72" s="122" t="b">
        <v>0</v>
      </c>
      <c r="Z72" s="122" t="b">
        <v>0</v>
      </c>
      <c r="AA72" t="s">
        <v>1727</v>
      </c>
      <c r="AC72" t="s">
        <v>1727</v>
      </c>
      <c r="AE72" t="s">
        <v>1727</v>
      </c>
      <c r="AG72" t="str">
        <f>IF(_xlfn.XLOOKUP(B72,'DB - Identities'!U:U,'DB - Identities'!U:U,"ERROR")&lt;&gt;"ERROR","OK","ERROR")</f>
        <v>OK</v>
      </c>
    </row>
    <row r="73" spans="1:34" hidden="1">
      <c r="A73" s="122" t="s">
        <v>1878</v>
      </c>
      <c r="B73" s="122" t="s">
        <v>1531</v>
      </c>
      <c r="C73" s="122" t="s">
        <v>1721</v>
      </c>
      <c r="D73" s="122">
        <v>83641626</v>
      </c>
      <c r="E73" s="122" t="s">
        <v>1729</v>
      </c>
      <c r="F73" t="s">
        <v>1152</v>
      </c>
      <c r="H73" s="122" t="b">
        <v>0</v>
      </c>
      <c r="I73" s="122" t="b">
        <v>1</v>
      </c>
      <c r="J73" t="s">
        <v>1152</v>
      </c>
      <c r="L73" s="122" t="s">
        <v>1152</v>
      </c>
      <c r="M73" s="122" t="s">
        <v>1730</v>
      </c>
      <c r="N73" s="122" t="b">
        <v>0</v>
      </c>
      <c r="O73" s="122">
        <v>1616490674249</v>
      </c>
      <c r="P73" s="122"/>
      <c r="Q73" s="122">
        <v>1616554511856</v>
      </c>
      <c r="R73" s="122"/>
      <c r="S73" s="122" t="s">
        <v>1724</v>
      </c>
      <c r="T73" s="122" t="s">
        <v>1725</v>
      </c>
      <c r="U73" s="122" t="s">
        <v>1879</v>
      </c>
      <c r="V73" s="122" t="s">
        <v>1721</v>
      </c>
      <c r="W73" s="122" t="s">
        <v>1531</v>
      </c>
      <c r="X73" s="122" t="b">
        <v>1</v>
      </c>
      <c r="Y73" s="122" t="b">
        <v>0</v>
      </c>
      <c r="Z73" s="122" t="b">
        <v>0</v>
      </c>
      <c r="AA73" t="s">
        <v>1727</v>
      </c>
      <c r="AC73" t="s">
        <v>1727</v>
      </c>
      <c r="AG73" t="str">
        <f>IF(_xlfn.XLOOKUP(B73,'DB - Identities'!U:U,'DB - Identities'!U:U,"ERROR")&lt;&gt;"ERROR","OK","ERROR")</f>
        <v>OK</v>
      </c>
      <c r="AH73" s="122"/>
    </row>
    <row r="74" spans="1:34">
      <c r="A74" s="122" t="s">
        <v>1880</v>
      </c>
      <c r="B74" s="122" t="s">
        <v>1548</v>
      </c>
      <c r="C74" s="122" t="s">
        <v>1721</v>
      </c>
      <c r="D74" s="122">
        <v>983807791</v>
      </c>
      <c r="E74" s="122" t="s">
        <v>1729</v>
      </c>
      <c r="F74" t="s">
        <v>1136</v>
      </c>
      <c r="H74" s="122" t="b">
        <v>0</v>
      </c>
      <c r="I74" s="122" t="b">
        <v>1</v>
      </c>
      <c r="J74" t="s">
        <v>1136</v>
      </c>
      <c r="L74" s="122" t="s">
        <v>1136</v>
      </c>
      <c r="M74" s="122" t="s">
        <v>1730</v>
      </c>
      <c r="N74" s="122" t="b">
        <v>0</v>
      </c>
      <c r="O74" s="122">
        <v>1615542251976</v>
      </c>
      <c r="P74" s="205">
        <f t="shared" ref="P74:P81" si="4">((((O74/1000)/60)/60)/24)+DATE(1970,1,1)</f>
        <v>44267.405694166664</v>
      </c>
      <c r="Q74" s="122">
        <v>1615553480400</v>
      </c>
      <c r="R74" s="205">
        <f t="shared" ref="R74:R81" si="5">((((Q74/1000)/60)/60)/24)+DATE(1970,1,1)</f>
        <v>44267.535652777777</v>
      </c>
      <c r="S74" s="122" t="s">
        <v>1724</v>
      </c>
      <c r="T74" s="122" t="s">
        <v>1725</v>
      </c>
      <c r="U74" s="122" t="s">
        <v>1881</v>
      </c>
      <c r="V74" s="122" t="s">
        <v>1721</v>
      </c>
      <c r="W74" s="122" t="s">
        <v>1548</v>
      </c>
      <c r="X74" s="122" t="b">
        <v>1</v>
      </c>
      <c r="Y74" s="122" t="b">
        <v>0</v>
      </c>
      <c r="Z74" s="122" t="b">
        <v>0</v>
      </c>
      <c r="AA74" t="s">
        <v>1727</v>
      </c>
      <c r="AC74" t="s">
        <v>1727</v>
      </c>
      <c r="AG74" t="str">
        <f>IF(_xlfn.XLOOKUP(B74,'DB - Identities'!U:U,'DB - Identities'!U:U,"ERROR")&lt;&gt;"ERROR","OK","ERROR")</f>
        <v>OK</v>
      </c>
      <c r="AH74" s="122"/>
    </row>
    <row r="75" spans="1:34">
      <c r="A75" s="122" t="s">
        <v>1882</v>
      </c>
      <c r="B75" s="122" t="s">
        <v>1535</v>
      </c>
      <c r="C75" s="122" t="s">
        <v>1721</v>
      </c>
      <c r="D75" s="122">
        <v>195191574</v>
      </c>
      <c r="E75" s="122" t="s">
        <v>1722</v>
      </c>
      <c r="F75" t="s">
        <v>1131</v>
      </c>
      <c r="H75" s="122" t="b">
        <v>0</v>
      </c>
      <c r="I75" s="122" t="b">
        <v>1</v>
      </c>
      <c r="J75" t="s">
        <v>1131</v>
      </c>
      <c r="L75" s="122" t="s">
        <v>1131</v>
      </c>
      <c r="M75" s="122" t="s">
        <v>1723</v>
      </c>
      <c r="N75" s="122" t="b">
        <v>1</v>
      </c>
      <c r="O75" s="122">
        <v>1615482892582</v>
      </c>
      <c r="P75" s="205">
        <f t="shared" si="4"/>
        <v>44266.718664143518</v>
      </c>
      <c r="Q75" s="122">
        <v>1615513657489</v>
      </c>
      <c r="R75" s="205">
        <f t="shared" si="5"/>
        <v>44267.074739456017</v>
      </c>
      <c r="S75" s="122" t="s">
        <v>1724</v>
      </c>
      <c r="T75" s="122" t="s">
        <v>1725</v>
      </c>
      <c r="U75" s="122" t="s">
        <v>1883</v>
      </c>
      <c r="V75" s="122" t="s">
        <v>1721</v>
      </c>
      <c r="W75" s="122" t="s">
        <v>1535</v>
      </c>
      <c r="X75" s="122" t="b">
        <v>1</v>
      </c>
      <c r="Y75" s="122" t="b">
        <v>0</v>
      </c>
      <c r="Z75" s="122" t="b">
        <v>0</v>
      </c>
      <c r="AA75" t="s">
        <v>1727</v>
      </c>
      <c r="AC75" t="s">
        <v>1727</v>
      </c>
      <c r="AG75" t="str">
        <f>IF(_xlfn.XLOOKUP(B75,'DB - Identities'!U:U,'DB - Identities'!U:U,"ERROR")&lt;&gt;"ERROR","OK","ERROR")</f>
        <v>OK</v>
      </c>
      <c r="AH75" s="122"/>
    </row>
    <row r="76" spans="1:34">
      <c r="A76" s="122" t="s">
        <v>1884</v>
      </c>
      <c r="B76" s="122" t="s">
        <v>1564</v>
      </c>
      <c r="C76" s="122" t="s">
        <v>1721</v>
      </c>
      <c r="D76" s="122">
        <v>381818972</v>
      </c>
      <c r="E76" s="122" t="s">
        <v>1729</v>
      </c>
      <c r="F76" t="s">
        <v>1118</v>
      </c>
      <c r="H76" s="122" t="b">
        <v>0</v>
      </c>
      <c r="I76" s="122" t="b">
        <v>1</v>
      </c>
      <c r="J76" t="s">
        <v>1118</v>
      </c>
      <c r="L76" s="122" t="s">
        <v>1118</v>
      </c>
      <c r="M76" s="122" t="s">
        <v>1730</v>
      </c>
      <c r="N76" s="122" t="b">
        <v>0</v>
      </c>
      <c r="O76" s="122">
        <v>1615482960930</v>
      </c>
      <c r="P76" s="205">
        <f t="shared" si="4"/>
        <v>44266.719455208338</v>
      </c>
      <c r="Q76" s="122">
        <v>1615513569391</v>
      </c>
      <c r="R76" s="205">
        <f t="shared" si="5"/>
        <v>44267.073719803244</v>
      </c>
      <c r="S76" s="122" t="s">
        <v>1724</v>
      </c>
      <c r="T76" s="122" t="s">
        <v>1725</v>
      </c>
      <c r="U76" s="122" t="s">
        <v>1885</v>
      </c>
      <c r="V76" s="122" t="s">
        <v>1721</v>
      </c>
      <c r="W76" s="122" t="s">
        <v>1564</v>
      </c>
      <c r="X76" s="122" t="b">
        <v>1</v>
      </c>
      <c r="Y76" s="122" t="b">
        <v>0</v>
      </c>
      <c r="Z76" s="122" t="b">
        <v>0</v>
      </c>
      <c r="AA76" t="s">
        <v>1727</v>
      </c>
      <c r="AC76" t="s">
        <v>1727</v>
      </c>
      <c r="AG76" t="str">
        <f>IF(_xlfn.XLOOKUP(B76,'DB - Identities'!U:U,'DB - Identities'!U:U,"ERROR")&lt;&gt;"ERROR","OK","ERROR")</f>
        <v>OK</v>
      </c>
      <c r="AH76" s="122"/>
    </row>
    <row r="77" spans="1:34">
      <c r="A77" s="122" t="s">
        <v>1886</v>
      </c>
      <c r="B77" s="122" t="s">
        <v>1517</v>
      </c>
      <c r="C77" s="122" t="s">
        <v>1721</v>
      </c>
      <c r="D77" s="122">
        <v>999225753</v>
      </c>
      <c r="E77" s="122" t="s">
        <v>1722</v>
      </c>
      <c r="F77" t="s">
        <v>1124</v>
      </c>
      <c r="H77" s="122" t="b">
        <v>0</v>
      </c>
      <c r="I77" s="122" t="b">
        <v>1</v>
      </c>
      <c r="J77" t="s">
        <v>1124</v>
      </c>
      <c r="L77" s="122" t="s">
        <v>1124</v>
      </c>
      <c r="M77" s="122" t="s">
        <v>1723</v>
      </c>
      <c r="N77" s="122" t="b">
        <v>1</v>
      </c>
      <c r="O77" s="122">
        <v>1614915184932</v>
      </c>
      <c r="P77" s="205">
        <f t="shared" si="4"/>
        <v>44260.147973749998</v>
      </c>
      <c r="Q77" s="122">
        <v>1614915241867</v>
      </c>
      <c r="R77" s="205">
        <f t="shared" si="5"/>
        <v>44260.148632719909</v>
      </c>
      <c r="S77" s="122" t="s">
        <v>1724</v>
      </c>
      <c r="T77" s="122" t="s">
        <v>1725</v>
      </c>
      <c r="U77" s="122" t="s">
        <v>1887</v>
      </c>
      <c r="V77" s="122" t="s">
        <v>1721</v>
      </c>
      <c r="W77" s="122" t="s">
        <v>1517</v>
      </c>
      <c r="X77" s="122" t="b">
        <v>1</v>
      </c>
      <c r="Y77" s="122" t="b">
        <v>0</v>
      </c>
      <c r="Z77" s="122" t="b">
        <v>0</v>
      </c>
      <c r="AA77" t="s">
        <v>1727</v>
      </c>
      <c r="AC77" t="s">
        <v>1727</v>
      </c>
      <c r="AG77" t="str">
        <f>IF(_xlfn.XLOOKUP(B77,'DB - Identities'!U:U,'DB - Identities'!U:U,"ERROR")&lt;&gt;"ERROR","OK","ERROR")</f>
        <v>OK</v>
      </c>
      <c r="AH77" s="122"/>
    </row>
    <row r="78" spans="1:34">
      <c r="A78" s="122" t="s">
        <v>1888</v>
      </c>
      <c r="B78" s="122" t="s">
        <v>1556</v>
      </c>
      <c r="C78" s="122" t="s">
        <v>1721</v>
      </c>
      <c r="D78" s="122">
        <v>404564522</v>
      </c>
      <c r="E78" s="122" t="s">
        <v>1729</v>
      </c>
      <c r="F78" t="s">
        <v>1109</v>
      </c>
      <c r="H78" s="122" t="b">
        <v>0</v>
      </c>
      <c r="I78" s="122" t="b">
        <v>1</v>
      </c>
      <c r="J78" t="s">
        <v>1109</v>
      </c>
      <c r="L78" s="122" t="s">
        <v>1109</v>
      </c>
      <c r="M78" s="122" t="s">
        <v>1730</v>
      </c>
      <c r="N78" s="122" t="b">
        <v>0</v>
      </c>
      <c r="O78" s="122">
        <v>1614160936191</v>
      </c>
      <c r="P78" s="205">
        <f t="shared" si="4"/>
        <v>44251.418242951389</v>
      </c>
      <c r="Q78" s="122">
        <v>1614160977375</v>
      </c>
      <c r="R78" s="205">
        <f t="shared" si="5"/>
        <v>44251.418719618057</v>
      </c>
      <c r="S78" s="122" t="s">
        <v>1724</v>
      </c>
      <c r="T78" s="122" t="s">
        <v>1725</v>
      </c>
      <c r="U78" s="122" t="s">
        <v>1889</v>
      </c>
      <c r="V78" s="122" t="s">
        <v>1721</v>
      </c>
      <c r="W78" s="122" t="s">
        <v>1556</v>
      </c>
      <c r="X78" s="122" t="b">
        <v>1</v>
      </c>
      <c r="Y78" s="122" t="b">
        <v>0</v>
      </c>
      <c r="Z78" s="122" t="b">
        <v>0</v>
      </c>
      <c r="AA78" t="s">
        <v>1727</v>
      </c>
      <c r="AC78" t="s">
        <v>1727</v>
      </c>
      <c r="AG78" t="str">
        <f>IF(_xlfn.XLOOKUP(B78,'DB - Identities'!U:U,'DB - Identities'!U:U,"ERROR")&lt;&gt;"ERROR","OK","ERROR")</f>
        <v>OK</v>
      </c>
      <c r="AH78" s="122"/>
    </row>
    <row r="79" spans="1:34">
      <c r="A79" s="122" t="s">
        <v>1890</v>
      </c>
      <c r="B79" s="122" t="s">
        <v>1561</v>
      </c>
      <c r="C79" s="122" t="s">
        <v>1721</v>
      </c>
      <c r="D79" s="122">
        <v>668283612</v>
      </c>
      <c r="E79" s="122" t="s">
        <v>1729</v>
      </c>
      <c r="F79" t="s">
        <v>118</v>
      </c>
      <c r="H79" s="122" t="b">
        <v>0</v>
      </c>
      <c r="I79" s="122" t="b">
        <v>1</v>
      </c>
      <c r="J79" t="s">
        <v>118</v>
      </c>
      <c r="L79" s="122" t="s">
        <v>118</v>
      </c>
      <c r="M79" s="122" t="s">
        <v>1730</v>
      </c>
      <c r="N79" s="122" t="b">
        <v>0</v>
      </c>
      <c r="O79" s="122">
        <v>1614154911307</v>
      </c>
      <c r="P79" s="205">
        <f t="shared" si="4"/>
        <v>44251.348510497686</v>
      </c>
      <c r="Q79" s="122">
        <v>1614154976785</v>
      </c>
      <c r="R79" s="205">
        <f t="shared" si="5"/>
        <v>44251.349268344908</v>
      </c>
      <c r="S79" s="122" t="s">
        <v>1724</v>
      </c>
      <c r="T79" s="122" t="s">
        <v>1725</v>
      </c>
      <c r="U79" s="122" t="s">
        <v>1891</v>
      </c>
      <c r="V79" s="122" t="s">
        <v>1721</v>
      </c>
      <c r="W79" s="122" t="s">
        <v>1561</v>
      </c>
      <c r="X79" s="122" t="b">
        <v>1</v>
      </c>
      <c r="Y79" s="122" t="b">
        <v>0</v>
      </c>
      <c r="Z79" s="122" t="b">
        <v>0</v>
      </c>
      <c r="AA79" t="s">
        <v>1727</v>
      </c>
      <c r="AC79" t="s">
        <v>1727</v>
      </c>
      <c r="AG79" t="str">
        <f>IF(_xlfn.XLOOKUP(B79,'DB - Identities'!U:U,'DB - Identities'!U:U,"ERROR")&lt;&gt;"ERROR","OK","ERROR")</f>
        <v>OK</v>
      </c>
      <c r="AH79" s="122"/>
    </row>
    <row r="80" spans="1:34" hidden="1">
      <c r="A80" s="122" t="s">
        <v>1892</v>
      </c>
      <c r="B80" s="122" t="s">
        <v>1439</v>
      </c>
      <c r="C80" s="122" t="s">
        <v>1721</v>
      </c>
      <c r="D80" s="122">
        <v>808381840</v>
      </c>
      <c r="E80" s="122" t="s">
        <v>1722</v>
      </c>
      <c r="F80" t="s">
        <v>1893</v>
      </c>
      <c r="H80" s="122" t="b">
        <v>0</v>
      </c>
      <c r="I80" s="122" t="b">
        <v>1</v>
      </c>
      <c r="J80" t="s">
        <v>1893</v>
      </c>
      <c r="L80" s="122" t="s">
        <v>1893</v>
      </c>
      <c r="M80" s="122" t="s">
        <v>1723</v>
      </c>
      <c r="N80" s="122" t="b">
        <v>1</v>
      </c>
      <c r="O80" s="122">
        <v>1612874812032</v>
      </c>
      <c r="P80" s="205">
        <f t="shared" si="4"/>
        <v>44236.532546666669</v>
      </c>
      <c r="Q80" s="122">
        <v>1614006644138</v>
      </c>
      <c r="R80" s="205">
        <f t="shared" si="5"/>
        <v>44249.632455300925</v>
      </c>
      <c r="S80" s="122" t="s">
        <v>1751</v>
      </c>
      <c r="T80" s="122" t="s">
        <v>1725</v>
      </c>
      <c r="U80" s="122" t="s">
        <v>1894</v>
      </c>
      <c r="V80" s="122" t="s">
        <v>1721</v>
      </c>
      <c r="W80" s="122" t="s">
        <v>1439</v>
      </c>
      <c r="X80" s="122" t="b">
        <v>0</v>
      </c>
      <c r="Y80" s="122" t="b">
        <v>1</v>
      </c>
      <c r="Z80" s="122" t="b">
        <v>0</v>
      </c>
      <c r="AA80" t="s">
        <v>1727</v>
      </c>
      <c r="AC80" t="s">
        <v>1727</v>
      </c>
      <c r="AG80" t="str">
        <f>IF(_xlfn.XLOOKUP(B80,'DB - Identities'!U:U,'DB - Identities'!U:U,"ERROR")&lt;&gt;"ERROR","OK","ERROR")</f>
        <v>ERROR</v>
      </c>
      <c r="AH80" s="122"/>
    </row>
    <row r="81" spans="1:34" hidden="1">
      <c r="A81" s="122" t="s">
        <v>1895</v>
      </c>
      <c r="B81" s="122" t="s">
        <v>1430</v>
      </c>
      <c r="C81" s="122" t="s">
        <v>1721</v>
      </c>
      <c r="D81" s="122">
        <v>441781928</v>
      </c>
      <c r="E81" s="122" t="s">
        <v>1722</v>
      </c>
      <c r="F81" t="s">
        <v>1896</v>
      </c>
      <c r="H81" s="122" t="b">
        <v>0</v>
      </c>
      <c r="I81" s="122" t="b">
        <v>1</v>
      </c>
      <c r="J81" t="s">
        <v>1896</v>
      </c>
      <c r="L81" s="122" t="s">
        <v>1896</v>
      </c>
      <c r="M81" s="122" t="s">
        <v>1723</v>
      </c>
      <c r="N81" s="122" t="b">
        <v>1</v>
      </c>
      <c r="O81" s="122">
        <v>1612607412893</v>
      </c>
      <c r="P81" s="205">
        <f t="shared" si="4"/>
        <v>44233.437649224536</v>
      </c>
      <c r="Q81" s="122">
        <v>1614006595306</v>
      </c>
      <c r="R81" s="205">
        <f t="shared" si="5"/>
        <v>44249.631890115736</v>
      </c>
      <c r="S81" s="122" t="s">
        <v>1751</v>
      </c>
      <c r="T81" s="122" t="s">
        <v>1725</v>
      </c>
      <c r="U81" s="122" t="s">
        <v>1897</v>
      </c>
      <c r="V81" s="122" t="s">
        <v>1721</v>
      </c>
      <c r="W81" s="122" t="s">
        <v>1430</v>
      </c>
      <c r="X81" s="122" t="b">
        <v>0</v>
      </c>
      <c r="Y81" s="122" t="b">
        <v>1</v>
      </c>
      <c r="Z81" s="122" t="b">
        <v>0</v>
      </c>
      <c r="AA81" t="s">
        <v>1727</v>
      </c>
      <c r="AC81" t="s">
        <v>1727</v>
      </c>
      <c r="AG81" t="str">
        <f>IF(_xlfn.XLOOKUP(B81,'DB - Identities'!U:U,'DB - Identities'!U:U,"ERROR")&lt;&gt;"ERROR","OK","ERROR")</f>
        <v>ERROR</v>
      </c>
      <c r="AH81" s="122"/>
    </row>
    <row r="82" spans="1:34" hidden="1">
      <c r="A82" s="122" t="s">
        <v>1898</v>
      </c>
      <c r="B82" s="122" t="s">
        <v>1433</v>
      </c>
      <c r="C82" s="122" t="s">
        <v>1721</v>
      </c>
      <c r="D82" s="122">
        <v>774593594</v>
      </c>
      <c r="E82" s="122" t="s">
        <v>1729</v>
      </c>
      <c r="F82" s="122" t="s">
        <v>1899</v>
      </c>
      <c r="G82" s="122" t="s">
        <v>1900</v>
      </c>
      <c r="H82" s="122" t="b">
        <v>0</v>
      </c>
      <c r="I82" s="122" t="b">
        <v>1</v>
      </c>
      <c r="J82" t="s">
        <v>1899</v>
      </c>
      <c r="L82" s="122" t="s">
        <v>1899</v>
      </c>
      <c r="M82" s="122" t="s">
        <v>1730</v>
      </c>
      <c r="N82" s="122" t="b">
        <v>0</v>
      </c>
      <c r="O82" s="122">
        <v>1612851881585</v>
      </c>
      <c r="P82" s="122"/>
      <c r="Q82" s="122">
        <v>1614006578755</v>
      </c>
      <c r="R82" s="122"/>
      <c r="S82" s="122" t="s">
        <v>1751</v>
      </c>
      <c r="T82" s="122" t="s">
        <v>1725</v>
      </c>
      <c r="U82" s="122" t="s">
        <v>1901</v>
      </c>
      <c r="V82" s="122" t="s">
        <v>1721</v>
      </c>
      <c r="W82" s="122" t="s">
        <v>1433</v>
      </c>
      <c r="X82" s="122" t="b">
        <v>0</v>
      </c>
      <c r="Y82" s="122" t="b">
        <v>1</v>
      </c>
      <c r="Z82" s="122" t="b">
        <v>0</v>
      </c>
      <c r="AA82" t="s">
        <v>1727</v>
      </c>
      <c r="AC82" t="s">
        <v>1727</v>
      </c>
      <c r="AG82" t="str">
        <f>IF(_xlfn.XLOOKUP(B82,'DB - Identities'!U:U,'DB - Identities'!U:U,"ERROR")&lt;&gt;"ERROR","OK","ERROR")</f>
        <v>ERROR</v>
      </c>
      <c r="AH82" s="122"/>
    </row>
    <row r="83" spans="1:34" hidden="1">
      <c r="A83" s="122" t="s">
        <v>1902</v>
      </c>
      <c r="B83" s="122" t="s">
        <v>1437</v>
      </c>
      <c r="C83" s="122" t="s">
        <v>1721</v>
      </c>
      <c r="D83" s="122">
        <v>856150218</v>
      </c>
      <c r="E83" s="122" t="s">
        <v>1729</v>
      </c>
      <c r="F83" t="s">
        <v>1903</v>
      </c>
      <c r="H83" s="122" t="b">
        <v>0</v>
      </c>
      <c r="I83" s="122" t="b">
        <v>1</v>
      </c>
      <c r="J83" t="s">
        <v>1903</v>
      </c>
      <c r="L83" s="122" t="s">
        <v>1903</v>
      </c>
      <c r="M83" s="122" t="s">
        <v>1730</v>
      </c>
      <c r="N83" s="122" t="b">
        <v>0</v>
      </c>
      <c r="O83" s="122">
        <v>1612874783367</v>
      </c>
      <c r="P83" s="122"/>
      <c r="Q83" s="122">
        <v>1614006562357</v>
      </c>
      <c r="R83" s="122"/>
      <c r="S83" s="122" t="s">
        <v>1751</v>
      </c>
      <c r="T83" s="122" t="s">
        <v>1725</v>
      </c>
      <c r="U83" s="122" t="s">
        <v>1904</v>
      </c>
      <c r="V83" s="122" t="s">
        <v>1721</v>
      </c>
      <c r="W83" s="122" t="s">
        <v>1437</v>
      </c>
      <c r="X83" s="122" t="b">
        <v>0</v>
      </c>
      <c r="Y83" s="122" t="b">
        <v>1</v>
      </c>
      <c r="Z83" s="122" t="b">
        <v>0</v>
      </c>
      <c r="AA83" t="s">
        <v>1727</v>
      </c>
      <c r="AC83" t="s">
        <v>1727</v>
      </c>
      <c r="AG83" t="str">
        <f>IF(_xlfn.XLOOKUP(B83,'DB - Identities'!U:U,'DB - Identities'!U:U,"ERROR")&lt;&gt;"ERROR","OK","ERROR")</f>
        <v>ERROR</v>
      </c>
      <c r="AH83" s="122"/>
    </row>
    <row r="84" spans="1:34" hidden="1">
      <c r="A84" s="122" t="s">
        <v>1905</v>
      </c>
      <c r="B84" s="122" t="s">
        <v>1470</v>
      </c>
      <c r="C84" s="122" t="s">
        <v>1721</v>
      </c>
      <c r="D84" s="122">
        <v>43013727</v>
      </c>
      <c r="E84" s="122" t="s">
        <v>1722</v>
      </c>
      <c r="F84" t="s">
        <v>1341</v>
      </c>
      <c r="H84" s="122" t="b">
        <v>0</v>
      </c>
      <c r="I84" s="122" t="b">
        <v>1</v>
      </c>
      <c r="J84" t="s">
        <v>1341</v>
      </c>
      <c r="L84" s="122" t="s">
        <v>1341</v>
      </c>
      <c r="M84" s="122" t="s">
        <v>1723</v>
      </c>
      <c r="N84" s="122" t="b">
        <v>1</v>
      </c>
      <c r="O84" s="122">
        <v>1613992875011</v>
      </c>
      <c r="P84" s="122"/>
      <c r="Q84" s="122">
        <v>1614006528669</v>
      </c>
      <c r="R84" s="122"/>
      <c r="S84" s="122" t="s">
        <v>1724</v>
      </c>
      <c r="T84" s="122" t="s">
        <v>1725</v>
      </c>
      <c r="U84" s="122" t="s">
        <v>1906</v>
      </c>
      <c r="V84" s="122" t="s">
        <v>1721</v>
      </c>
      <c r="W84" s="122" t="s">
        <v>1470</v>
      </c>
      <c r="X84" s="122" t="b">
        <v>1</v>
      </c>
      <c r="Y84" s="122" t="b">
        <v>0</v>
      </c>
      <c r="Z84" s="122" t="b">
        <v>0</v>
      </c>
      <c r="AA84" t="s">
        <v>1727</v>
      </c>
      <c r="AC84" t="s">
        <v>1727</v>
      </c>
      <c r="AG84" t="str">
        <f>IF(_xlfn.XLOOKUP(B84,'DB - Identities'!U:U,'DB - Identities'!U:U,"ERROR")&lt;&gt;"ERROR","OK","ERROR")</f>
        <v>OK</v>
      </c>
      <c r="AH84" s="122"/>
    </row>
    <row r="85" spans="1:34" hidden="1">
      <c r="A85" s="122" t="s">
        <v>1907</v>
      </c>
      <c r="B85" s="122" t="s">
        <v>1469</v>
      </c>
      <c r="C85" s="122" t="s">
        <v>1721</v>
      </c>
      <c r="D85" s="122">
        <v>116301400</v>
      </c>
      <c r="E85" s="122" t="s">
        <v>1729</v>
      </c>
      <c r="F85" t="s">
        <v>1337</v>
      </c>
      <c r="H85" s="122" t="b">
        <v>0</v>
      </c>
      <c r="I85" s="122" t="b">
        <v>1</v>
      </c>
      <c r="J85" t="s">
        <v>1337</v>
      </c>
      <c r="L85" s="122" t="s">
        <v>1337</v>
      </c>
      <c r="M85" s="122" t="s">
        <v>1730</v>
      </c>
      <c r="N85" s="122" t="b">
        <v>0</v>
      </c>
      <c r="O85" s="122">
        <v>1613992922985</v>
      </c>
      <c r="P85" s="122"/>
      <c r="Q85" s="122">
        <v>1614006469646</v>
      </c>
      <c r="R85" s="122"/>
      <c r="S85" s="122" t="s">
        <v>1724</v>
      </c>
      <c r="T85" s="122" t="s">
        <v>1725</v>
      </c>
      <c r="U85" s="122" t="s">
        <v>1908</v>
      </c>
      <c r="V85" s="122" t="s">
        <v>1721</v>
      </c>
      <c r="W85" s="122" t="s">
        <v>1469</v>
      </c>
      <c r="X85" s="122" t="b">
        <v>1</v>
      </c>
      <c r="Y85" s="122" t="b">
        <v>0</v>
      </c>
      <c r="Z85" s="122" t="b">
        <v>0</v>
      </c>
      <c r="AA85" t="s">
        <v>1727</v>
      </c>
      <c r="AC85" t="s">
        <v>1727</v>
      </c>
      <c r="AG85" t="str">
        <f>IF(_xlfn.XLOOKUP(B85,'DB - Identities'!U:U,'DB - Identities'!U:U,"ERROR")&lt;&gt;"ERROR","OK","ERROR")</f>
        <v>OK</v>
      </c>
      <c r="AH85" s="122"/>
    </row>
    <row r="86" spans="1:34" hidden="1">
      <c r="A86" s="122" t="s">
        <v>1909</v>
      </c>
      <c r="B86" s="122" t="s">
        <v>1440</v>
      </c>
      <c r="C86" s="122" t="s">
        <v>1721</v>
      </c>
      <c r="D86" s="122">
        <v>123744915</v>
      </c>
      <c r="E86" s="122" t="s">
        <v>1722</v>
      </c>
      <c r="F86" t="s">
        <v>1333</v>
      </c>
      <c r="H86" s="122" t="b">
        <v>0</v>
      </c>
      <c r="I86" s="122" t="b">
        <v>1</v>
      </c>
      <c r="J86" t="s">
        <v>1333</v>
      </c>
      <c r="L86" s="122" t="s">
        <v>1333</v>
      </c>
      <c r="M86" s="122" t="s">
        <v>1723</v>
      </c>
      <c r="N86" s="122" t="b">
        <v>1</v>
      </c>
      <c r="O86" s="122">
        <v>1613992851204</v>
      </c>
      <c r="P86" s="122"/>
      <c r="Q86" s="122">
        <v>1614006405867</v>
      </c>
      <c r="R86" s="122"/>
      <c r="S86" s="122" t="s">
        <v>1724</v>
      </c>
      <c r="T86" s="122" t="s">
        <v>1725</v>
      </c>
      <c r="U86" s="122" t="s">
        <v>1910</v>
      </c>
      <c r="V86" s="122" t="s">
        <v>1721</v>
      </c>
      <c r="W86" s="122" t="s">
        <v>1440</v>
      </c>
      <c r="X86" s="122" t="b">
        <v>1</v>
      </c>
      <c r="Y86" s="122" t="b">
        <v>0</v>
      </c>
      <c r="Z86" s="122" t="b">
        <v>0</v>
      </c>
      <c r="AA86" t="s">
        <v>1727</v>
      </c>
      <c r="AC86" t="s">
        <v>1727</v>
      </c>
      <c r="AG86" t="str">
        <f>IF(_xlfn.XLOOKUP(B86,'DB - Identities'!U:U,'DB - Identities'!U:U,"ERROR")&lt;&gt;"ERROR","OK","ERROR")</f>
        <v>OK</v>
      </c>
      <c r="AH86" s="122"/>
    </row>
    <row r="87" spans="1:34" hidden="1">
      <c r="A87" s="122" t="s">
        <v>1911</v>
      </c>
      <c r="B87" s="122" t="s">
        <v>1447</v>
      </c>
      <c r="C87" s="122" t="s">
        <v>1721</v>
      </c>
      <c r="D87" s="122">
        <v>793152576</v>
      </c>
      <c r="E87" s="122" t="s">
        <v>1729</v>
      </c>
      <c r="F87" t="s">
        <v>1334</v>
      </c>
      <c r="H87" s="122" t="b">
        <v>0</v>
      </c>
      <c r="I87" s="122" t="b">
        <v>1</v>
      </c>
      <c r="J87" t="s">
        <v>1334</v>
      </c>
      <c r="L87" s="122" t="s">
        <v>1334</v>
      </c>
      <c r="M87" s="122" t="s">
        <v>1730</v>
      </c>
      <c r="N87" s="122" t="b">
        <v>0</v>
      </c>
      <c r="O87" s="122">
        <v>1613992854591</v>
      </c>
      <c r="P87" s="122"/>
      <c r="Q87" s="122">
        <v>1614006375358</v>
      </c>
      <c r="R87" s="122"/>
      <c r="S87" s="122" t="s">
        <v>1724</v>
      </c>
      <c r="T87" s="122" t="s">
        <v>1725</v>
      </c>
      <c r="U87" s="122" t="s">
        <v>1912</v>
      </c>
      <c r="V87" s="122" t="s">
        <v>1721</v>
      </c>
      <c r="W87" s="122" t="s">
        <v>1447</v>
      </c>
      <c r="X87" s="122" t="b">
        <v>1</v>
      </c>
      <c r="Y87" s="122" t="b">
        <v>0</v>
      </c>
      <c r="Z87" s="122" t="b">
        <v>0</v>
      </c>
      <c r="AA87" t="s">
        <v>1727</v>
      </c>
      <c r="AC87" t="s">
        <v>1727</v>
      </c>
      <c r="AG87" t="str">
        <f>IF(_xlfn.XLOOKUP(B87,'DB - Identities'!U:U,'DB - Identities'!U:U,"ERROR")&lt;&gt;"ERROR","OK","ERROR")</f>
        <v>OK</v>
      </c>
      <c r="AH87" s="122"/>
    </row>
    <row r="88" spans="1:34" hidden="1">
      <c r="A88" s="122" t="s">
        <v>1913</v>
      </c>
      <c r="B88" s="122" t="s">
        <v>1431</v>
      </c>
      <c r="C88" s="122" t="s">
        <v>1721</v>
      </c>
      <c r="D88" s="122">
        <v>647136517</v>
      </c>
      <c r="E88" s="122" t="s">
        <v>1722</v>
      </c>
      <c r="F88" t="s">
        <v>1336</v>
      </c>
      <c r="H88" s="122" t="b">
        <v>0</v>
      </c>
      <c r="I88" s="122" t="b">
        <v>1</v>
      </c>
      <c r="J88" s="122"/>
      <c r="K88" s="122"/>
      <c r="L88" s="122"/>
      <c r="M88" s="122" t="s">
        <v>1723</v>
      </c>
      <c r="N88" s="122" t="b">
        <v>1</v>
      </c>
      <c r="O88" s="122">
        <v>1598600870198</v>
      </c>
      <c r="P88" s="122"/>
      <c r="Q88" s="122">
        <v>1613915130136</v>
      </c>
      <c r="R88" s="122"/>
      <c r="S88" s="122" t="s">
        <v>1724</v>
      </c>
      <c r="T88" s="122" t="s">
        <v>1725</v>
      </c>
      <c r="U88" s="122" t="s">
        <v>1914</v>
      </c>
      <c r="V88" s="122" t="s">
        <v>1721</v>
      </c>
      <c r="W88" s="122" t="s">
        <v>1431</v>
      </c>
      <c r="X88" s="122" t="b">
        <v>1</v>
      </c>
      <c r="Y88" s="122" t="b">
        <v>0</v>
      </c>
      <c r="Z88" s="122" t="b">
        <v>0</v>
      </c>
      <c r="AA88" t="s">
        <v>1727</v>
      </c>
      <c r="AC88" t="s">
        <v>1727</v>
      </c>
      <c r="AG88" t="str">
        <f>IF(_xlfn.XLOOKUP(B88,'DB - Identities'!U:U,'DB - Identities'!U:U,"ERROR")&lt;&gt;"ERROR","OK","ERROR")</f>
        <v>OK</v>
      </c>
      <c r="AH88" s="122"/>
    </row>
    <row r="89" spans="1:34" hidden="1">
      <c r="A89" s="122" t="s">
        <v>1915</v>
      </c>
      <c r="B89" s="122" t="s">
        <v>1486</v>
      </c>
      <c r="C89" s="122" t="s">
        <v>1721</v>
      </c>
      <c r="D89" s="122">
        <v>576038790</v>
      </c>
      <c r="E89" s="122" t="s">
        <v>1729</v>
      </c>
      <c r="F89" t="s">
        <v>1338</v>
      </c>
      <c r="H89" s="122" t="b">
        <v>0</v>
      </c>
      <c r="I89" s="122" t="b">
        <v>1</v>
      </c>
      <c r="J89" t="s">
        <v>1338</v>
      </c>
      <c r="L89" s="122" t="s">
        <v>1338</v>
      </c>
      <c r="M89" s="122" t="s">
        <v>1730</v>
      </c>
      <c r="N89" s="122" t="b">
        <v>0</v>
      </c>
      <c r="O89" s="122">
        <v>1598600826244</v>
      </c>
      <c r="P89" s="122"/>
      <c r="Q89" s="122">
        <v>1613528113217</v>
      </c>
      <c r="R89" s="122"/>
      <c r="S89" s="122" t="s">
        <v>1724</v>
      </c>
      <c r="T89" s="122" t="s">
        <v>1725</v>
      </c>
      <c r="U89" s="122" t="s">
        <v>1916</v>
      </c>
      <c r="V89" s="122" t="s">
        <v>1721</v>
      </c>
      <c r="W89" s="122" t="s">
        <v>1486</v>
      </c>
      <c r="X89" s="122" t="b">
        <v>1</v>
      </c>
      <c r="Y89" s="122" t="b">
        <v>0</v>
      </c>
      <c r="Z89" s="122" t="b">
        <v>0</v>
      </c>
      <c r="AA89" t="s">
        <v>1727</v>
      </c>
      <c r="AC89" t="s">
        <v>1727</v>
      </c>
      <c r="AG89" t="str">
        <f>IF(_xlfn.XLOOKUP(B89,'DB - Identities'!U:U,'DB - Identities'!U:U,"ERROR")&lt;&gt;"ERROR","OK","ERROR")</f>
        <v>OK</v>
      </c>
      <c r="AH89" s="122"/>
    </row>
    <row r="90" spans="1:34" hidden="1">
      <c r="A90" s="122" t="s">
        <v>1917</v>
      </c>
      <c r="B90" s="122" t="s">
        <v>1436</v>
      </c>
      <c r="C90" s="122" t="s">
        <v>1721</v>
      </c>
      <c r="D90" s="122">
        <v>296240999</v>
      </c>
      <c r="E90" s="122" t="s">
        <v>1722</v>
      </c>
      <c r="F90" t="s">
        <v>1332</v>
      </c>
      <c r="H90" s="122" t="b">
        <v>0</v>
      </c>
      <c r="I90" s="122" t="b">
        <v>1</v>
      </c>
      <c r="J90" t="s">
        <v>1332</v>
      </c>
      <c r="L90" s="122" t="s">
        <v>1332</v>
      </c>
      <c r="M90" s="122" t="s">
        <v>1723</v>
      </c>
      <c r="N90" s="122" t="b">
        <v>1</v>
      </c>
      <c r="O90" s="122">
        <v>1612529697746</v>
      </c>
      <c r="P90" s="122"/>
      <c r="Q90" s="122">
        <v>1613455733609</v>
      </c>
      <c r="R90" s="122"/>
      <c r="S90" s="122" t="s">
        <v>1724</v>
      </c>
      <c r="T90" s="122" t="s">
        <v>1725</v>
      </c>
      <c r="U90" s="122" t="s">
        <v>1918</v>
      </c>
      <c r="V90" s="122" t="s">
        <v>1721</v>
      </c>
      <c r="W90" s="122" t="s">
        <v>1436</v>
      </c>
      <c r="X90" s="122" t="b">
        <v>1</v>
      </c>
      <c r="Y90" s="122" t="b">
        <v>0</v>
      </c>
      <c r="Z90" s="122" t="b">
        <v>0</v>
      </c>
      <c r="AA90" t="s">
        <v>1727</v>
      </c>
      <c r="AC90" t="s">
        <v>1727</v>
      </c>
      <c r="AG90" t="str">
        <f>IF(_xlfn.XLOOKUP(B90,'DB - Identities'!U:U,'DB - Identities'!U:U,"ERROR")&lt;&gt;"ERROR","OK","ERROR")</f>
        <v>OK</v>
      </c>
      <c r="AH90" s="122"/>
    </row>
    <row r="91" spans="1:34" hidden="1">
      <c r="A91" s="122" t="s">
        <v>1919</v>
      </c>
      <c r="B91" s="122" t="s">
        <v>1445</v>
      </c>
      <c r="C91" s="122" t="s">
        <v>1721</v>
      </c>
      <c r="D91" s="122">
        <v>460503030</v>
      </c>
      <c r="E91" s="122" t="s">
        <v>1722</v>
      </c>
      <c r="F91" t="s">
        <v>1028</v>
      </c>
      <c r="H91" s="122" t="b">
        <v>0</v>
      </c>
      <c r="I91" s="122" t="b">
        <v>1</v>
      </c>
      <c r="J91" t="s">
        <v>1028</v>
      </c>
      <c r="L91" s="122" t="s">
        <v>1028</v>
      </c>
      <c r="M91" s="122" t="s">
        <v>1723</v>
      </c>
      <c r="N91" s="122" t="b">
        <v>1</v>
      </c>
      <c r="O91" s="122">
        <v>1610088321237</v>
      </c>
      <c r="P91" s="122"/>
      <c r="Q91" s="122">
        <v>1612168684396</v>
      </c>
      <c r="R91" s="122"/>
      <c r="S91" s="122" t="s">
        <v>1724</v>
      </c>
      <c r="T91" s="122" t="s">
        <v>1725</v>
      </c>
      <c r="U91" s="122" t="s">
        <v>1920</v>
      </c>
      <c r="V91" s="122" t="s">
        <v>1721</v>
      </c>
      <c r="W91" s="122" t="s">
        <v>1445</v>
      </c>
      <c r="X91" s="122" t="b">
        <v>1</v>
      </c>
      <c r="Y91" s="122" t="b">
        <v>0</v>
      </c>
      <c r="Z91" s="122" t="b">
        <v>0</v>
      </c>
      <c r="AA91" t="s">
        <v>1727</v>
      </c>
      <c r="AC91" t="s">
        <v>1727</v>
      </c>
      <c r="AG91" t="str">
        <f>IF(_xlfn.XLOOKUP(B91,'DB - Identities'!U:U,'DB - Identities'!U:U,"ERROR")&lt;&gt;"ERROR","OK","ERROR")</f>
        <v>OK</v>
      </c>
      <c r="AH91" s="122"/>
    </row>
    <row r="92" spans="1:34" hidden="1">
      <c r="A92" s="122" t="s">
        <v>1921</v>
      </c>
      <c r="B92" s="122" t="s">
        <v>1481</v>
      </c>
      <c r="C92" s="122" t="s">
        <v>1721</v>
      </c>
      <c r="D92" s="122">
        <v>532473061</v>
      </c>
      <c r="E92" s="122" t="s">
        <v>1722</v>
      </c>
      <c r="F92" s="122" t="s">
        <v>1590</v>
      </c>
      <c r="G92" s="122"/>
      <c r="H92" s="122" t="b">
        <v>0</v>
      </c>
      <c r="I92" s="122" t="b">
        <v>1</v>
      </c>
      <c r="J92" t="s">
        <v>1750</v>
      </c>
      <c r="L92" s="122" t="s">
        <v>1750</v>
      </c>
      <c r="M92" s="122" t="s">
        <v>1723</v>
      </c>
      <c r="N92" s="122" t="b">
        <v>1</v>
      </c>
      <c r="O92" s="122">
        <v>1603961481318</v>
      </c>
      <c r="P92" s="122"/>
      <c r="Q92" s="122">
        <v>1611647053655</v>
      </c>
      <c r="R92" s="122"/>
      <c r="S92" s="122" t="s">
        <v>1751</v>
      </c>
      <c r="T92" s="122" t="s">
        <v>1725</v>
      </c>
      <c r="U92" s="122" t="s">
        <v>1922</v>
      </c>
      <c r="V92" s="122" t="s">
        <v>1721</v>
      </c>
      <c r="W92" s="122" t="s">
        <v>1481</v>
      </c>
      <c r="X92" s="122" t="b">
        <v>0</v>
      </c>
      <c r="Y92" s="122" t="b">
        <v>1</v>
      </c>
      <c r="Z92" s="122" t="b">
        <v>0</v>
      </c>
      <c r="AA92" t="s">
        <v>1727</v>
      </c>
      <c r="AC92" t="s">
        <v>1727</v>
      </c>
      <c r="AG92" t="str">
        <f>IF(_xlfn.XLOOKUP(B92,'DB - Identities'!U:U,'DB - Identities'!U:U,"ERROR")&lt;&gt;"ERROR","OK","ERROR")</f>
        <v>ERROR</v>
      </c>
      <c r="AH92" s="122"/>
    </row>
    <row r="93" spans="1:34" hidden="1">
      <c r="A93" s="122" t="s">
        <v>1923</v>
      </c>
      <c r="B93" s="122" t="s">
        <v>1484</v>
      </c>
      <c r="C93" s="122" t="s">
        <v>1721</v>
      </c>
      <c r="D93" s="122">
        <v>348820374</v>
      </c>
      <c r="E93" s="122" t="s">
        <v>1722</v>
      </c>
      <c r="F93" t="s">
        <v>1924</v>
      </c>
      <c r="H93" s="122" t="b">
        <v>0</v>
      </c>
      <c r="I93" s="122" t="b">
        <v>1</v>
      </c>
      <c r="J93" t="s">
        <v>1924</v>
      </c>
      <c r="L93" s="122" t="s">
        <v>1924</v>
      </c>
      <c r="M93" s="122" t="s">
        <v>1723</v>
      </c>
      <c r="N93" s="122" t="b">
        <v>1</v>
      </c>
      <c r="O93" s="122">
        <v>1601472442993</v>
      </c>
      <c r="P93" s="122"/>
      <c r="Q93" s="122">
        <v>1611647063655</v>
      </c>
      <c r="R93" s="122"/>
      <c r="S93" s="122" t="s">
        <v>1751</v>
      </c>
      <c r="T93" s="122" t="s">
        <v>1725</v>
      </c>
      <c r="U93" s="122" t="s">
        <v>1925</v>
      </c>
      <c r="V93" s="122" t="s">
        <v>1721</v>
      </c>
      <c r="W93" s="122" t="s">
        <v>1484</v>
      </c>
      <c r="X93" s="122" t="b">
        <v>0</v>
      </c>
      <c r="Y93" s="122" t="b">
        <v>1</v>
      </c>
      <c r="Z93" s="122" t="b">
        <v>0</v>
      </c>
      <c r="AA93" t="s">
        <v>1727</v>
      </c>
      <c r="AC93" t="s">
        <v>1727</v>
      </c>
      <c r="AG93" t="str">
        <f>IF(_xlfn.XLOOKUP(B93,'DB - Identities'!U:U,'DB - Identities'!U:U,"ERROR")&lt;&gt;"ERROR","OK","ERROR")</f>
        <v>ERROR</v>
      </c>
      <c r="AH93" s="122"/>
    </row>
    <row r="94" spans="1:34" hidden="1">
      <c r="A94" s="122" t="s">
        <v>1926</v>
      </c>
      <c r="B94" s="122" t="s">
        <v>1459</v>
      </c>
      <c r="C94" s="122" t="s">
        <v>1721</v>
      </c>
      <c r="D94" s="122">
        <v>916364314</v>
      </c>
      <c r="E94" s="122" t="s">
        <v>1729</v>
      </c>
      <c r="F94" t="s">
        <v>1927</v>
      </c>
      <c r="H94" s="122" t="b">
        <v>0</v>
      </c>
      <c r="I94" s="122" t="b">
        <v>1</v>
      </c>
      <c r="J94" t="s">
        <v>1927</v>
      </c>
      <c r="L94" s="122" t="s">
        <v>1927</v>
      </c>
      <c r="M94" s="122" t="s">
        <v>1730</v>
      </c>
      <c r="N94" s="122" t="b">
        <v>0</v>
      </c>
      <c r="O94" s="122">
        <v>1605255673218</v>
      </c>
      <c r="P94" s="122"/>
      <c r="Q94" s="122">
        <v>1611424753347</v>
      </c>
      <c r="R94" s="122"/>
      <c r="S94" s="122" t="s">
        <v>1751</v>
      </c>
      <c r="T94" s="122" t="s">
        <v>1725</v>
      </c>
      <c r="U94" s="122" t="s">
        <v>1928</v>
      </c>
      <c r="V94" s="122" t="s">
        <v>1721</v>
      </c>
      <c r="W94" s="122" t="s">
        <v>1459</v>
      </c>
      <c r="X94" s="122" t="b">
        <v>0</v>
      </c>
      <c r="Y94" s="122" t="b">
        <v>1</v>
      </c>
      <c r="Z94" s="122" t="b">
        <v>0</v>
      </c>
      <c r="AA94" t="s">
        <v>1727</v>
      </c>
      <c r="AC94" t="s">
        <v>1727</v>
      </c>
      <c r="AG94" t="str">
        <f>IF(_xlfn.XLOOKUP(B94,'DB - Identities'!U:U,'DB - Identities'!U:U,"ERROR")&lt;&gt;"ERROR","OK","ERROR")</f>
        <v>ERROR</v>
      </c>
      <c r="AH94" s="122"/>
    </row>
    <row r="95" spans="1:34" hidden="1">
      <c r="A95" s="122" t="s">
        <v>1929</v>
      </c>
      <c r="B95" s="122" t="s">
        <v>1451</v>
      </c>
      <c r="C95" s="122" t="s">
        <v>1721</v>
      </c>
      <c r="D95" s="122">
        <v>225899426</v>
      </c>
      <c r="E95" s="122" t="s">
        <v>1729</v>
      </c>
      <c r="F95" t="s">
        <v>1930</v>
      </c>
      <c r="H95" s="122" t="b">
        <v>0</v>
      </c>
      <c r="I95" s="122" t="b">
        <v>1</v>
      </c>
      <c r="J95" t="s">
        <v>1930</v>
      </c>
      <c r="L95" s="122" t="s">
        <v>1930</v>
      </c>
      <c r="M95" s="122" t="s">
        <v>1730</v>
      </c>
      <c r="N95" s="122" t="b">
        <v>0</v>
      </c>
      <c r="O95" s="122">
        <v>1604633487981</v>
      </c>
      <c r="P95" s="122"/>
      <c r="Q95" s="122">
        <v>1611424546762</v>
      </c>
      <c r="R95" s="122"/>
      <c r="S95" s="122" t="s">
        <v>1751</v>
      </c>
      <c r="T95" s="122" t="s">
        <v>1725</v>
      </c>
      <c r="U95" s="122" t="s">
        <v>1931</v>
      </c>
      <c r="V95" s="122" t="s">
        <v>1721</v>
      </c>
      <c r="W95" s="122" t="s">
        <v>1451</v>
      </c>
      <c r="X95" s="122" t="b">
        <v>0</v>
      </c>
      <c r="Y95" s="122" t="b">
        <v>1</v>
      </c>
      <c r="Z95" s="122" t="b">
        <v>0</v>
      </c>
      <c r="AA95" t="s">
        <v>1727</v>
      </c>
      <c r="AC95" t="s">
        <v>1727</v>
      </c>
      <c r="AG95" t="str">
        <f>IF(_xlfn.XLOOKUP(B95,'DB - Identities'!U:U,'DB - Identities'!U:U,"ERROR")&lt;&gt;"ERROR","OK","ERROR")</f>
        <v>ERROR</v>
      </c>
      <c r="AH95" s="122"/>
    </row>
    <row r="96" spans="1:34" hidden="1">
      <c r="A96" s="122" t="s">
        <v>1932</v>
      </c>
      <c r="B96" s="122" t="s">
        <v>1463</v>
      </c>
      <c r="C96" s="122" t="s">
        <v>1721</v>
      </c>
      <c r="D96" s="122">
        <v>718004205</v>
      </c>
      <c r="E96" s="122" t="s">
        <v>1729</v>
      </c>
      <c r="F96" t="s">
        <v>1136</v>
      </c>
      <c r="H96" s="122" t="b">
        <v>0</v>
      </c>
      <c r="I96" s="122" t="b">
        <v>1</v>
      </c>
      <c r="J96" t="s">
        <v>1136</v>
      </c>
      <c r="L96" s="122" t="s">
        <v>1136</v>
      </c>
      <c r="M96" s="122" t="s">
        <v>1730</v>
      </c>
      <c r="N96" s="122" t="b">
        <v>0</v>
      </c>
      <c r="O96" s="122">
        <v>1598372043028</v>
      </c>
      <c r="P96" s="122"/>
      <c r="Q96" s="122">
        <v>1611372528146</v>
      </c>
      <c r="R96" s="122"/>
      <c r="S96" s="122" t="s">
        <v>1751</v>
      </c>
      <c r="T96" s="122" t="s">
        <v>1725</v>
      </c>
      <c r="U96" s="122" t="s">
        <v>1933</v>
      </c>
      <c r="V96" s="122" t="s">
        <v>1721</v>
      </c>
      <c r="W96" s="122" t="s">
        <v>1463</v>
      </c>
      <c r="X96" s="122" t="b">
        <v>0</v>
      </c>
      <c r="Y96" s="122" t="b">
        <v>1</v>
      </c>
      <c r="Z96" s="122" t="b">
        <v>0</v>
      </c>
      <c r="AA96" t="s">
        <v>1727</v>
      </c>
      <c r="AC96" t="s">
        <v>1727</v>
      </c>
      <c r="AG96" t="str">
        <f>IF(_xlfn.XLOOKUP(B96,'DB - Identities'!U:U,'DB - Identities'!U:U,"ERROR")&lt;&gt;"ERROR","OK","ERROR")</f>
        <v>ERROR</v>
      </c>
      <c r="AH96" s="122"/>
    </row>
    <row r="97" spans="1:34" hidden="1">
      <c r="A97" s="122" t="s">
        <v>1934</v>
      </c>
      <c r="B97" s="122" t="s">
        <v>1482</v>
      </c>
      <c r="C97" s="122" t="s">
        <v>1721</v>
      </c>
      <c r="D97" s="122">
        <v>268954388</v>
      </c>
      <c r="E97" s="122" t="s">
        <v>1722</v>
      </c>
      <c r="F97" t="s">
        <v>1006</v>
      </c>
      <c r="H97" s="122" t="b">
        <v>0</v>
      </c>
      <c r="I97" s="122" t="b">
        <v>1</v>
      </c>
      <c r="J97" t="s">
        <v>1006</v>
      </c>
      <c r="L97" s="122" t="s">
        <v>1006</v>
      </c>
      <c r="M97" s="122" t="s">
        <v>1723</v>
      </c>
      <c r="N97" s="122" t="b">
        <v>1</v>
      </c>
      <c r="O97" s="122">
        <v>1601471212549</v>
      </c>
      <c r="P97" s="122"/>
      <c r="Q97" s="122">
        <v>1611029231333</v>
      </c>
      <c r="R97" s="122"/>
      <c r="S97" s="122" t="s">
        <v>1751</v>
      </c>
      <c r="T97" s="122" t="s">
        <v>1725</v>
      </c>
      <c r="U97" s="122" t="s">
        <v>1935</v>
      </c>
      <c r="V97" s="122" t="s">
        <v>1721</v>
      </c>
      <c r="W97" s="122" t="s">
        <v>1482</v>
      </c>
      <c r="X97" s="122" t="b">
        <v>0</v>
      </c>
      <c r="Y97" s="122" t="b">
        <v>1</v>
      </c>
      <c r="Z97" s="122" t="b">
        <v>0</v>
      </c>
      <c r="AA97" t="s">
        <v>1727</v>
      </c>
      <c r="AC97" t="s">
        <v>1727</v>
      </c>
      <c r="AG97" t="str">
        <f>IF(_xlfn.XLOOKUP(B97,'DB - Identities'!U:U,'DB - Identities'!U:U,"ERROR")&lt;&gt;"ERROR","OK","ERROR")</f>
        <v>ERROR</v>
      </c>
      <c r="AH97" s="122"/>
    </row>
    <row r="98" spans="1:34" hidden="1">
      <c r="A98" s="122" t="s">
        <v>1936</v>
      </c>
      <c r="B98" s="122" t="s">
        <v>1483</v>
      </c>
      <c r="C98" s="122" t="s">
        <v>1721</v>
      </c>
      <c r="D98" s="122">
        <v>930408199</v>
      </c>
      <c r="E98" s="122" t="s">
        <v>1722</v>
      </c>
      <c r="F98" t="s">
        <v>1937</v>
      </c>
      <c r="H98" s="122" t="b">
        <v>0</v>
      </c>
      <c r="I98" s="122" t="b">
        <v>1</v>
      </c>
      <c r="J98" t="s">
        <v>1937</v>
      </c>
      <c r="L98" s="122" t="s">
        <v>1937</v>
      </c>
      <c r="M98" s="122" t="s">
        <v>1723</v>
      </c>
      <c r="N98" s="122" t="b">
        <v>1</v>
      </c>
      <c r="O98" s="122">
        <v>1603774554984</v>
      </c>
      <c r="P98" s="122"/>
      <c r="Q98" s="122">
        <v>1609768811408</v>
      </c>
      <c r="R98" s="122"/>
      <c r="S98" s="122" t="s">
        <v>1751</v>
      </c>
      <c r="T98" s="122" t="s">
        <v>1725</v>
      </c>
      <c r="U98" s="122" t="s">
        <v>1938</v>
      </c>
      <c r="V98" s="122" t="s">
        <v>1721</v>
      </c>
      <c r="W98" s="122" t="s">
        <v>1483</v>
      </c>
      <c r="X98" s="122" t="b">
        <v>0</v>
      </c>
      <c r="Y98" s="122" t="b">
        <v>1</v>
      </c>
      <c r="Z98" s="122" t="b">
        <v>0</v>
      </c>
      <c r="AA98" t="s">
        <v>1727</v>
      </c>
      <c r="AC98" t="s">
        <v>1727</v>
      </c>
      <c r="AG98" t="str">
        <f>IF(_xlfn.XLOOKUP(B98,'DB - Identities'!U:U,'DB - Identities'!U:U,"ERROR")&lt;&gt;"ERROR","OK","ERROR")</f>
        <v>ERROR</v>
      </c>
      <c r="AH98" s="122"/>
    </row>
    <row r="99" spans="1:34" hidden="1">
      <c r="A99" s="122" t="s">
        <v>1939</v>
      </c>
      <c r="B99" s="122" t="s">
        <v>1480</v>
      </c>
      <c r="C99" s="122" t="s">
        <v>1721</v>
      </c>
      <c r="D99" s="122">
        <v>30027272</v>
      </c>
      <c r="E99" s="122" t="s">
        <v>1722</v>
      </c>
      <c r="F99" t="s">
        <v>1940</v>
      </c>
      <c r="H99" s="122" t="b">
        <v>0</v>
      </c>
      <c r="I99" s="122" t="b">
        <v>1</v>
      </c>
      <c r="J99" t="s">
        <v>1047</v>
      </c>
      <c r="L99" s="122" t="s">
        <v>1047</v>
      </c>
      <c r="M99" s="122" t="s">
        <v>1723</v>
      </c>
      <c r="N99" s="122" t="b">
        <v>1</v>
      </c>
      <c r="O99" s="122">
        <v>1604400066013</v>
      </c>
      <c r="P99" s="122"/>
      <c r="Q99" s="122">
        <v>1609768795239</v>
      </c>
      <c r="R99" s="122"/>
      <c r="S99" s="122" t="s">
        <v>1751</v>
      </c>
      <c r="T99" s="122" t="s">
        <v>1725</v>
      </c>
      <c r="U99" s="122" t="s">
        <v>1941</v>
      </c>
      <c r="V99" s="122" t="s">
        <v>1721</v>
      </c>
      <c r="W99" s="122" t="s">
        <v>1480</v>
      </c>
      <c r="X99" s="122" t="b">
        <v>0</v>
      </c>
      <c r="Y99" s="122" t="b">
        <v>1</v>
      </c>
      <c r="Z99" s="122" t="b">
        <v>0</v>
      </c>
      <c r="AA99" t="s">
        <v>1727</v>
      </c>
      <c r="AC99" t="s">
        <v>1727</v>
      </c>
      <c r="AG99" t="str">
        <f>IF(_xlfn.XLOOKUP(B99,'DB - Identities'!U:U,'DB - Identities'!U:U,"ERROR")&lt;&gt;"ERROR","OK","ERROR")</f>
        <v>ERROR</v>
      </c>
      <c r="AH99" s="122"/>
    </row>
    <row r="100" spans="1:34" hidden="1">
      <c r="A100" s="122" t="s">
        <v>1942</v>
      </c>
      <c r="B100" s="122" t="s">
        <v>1478</v>
      </c>
      <c r="C100" s="122" t="s">
        <v>1721</v>
      </c>
      <c r="D100" s="122">
        <v>933343210</v>
      </c>
      <c r="E100" s="122" t="s">
        <v>1722</v>
      </c>
      <c r="F100" t="s">
        <v>1943</v>
      </c>
      <c r="H100" s="122" t="b">
        <v>0</v>
      </c>
      <c r="I100" s="122" t="b">
        <v>1</v>
      </c>
      <c r="J100" t="s">
        <v>1944</v>
      </c>
      <c r="L100" s="122" t="s">
        <v>1944</v>
      </c>
      <c r="M100" s="122" t="s">
        <v>1723</v>
      </c>
      <c r="N100" s="122" t="b">
        <v>1</v>
      </c>
      <c r="O100" s="122">
        <v>1604398715102</v>
      </c>
      <c r="P100" s="122"/>
      <c r="Q100" s="122">
        <v>1609768779581</v>
      </c>
      <c r="R100" s="122"/>
      <c r="S100" s="122" t="s">
        <v>1751</v>
      </c>
      <c r="T100" s="122" t="s">
        <v>1725</v>
      </c>
      <c r="U100" s="122" t="s">
        <v>1945</v>
      </c>
      <c r="V100" s="122" t="s">
        <v>1721</v>
      </c>
      <c r="W100" s="122" t="s">
        <v>1478</v>
      </c>
      <c r="X100" s="122" t="b">
        <v>0</v>
      </c>
      <c r="Y100" s="122" t="b">
        <v>1</v>
      </c>
      <c r="Z100" s="122" t="b">
        <v>0</v>
      </c>
      <c r="AA100" t="s">
        <v>1727</v>
      </c>
      <c r="AC100" t="s">
        <v>1727</v>
      </c>
      <c r="AG100" t="str">
        <f>IF(_xlfn.XLOOKUP(B100,'DB - Identities'!U:U,'DB - Identities'!U:U,"ERROR")&lt;&gt;"ERROR","OK","ERROR")</f>
        <v>ERROR</v>
      </c>
      <c r="AH100" s="122"/>
    </row>
    <row r="101" spans="1:34" hidden="1">
      <c r="A101" s="122" t="s">
        <v>1946</v>
      </c>
      <c r="B101" s="122" t="s">
        <v>1485</v>
      </c>
      <c r="C101" s="122" t="s">
        <v>1721</v>
      </c>
      <c r="D101" s="122">
        <v>209837243</v>
      </c>
      <c r="E101" s="122" t="s">
        <v>1722</v>
      </c>
      <c r="F101" t="s">
        <v>1069</v>
      </c>
      <c r="H101" s="122" t="b">
        <v>0</v>
      </c>
      <c r="I101" s="122" t="b">
        <v>1</v>
      </c>
      <c r="J101" t="s">
        <v>1070</v>
      </c>
      <c r="L101" s="122" t="s">
        <v>1070</v>
      </c>
      <c r="M101" s="122" t="s">
        <v>1723</v>
      </c>
      <c r="N101" s="122" t="b">
        <v>1</v>
      </c>
      <c r="O101" s="122">
        <v>1604052526652</v>
      </c>
      <c r="P101" s="122"/>
      <c r="Q101" s="122">
        <v>1609768767921</v>
      </c>
      <c r="R101" s="122"/>
      <c r="S101" s="122" t="s">
        <v>1751</v>
      </c>
      <c r="T101" s="122" t="s">
        <v>1725</v>
      </c>
      <c r="U101" s="122" t="s">
        <v>1947</v>
      </c>
      <c r="V101" s="122" t="s">
        <v>1721</v>
      </c>
      <c r="W101" s="122" t="s">
        <v>1485</v>
      </c>
      <c r="X101" s="122" t="b">
        <v>0</v>
      </c>
      <c r="Y101" s="122" t="b">
        <v>1</v>
      </c>
      <c r="Z101" s="122" t="b">
        <v>0</v>
      </c>
      <c r="AA101" t="s">
        <v>1727</v>
      </c>
      <c r="AC101" t="s">
        <v>1727</v>
      </c>
      <c r="AG101" t="str">
        <f>IF(_xlfn.XLOOKUP(B101,'DB - Identities'!U:U,'DB - Identities'!U:U,"ERROR")&lt;&gt;"ERROR","OK","ERROR")</f>
        <v>ERROR</v>
      </c>
      <c r="AH101" s="122"/>
    </row>
    <row r="102" spans="1:34" hidden="1">
      <c r="A102" s="122" t="s">
        <v>1948</v>
      </c>
      <c r="B102" s="122" t="s">
        <v>1479</v>
      </c>
      <c r="C102" s="122" t="s">
        <v>1721</v>
      </c>
      <c r="D102" s="122">
        <v>293771268</v>
      </c>
      <c r="E102" s="122" t="s">
        <v>1722</v>
      </c>
      <c r="F102" t="s">
        <v>1949</v>
      </c>
      <c r="H102" s="122" t="b">
        <v>0</v>
      </c>
      <c r="I102" s="122" t="b">
        <v>1</v>
      </c>
      <c r="J102" t="s">
        <v>1950</v>
      </c>
      <c r="L102" s="122" t="s">
        <v>1950</v>
      </c>
      <c r="M102" s="122" t="s">
        <v>1723</v>
      </c>
      <c r="N102" s="122" t="b">
        <v>1</v>
      </c>
      <c r="O102" s="122">
        <v>1604401107711</v>
      </c>
      <c r="P102" s="122"/>
      <c r="Q102" s="122">
        <v>1609768733168</v>
      </c>
      <c r="R102" s="122"/>
      <c r="S102" s="122" t="s">
        <v>1751</v>
      </c>
      <c r="T102" s="122" t="s">
        <v>1725</v>
      </c>
      <c r="U102" s="122" t="s">
        <v>1951</v>
      </c>
      <c r="V102" s="122" t="s">
        <v>1721</v>
      </c>
      <c r="W102" s="122" t="s">
        <v>1479</v>
      </c>
      <c r="X102" s="122" t="b">
        <v>0</v>
      </c>
      <c r="Y102" s="122" t="b">
        <v>1</v>
      </c>
      <c r="Z102" s="122" t="b">
        <v>0</v>
      </c>
      <c r="AA102" t="s">
        <v>1727</v>
      </c>
      <c r="AC102" t="s">
        <v>1727</v>
      </c>
      <c r="AG102" t="str">
        <f>IF(_xlfn.XLOOKUP(B102,'DB - Identities'!U:U,'DB - Identities'!U:U,"ERROR")&lt;&gt;"ERROR","OK","ERROR")</f>
        <v>ERROR</v>
      </c>
      <c r="AH102" s="122"/>
    </row>
    <row r="103" spans="1:34" hidden="1">
      <c r="A103" s="122" t="s">
        <v>1952</v>
      </c>
      <c r="B103" s="122" t="s">
        <v>1438</v>
      </c>
      <c r="C103" s="122" t="s">
        <v>1721</v>
      </c>
      <c r="D103" s="122">
        <v>657815768</v>
      </c>
      <c r="E103" s="122" t="s">
        <v>1722</v>
      </c>
      <c r="F103" t="s">
        <v>1124</v>
      </c>
      <c r="H103" s="122" t="b">
        <v>0</v>
      </c>
      <c r="I103" s="122" t="b">
        <v>1</v>
      </c>
      <c r="J103" t="s">
        <v>1124</v>
      </c>
      <c r="L103" s="122" t="s">
        <v>1124</v>
      </c>
      <c r="M103" s="122" t="s">
        <v>1723</v>
      </c>
      <c r="N103" s="122" t="b">
        <v>1</v>
      </c>
      <c r="O103" s="122">
        <v>1606458731013</v>
      </c>
      <c r="P103" s="122"/>
      <c r="Q103" s="122">
        <v>1609768456985</v>
      </c>
      <c r="R103" s="122"/>
      <c r="S103" s="122" t="s">
        <v>1751</v>
      </c>
      <c r="T103" s="122" t="s">
        <v>1725</v>
      </c>
      <c r="U103" s="122" t="s">
        <v>1953</v>
      </c>
      <c r="V103" s="122" t="s">
        <v>1721</v>
      </c>
      <c r="W103" s="122" t="s">
        <v>1438</v>
      </c>
      <c r="X103" s="122" t="b">
        <v>0</v>
      </c>
      <c r="Y103" s="122" t="b">
        <v>1</v>
      </c>
      <c r="Z103" s="122" t="b">
        <v>0</v>
      </c>
      <c r="AA103" t="s">
        <v>1727</v>
      </c>
      <c r="AC103" t="s">
        <v>1727</v>
      </c>
      <c r="AG103" t="str">
        <f>IF(_xlfn.XLOOKUP(B103,'DB - Identities'!U:U,'DB - Identities'!U:U,"ERROR")&lt;&gt;"ERROR","OK","ERROR")</f>
        <v>ERROR</v>
      </c>
      <c r="AH103" s="122"/>
    </row>
    <row r="104" spans="1:34" hidden="1">
      <c r="A104" s="122" t="s">
        <v>1954</v>
      </c>
      <c r="B104" s="122" t="s">
        <v>1492</v>
      </c>
      <c r="C104" s="122" t="s">
        <v>1721</v>
      </c>
      <c r="D104" s="122">
        <v>905082134</v>
      </c>
      <c r="E104" s="122" t="s">
        <v>1722</v>
      </c>
      <c r="F104" t="s">
        <v>1955</v>
      </c>
      <c r="H104" s="122" t="b">
        <v>0</v>
      </c>
      <c r="I104" s="122" t="b">
        <v>1</v>
      </c>
      <c r="J104" t="s">
        <v>1955</v>
      </c>
      <c r="L104" s="122" t="s">
        <v>1955</v>
      </c>
      <c r="M104" s="122" t="s">
        <v>1723</v>
      </c>
      <c r="N104" s="122" t="b">
        <v>1</v>
      </c>
      <c r="O104" s="122">
        <v>1608061497223</v>
      </c>
      <c r="P104" s="122"/>
      <c r="Q104" s="122">
        <v>1609768366745</v>
      </c>
      <c r="R104" s="122"/>
      <c r="S104" s="122" t="s">
        <v>1751</v>
      </c>
      <c r="T104" s="122" t="s">
        <v>1725</v>
      </c>
      <c r="U104" s="122" t="s">
        <v>1956</v>
      </c>
      <c r="V104" s="122" t="s">
        <v>1721</v>
      </c>
      <c r="W104" s="122" t="s">
        <v>1492</v>
      </c>
      <c r="X104" s="122" t="b">
        <v>0</v>
      </c>
      <c r="Y104" s="122" t="b">
        <v>1</v>
      </c>
      <c r="Z104" s="122" t="b">
        <v>0</v>
      </c>
      <c r="AA104" t="s">
        <v>1727</v>
      </c>
      <c r="AC104" t="s">
        <v>1727</v>
      </c>
      <c r="AG104" t="str">
        <f>IF(_xlfn.XLOOKUP(B104,'DB - Identities'!U:U,'DB - Identities'!U:U,"ERROR")&lt;&gt;"ERROR","OK","ERROR")</f>
        <v>ERROR</v>
      </c>
      <c r="AH104" s="122"/>
    </row>
    <row r="105" spans="1:34" hidden="1">
      <c r="A105" s="122" t="s">
        <v>1957</v>
      </c>
      <c r="B105" s="122" t="s">
        <v>1453</v>
      </c>
      <c r="C105" s="122" t="s">
        <v>1721</v>
      </c>
      <c r="D105" s="122">
        <v>471813304</v>
      </c>
      <c r="E105" s="122" t="s">
        <v>1722</v>
      </c>
      <c r="F105" t="s">
        <v>1958</v>
      </c>
      <c r="H105" s="122" t="b">
        <v>0</v>
      </c>
      <c r="I105" s="122" t="b">
        <v>1</v>
      </c>
      <c r="J105" t="s">
        <v>1959</v>
      </c>
      <c r="L105" s="122" t="s">
        <v>1959</v>
      </c>
      <c r="M105" s="122" t="s">
        <v>1723</v>
      </c>
      <c r="N105" s="122" t="b">
        <v>1</v>
      </c>
      <c r="O105" s="122">
        <v>1595834057061</v>
      </c>
      <c r="P105" s="122"/>
      <c r="Q105" s="122">
        <v>1609768328044</v>
      </c>
      <c r="R105" s="122"/>
      <c r="S105" s="122" t="s">
        <v>1751</v>
      </c>
      <c r="T105" s="122" t="s">
        <v>1725</v>
      </c>
      <c r="U105" s="122" t="s">
        <v>1960</v>
      </c>
      <c r="V105" s="122" t="s">
        <v>1721</v>
      </c>
      <c r="W105" s="122" t="s">
        <v>1453</v>
      </c>
      <c r="X105" s="122" t="b">
        <v>0</v>
      </c>
      <c r="Y105" s="122" t="b">
        <v>1</v>
      </c>
      <c r="Z105" s="122" t="b">
        <v>0</v>
      </c>
      <c r="AA105" t="s">
        <v>1727</v>
      </c>
      <c r="AC105" t="s">
        <v>1727</v>
      </c>
      <c r="AG105" t="str">
        <f>IF(_xlfn.XLOOKUP(B105,'DB - Identities'!U:U,'DB - Identities'!U:U,"ERROR")&lt;&gt;"ERROR","OK","ERROR")</f>
        <v>ERROR</v>
      </c>
      <c r="AH105" s="122"/>
    </row>
    <row r="106" spans="1:34" hidden="1">
      <c r="A106" s="122" t="s">
        <v>1961</v>
      </c>
      <c r="B106" s="122" t="s">
        <v>1504</v>
      </c>
      <c r="C106" s="122" t="s">
        <v>1721</v>
      </c>
      <c r="D106" s="122">
        <v>597842006</v>
      </c>
      <c r="E106" s="122" t="s">
        <v>1729</v>
      </c>
      <c r="F106" t="s">
        <v>1962</v>
      </c>
      <c r="H106" s="122" t="b">
        <v>0</v>
      </c>
      <c r="I106" s="122" t="b">
        <v>1</v>
      </c>
      <c r="J106" t="s">
        <v>1962</v>
      </c>
      <c r="L106" s="122" t="s">
        <v>1962</v>
      </c>
      <c r="M106" s="122" t="s">
        <v>1730</v>
      </c>
      <c r="N106" s="122" t="b">
        <v>0</v>
      </c>
      <c r="O106" s="122">
        <v>1605001580509</v>
      </c>
      <c r="P106" s="122"/>
      <c r="Q106" s="122">
        <v>1609768311206</v>
      </c>
      <c r="R106" s="122"/>
      <c r="S106" s="122" t="s">
        <v>1751</v>
      </c>
      <c r="T106" s="122" t="s">
        <v>1725</v>
      </c>
      <c r="U106" s="122" t="s">
        <v>1963</v>
      </c>
      <c r="V106" s="122" t="s">
        <v>1721</v>
      </c>
      <c r="W106" s="122" t="s">
        <v>1504</v>
      </c>
      <c r="X106" s="122" t="b">
        <v>0</v>
      </c>
      <c r="Y106" s="122" t="b">
        <v>1</v>
      </c>
      <c r="Z106" s="122" t="b">
        <v>0</v>
      </c>
      <c r="AA106" t="s">
        <v>1727</v>
      </c>
      <c r="AC106" t="s">
        <v>1727</v>
      </c>
      <c r="AG106" t="str">
        <f>IF(_xlfn.XLOOKUP(B106,'DB - Identities'!U:U,'DB - Identities'!U:U,"ERROR")&lt;&gt;"ERROR","OK","ERROR")</f>
        <v>ERROR</v>
      </c>
      <c r="AH106" s="122"/>
    </row>
    <row r="107" spans="1:34" hidden="1">
      <c r="A107" s="122" t="s">
        <v>1964</v>
      </c>
      <c r="B107" s="122" t="s">
        <v>1466</v>
      </c>
      <c r="C107" s="122" t="s">
        <v>1721</v>
      </c>
      <c r="D107" s="122">
        <v>715052897</v>
      </c>
      <c r="E107" s="122" t="s">
        <v>1722</v>
      </c>
      <c r="F107" t="s">
        <v>1965</v>
      </c>
      <c r="H107" s="122" t="b">
        <v>0</v>
      </c>
      <c r="I107" s="122" t="b">
        <v>1</v>
      </c>
      <c r="J107" t="s">
        <v>1965</v>
      </c>
      <c r="L107" s="122" t="s">
        <v>1965</v>
      </c>
      <c r="M107" s="122" t="s">
        <v>1723</v>
      </c>
      <c r="N107" s="122" t="b">
        <v>1</v>
      </c>
      <c r="O107" s="122">
        <v>1604376182046</v>
      </c>
      <c r="P107" s="122"/>
      <c r="Q107" s="122">
        <v>1609768295185</v>
      </c>
      <c r="R107" s="122"/>
      <c r="S107" s="122" t="s">
        <v>1751</v>
      </c>
      <c r="T107" s="122" t="s">
        <v>1725</v>
      </c>
      <c r="U107" s="122" t="s">
        <v>1966</v>
      </c>
      <c r="V107" s="122" t="s">
        <v>1721</v>
      </c>
      <c r="W107" s="122" t="s">
        <v>1466</v>
      </c>
      <c r="X107" s="122" t="b">
        <v>0</v>
      </c>
      <c r="Y107" s="122" t="b">
        <v>1</v>
      </c>
      <c r="Z107" s="122" t="b">
        <v>0</v>
      </c>
      <c r="AA107" t="s">
        <v>1727</v>
      </c>
      <c r="AC107" t="s">
        <v>1727</v>
      </c>
      <c r="AG107" t="str">
        <f>IF(_xlfn.XLOOKUP(B107,'DB - Identities'!U:U,'DB - Identities'!U:U,"ERROR")&lt;&gt;"ERROR","OK","ERROR")</f>
        <v>ERROR</v>
      </c>
      <c r="AH107" s="122"/>
    </row>
    <row r="108" spans="1:34" hidden="1">
      <c r="A108" s="122" t="s">
        <v>1967</v>
      </c>
      <c r="B108" s="122" t="s">
        <v>1501</v>
      </c>
      <c r="C108" s="122" t="s">
        <v>1721</v>
      </c>
      <c r="D108" s="122">
        <v>870751928</v>
      </c>
      <c r="E108" s="122" t="s">
        <v>1729</v>
      </c>
      <c r="F108" t="s">
        <v>173</v>
      </c>
      <c r="H108" s="122" t="b">
        <v>0</v>
      </c>
      <c r="I108" s="122" t="b">
        <v>1</v>
      </c>
      <c r="J108" t="s">
        <v>173</v>
      </c>
      <c r="L108" s="122" t="s">
        <v>173</v>
      </c>
      <c r="M108" s="122" t="s">
        <v>1730</v>
      </c>
      <c r="N108" s="122" t="b">
        <v>0</v>
      </c>
      <c r="O108" s="122">
        <v>1603948693378</v>
      </c>
      <c r="P108" s="122"/>
      <c r="Q108" s="122">
        <v>1609768281000</v>
      </c>
      <c r="R108" s="122"/>
      <c r="S108" s="122" t="s">
        <v>1751</v>
      </c>
      <c r="T108" s="122" t="s">
        <v>1725</v>
      </c>
      <c r="U108" s="122" t="s">
        <v>1968</v>
      </c>
      <c r="V108" s="122" t="s">
        <v>1721</v>
      </c>
      <c r="W108" s="122" t="s">
        <v>1501</v>
      </c>
      <c r="X108" s="122" t="b">
        <v>0</v>
      </c>
      <c r="Y108" s="122" t="b">
        <v>1</v>
      </c>
      <c r="Z108" s="122" t="b">
        <v>0</v>
      </c>
      <c r="AA108" t="s">
        <v>1727</v>
      </c>
      <c r="AC108" t="s">
        <v>1727</v>
      </c>
      <c r="AG108" t="str">
        <f>IF(_xlfn.XLOOKUP(B108,'DB - Identities'!U:U,'DB - Identities'!U:U,"ERROR")&lt;&gt;"ERROR","OK","ERROR")</f>
        <v>ERROR</v>
      </c>
      <c r="AH108" s="122"/>
    </row>
    <row r="109" spans="1:34" hidden="1">
      <c r="A109" s="122" t="s">
        <v>1969</v>
      </c>
      <c r="B109" s="122" t="s">
        <v>1434</v>
      </c>
      <c r="C109" s="122" t="s">
        <v>1721</v>
      </c>
      <c r="D109" s="122">
        <v>278544162</v>
      </c>
      <c r="E109" s="122" t="s">
        <v>1722</v>
      </c>
      <c r="F109" t="s">
        <v>1970</v>
      </c>
      <c r="H109" s="122" t="b">
        <v>0</v>
      </c>
      <c r="I109" s="122" t="b">
        <v>1</v>
      </c>
      <c r="J109" t="s">
        <v>79</v>
      </c>
      <c r="L109" s="122" t="s">
        <v>79</v>
      </c>
      <c r="M109" s="122" t="s">
        <v>1723</v>
      </c>
      <c r="N109" s="122" t="b">
        <v>1</v>
      </c>
      <c r="O109" s="122">
        <v>1596784867110</v>
      </c>
      <c r="P109" s="122"/>
      <c r="Q109" s="122">
        <v>1609768259260</v>
      </c>
      <c r="R109" s="122"/>
      <c r="S109" s="122" t="s">
        <v>1751</v>
      </c>
      <c r="T109" s="122" t="s">
        <v>1725</v>
      </c>
      <c r="U109" s="122" t="s">
        <v>1971</v>
      </c>
      <c r="V109" s="122" t="s">
        <v>1721</v>
      </c>
      <c r="W109" s="122" t="s">
        <v>1434</v>
      </c>
      <c r="X109" s="122" t="b">
        <v>0</v>
      </c>
      <c r="Y109" s="122" t="b">
        <v>1</v>
      </c>
      <c r="Z109" s="122" t="b">
        <v>0</v>
      </c>
      <c r="AA109" t="s">
        <v>1727</v>
      </c>
      <c r="AC109" t="s">
        <v>1727</v>
      </c>
      <c r="AG109" t="str">
        <f>IF(_xlfn.XLOOKUP(B109,'DB - Identities'!U:U,'DB - Identities'!U:U,"ERROR")&lt;&gt;"ERROR","OK","ERROR")</f>
        <v>ERROR</v>
      </c>
      <c r="AH109" s="122"/>
    </row>
    <row r="110" spans="1:34" hidden="1">
      <c r="A110" s="122" t="s">
        <v>1972</v>
      </c>
      <c r="B110" s="122" t="s">
        <v>1493</v>
      </c>
      <c r="C110" s="122" t="s">
        <v>1721</v>
      </c>
      <c r="D110" s="122">
        <v>814335341</v>
      </c>
      <c r="E110" s="122" t="s">
        <v>1729</v>
      </c>
      <c r="F110" t="s">
        <v>1973</v>
      </c>
      <c r="H110" s="122" t="b">
        <v>0</v>
      </c>
      <c r="I110" s="122" t="b">
        <v>1</v>
      </c>
      <c r="J110" t="s">
        <v>1973</v>
      </c>
      <c r="L110" s="122" t="s">
        <v>1973</v>
      </c>
      <c r="M110" s="122" t="s">
        <v>1730</v>
      </c>
      <c r="N110" s="122" t="b">
        <v>0</v>
      </c>
      <c r="O110" s="122">
        <v>1605692356294</v>
      </c>
      <c r="P110" s="122"/>
      <c r="Q110" s="122">
        <v>1609768244082</v>
      </c>
      <c r="R110" s="122"/>
      <c r="S110" s="122" t="s">
        <v>1751</v>
      </c>
      <c r="T110" s="122" t="s">
        <v>1725</v>
      </c>
      <c r="U110" s="122" t="s">
        <v>1974</v>
      </c>
      <c r="V110" s="122" t="s">
        <v>1721</v>
      </c>
      <c r="W110" s="122" t="s">
        <v>1493</v>
      </c>
      <c r="X110" s="122" t="b">
        <v>0</v>
      </c>
      <c r="Y110" s="122" t="b">
        <v>1</v>
      </c>
      <c r="Z110" s="122" t="b">
        <v>0</v>
      </c>
      <c r="AA110" t="s">
        <v>1727</v>
      </c>
      <c r="AC110" t="s">
        <v>1727</v>
      </c>
      <c r="AG110" t="str">
        <f>IF(_xlfn.XLOOKUP(B110,'DB - Identities'!U:U,'DB - Identities'!U:U,"ERROR")&lt;&gt;"ERROR","OK","ERROR")</f>
        <v>ERROR</v>
      </c>
      <c r="AH110" s="122"/>
    </row>
    <row r="111" spans="1:34" hidden="1">
      <c r="A111" s="122" t="s">
        <v>1975</v>
      </c>
      <c r="B111" s="122" t="s">
        <v>1461</v>
      </c>
      <c r="C111" s="122" t="s">
        <v>1721</v>
      </c>
      <c r="D111" s="122">
        <v>196032703</v>
      </c>
      <c r="E111" s="122" t="s">
        <v>1729</v>
      </c>
      <c r="F111" s="122" t="s">
        <v>1976</v>
      </c>
      <c r="G111" s="122"/>
      <c r="H111" s="122" t="b">
        <v>0</v>
      </c>
      <c r="I111" s="122" t="b">
        <v>1</v>
      </c>
      <c r="J111" t="s">
        <v>1977</v>
      </c>
      <c r="L111" s="122" t="s">
        <v>1977</v>
      </c>
      <c r="M111" s="122" t="s">
        <v>1730</v>
      </c>
      <c r="N111" s="122" t="b">
        <v>0</v>
      </c>
      <c r="O111" s="122">
        <v>1604542189233</v>
      </c>
      <c r="P111" s="122"/>
      <c r="Q111" s="122">
        <v>1609768223720</v>
      </c>
      <c r="R111" s="122"/>
      <c r="S111" s="122" t="s">
        <v>1751</v>
      </c>
      <c r="T111" s="122" t="s">
        <v>1725</v>
      </c>
      <c r="U111" s="122" t="s">
        <v>1978</v>
      </c>
      <c r="V111" s="122" t="s">
        <v>1721</v>
      </c>
      <c r="W111" s="122" t="s">
        <v>1461</v>
      </c>
      <c r="X111" s="122" t="b">
        <v>0</v>
      </c>
      <c r="Y111" s="122" t="b">
        <v>1</v>
      </c>
      <c r="Z111" s="122" t="b">
        <v>0</v>
      </c>
      <c r="AA111" t="s">
        <v>1727</v>
      </c>
      <c r="AC111" t="s">
        <v>1727</v>
      </c>
      <c r="AG111" t="str">
        <f>IF(_xlfn.XLOOKUP(B111,'DB - Identities'!U:U,'DB - Identities'!U:U,"ERROR")&lt;&gt;"ERROR","OK","ERROR")</f>
        <v>ERROR</v>
      </c>
    </row>
    <row r="112" spans="1:34" hidden="1">
      <c r="A112" s="122" t="s">
        <v>1979</v>
      </c>
      <c r="B112" s="122" t="s">
        <v>1464</v>
      </c>
      <c r="C112" s="122" t="s">
        <v>1721</v>
      </c>
      <c r="D112" s="122">
        <v>95908941</v>
      </c>
      <c r="E112" s="122" t="s">
        <v>1729</v>
      </c>
      <c r="F112" s="122" t="s">
        <v>1980</v>
      </c>
      <c r="G112" s="122"/>
      <c r="H112" s="122" t="b">
        <v>0</v>
      </c>
      <c r="I112" s="122" t="b">
        <v>1</v>
      </c>
      <c r="J112" t="s">
        <v>1981</v>
      </c>
      <c r="L112" s="122" t="s">
        <v>1981</v>
      </c>
      <c r="M112" s="122" t="s">
        <v>1730</v>
      </c>
      <c r="N112" s="122" t="b">
        <v>0</v>
      </c>
      <c r="O112" s="122">
        <v>1604542090811</v>
      </c>
      <c r="P112" s="122"/>
      <c r="Q112" s="122">
        <v>1609768209201</v>
      </c>
      <c r="R112" s="122"/>
      <c r="S112" s="122" t="s">
        <v>1751</v>
      </c>
      <c r="T112" s="122" t="s">
        <v>1725</v>
      </c>
      <c r="U112" s="122" t="s">
        <v>1982</v>
      </c>
      <c r="V112" s="122" t="s">
        <v>1721</v>
      </c>
      <c r="W112" s="122" t="s">
        <v>1464</v>
      </c>
      <c r="X112" s="122" t="b">
        <v>0</v>
      </c>
      <c r="Y112" s="122" t="b">
        <v>1</v>
      </c>
      <c r="Z112" s="122" t="b">
        <v>0</v>
      </c>
      <c r="AA112" t="s">
        <v>1727</v>
      </c>
      <c r="AC112" t="s">
        <v>1727</v>
      </c>
      <c r="AG112" t="str">
        <f>IF(_xlfn.XLOOKUP(B112,'DB - Identities'!U:U,'DB - Identities'!U:U,"ERROR")&lt;&gt;"ERROR","OK","ERROR")</f>
        <v>ERROR</v>
      </c>
    </row>
    <row r="113" spans="1:33" hidden="1">
      <c r="A113" s="122" t="s">
        <v>1983</v>
      </c>
      <c r="B113" s="122" t="s">
        <v>1499</v>
      </c>
      <c r="C113" s="122" t="s">
        <v>1721</v>
      </c>
      <c r="D113" s="122">
        <v>419542703</v>
      </c>
      <c r="E113" s="122" t="s">
        <v>1729</v>
      </c>
      <c r="F113" t="s">
        <v>1984</v>
      </c>
      <c r="H113" s="122" t="b">
        <v>0</v>
      </c>
      <c r="I113" s="122" t="b">
        <v>1</v>
      </c>
      <c r="J113" t="s">
        <v>1984</v>
      </c>
      <c r="L113" s="122" t="s">
        <v>1984</v>
      </c>
      <c r="M113" s="122" t="s">
        <v>1730</v>
      </c>
      <c r="N113" s="122" t="b">
        <v>0</v>
      </c>
      <c r="O113" s="122">
        <v>1605001900016</v>
      </c>
      <c r="P113" s="122"/>
      <c r="Q113" s="122">
        <v>1609768195816</v>
      </c>
      <c r="R113" s="122"/>
      <c r="S113" s="122" t="s">
        <v>1751</v>
      </c>
      <c r="T113" s="122" t="s">
        <v>1725</v>
      </c>
      <c r="U113" s="122" t="s">
        <v>1985</v>
      </c>
      <c r="V113" s="122" t="s">
        <v>1721</v>
      </c>
      <c r="W113" s="122" t="s">
        <v>1499</v>
      </c>
      <c r="X113" s="122" t="b">
        <v>0</v>
      </c>
      <c r="Y113" s="122" t="b">
        <v>1</v>
      </c>
      <c r="Z113" s="122" t="b">
        <v>0</v>
      </c>
      <c r="AA113" t="s">
        <v>1727</v>
      </c>
      <c r="AC113" t="s">
        <v>1727</v>
      </c>
      <c r="AG113" t="str">
        <f>IF(_xlfn.XLOOKUP(B113,'DB - Identities'!U:U,'DB - Identities'!U:U,"ERROR")&lt;&gt;"ERROR","OK","ERROR")</f>
        <v>ERROR</v>
      </c>
    </row>
    <row r="114" spans="1:33" hidden="1">
      <c r="A114" s="122" t="s">
        <v>1986</v>
      </c>
      <c r="B114" s="122" t="s">
        <v>1498</v>
      </c>
      <c r="C114" s="122" t="s">
        <v>1721</v>
      </c>
      <c r="D114" s="122">
        <v>262880039</v>
      </c>
      <c r="E114" s="122" t="s">
        <v>1729</v>
      </c>
      <c r="F114" t="s">
        <v>1987</v>
      </c>
      <c r="H114" s="122" t="b">
        <v>0</v>
      </c>
      <c r="I114" s="122" t="b">
        <v>1</v>
      </c>
      <c r="J114" t="s">
        <v>1987</v>
      </c>
      <c r="L114" s="122" t="s">
        <v>1987</v>
      </c>
      <c r="M114" s="122" t="s">
        <v>1730</v>
      </c>
      <c r="N114" s="122" t="b">
        <v>0</v>
      </c>
      <c r="O114" s="122">
        <v>1604996315763</v>
      </c>
      <c r="P114" s="122"/>
      <c r="Q114" s="122">
        <v>1609768181101</v>
      </c>
      <c r="R114" s="122"/>
      <c r="S114" s="122" t="s">
        <v>1751</v>
      </c>
      <c r="T114" s="122" t="s">
        <v>1725</v>
      </c>
      <c r="U114" s="122" t="s">
        <v>1988</v>
      </c>
      <c r="V114" s="122" t="s">
        <v>1721</v>
      </c>
      <c r="W114" s="122" t="s">
        <v>1498</v>
      </c>
      <c r="X114" s="122" t="b">
        <v>0</v>
      </c>
      <c r="Y114" s="122" t="b">
        <v>1</v>
      </c>
      <c r="Z114" s="122" t="b">
        <v>0</v>
      </c>
      <c r="AA114" t="s">
        <v>1727</v>
      </c>
      <c r="AC114" t="s">
        <v>1727</v>
      </c>
      <c r="AG114" t="str">
        <f>IF(_xlfn.XLOOKUP(B114,'DB - Identities'!U:U,'DB - Identities'!U:U,"ERROR")&lt;&gt;"ERROR","OK","ERROR")</f>
        <v>ERROR</v>
      </c>
    </row>
    <row r="115" spans="1:33" hidden="1">
      <c r="A115" s="122" t="s">
        <v>1989</v>
      </c>
      <c r="B115" s="122" t="s">
        <v>1458</v>
      </c>
      <c r="C115" s="122" t="s">
        <v>1721</v>
      </c>
      <c r="D115" s="122">
        <v>565048757</v>
      </c>
      <c r="E115" s="122" t="s">
        <v>1722</v>
      </c>
      <c r="F115" t="s">
        <v>1990</v>
      </c>
      <c r="H115" s="122" t="b">
        <v>0</v>
      </c>
      <c r="I115" s="122" t="b">
        <v>1</v>
      </c>
      <c r="J115" t="s">
        <v>1990</v>
      </c>
      <c r="L115" s="122" t="s">
        <v>1990</v>
      </c>
      <c r="M115" s="122" t="s">
        <v>1723</v>
      </c>
      <c r="N115" s="122" t="b">
        <v>1</v>
      </c>
      <c r="O115" s="122">
        <v>1607333340910</v>
      </c>
      <c r="P115" s="122"/>
      <c r="Q115" s="122">
        <v>1609768166112</v>
      </c>
      <c r="R115" s="122"/>
      <c r="S115" s="122" t="s">
        <v>1751</v>
      </c>
      <c r="T115" s="122" t="s">
        <v>1725</v>
      </c>
      <c r="U115" s="122" t="s">
        <v>1991</v>
      </c>
      <c r="V115" s="122" t="s">
        <v>1721</v>
      </c>
      <c r="W115" s="122" t="s">
        <v>1458</v>
      </c>
      <c r="X115" s="122" t="b">
        <v>0</v>
      </c>
      <c r="Y115" s="122" t="b">
        <v>1</v>
      </c>
      <c r="Z115" s="122" t="b">
        <v>0</v>
      </c>
      <c r="AA115" t="s">
        <v>1727</v>
      </c>
      <c r="AC115" t="s">
        <v>1727</v>
      </c>
      <c r="AG115" t="str">
        <f>IF(_xlfn.XLOOKUP(B115,'DB - Identities'!U:U,'DB - Identities'!U:U,"ERROR")&lt;&gt;"ERROR","OK","ERROR")</f>
        <v>ERROR</v>
      </c>
    </row>
    <row r="116" spans="1:33" hidden="1">
      <c r="A116" s="122" t="s">
        <v>1992</v>
      </c>
      <c r="B116" s="122" t="s">
        <v>1460</v>
      </c>
      <c r="C116" s="122" t="s">
        <v>1721</v>
      </c>
      <c r="D116" s="122">
        <v>569458784</v>
      </c>
      <c r="E116" s="122" t="s">
        <v>1729</v>
      </c>
      <c r="F116" t="s">
        <v>1993</v>
      </c>
      <c r="H116" s="122" t="b">
        <v>0</v>
      </c>
      <c r="I116" s="122" t="b">
        <v>1</v>
      </c>
      <c r="J116" t="s">
        <v>1993</v>
      </c>
      <c r="L116" s="122" t="s">
        <v>1993</v>
      </c>
      <c r="M116" s="122" t="s">
        <v>1730</v>
      </c>
      <c r="N116" s="122" t="b">
        <v>0</v>
      </c>
      <c r="O116" s="122">
        <v>1607333339518</v>
      </c>
      <c r="P116" s="122"/>
      <c r="Q116" s="122">
        <v>1609768133418</v>
      </c>
      <c r="R116" s="122"/>
      <c r="S116" s="122" t="s">
        <v>1751</v>
      </c>
      <c r="T116" s="122" t="s">
        <v>1725</v>
      </c>
      <c r="U116" s="122" t="s">
        <v>1994</v>
      </c>
      <c r="V116" s="122" t="s">
        <v>1721</v>
      </c>
      <c r="W116" s="122" t="s">
        <v>1460</v>
      </c>
      <c r="X116" s="122" t="b">
        <v>0</v>
      </c>
      <c r="Y116" s="122" t="b">
        <v>1</v>
      </c>
      <c r="Z116" s="122" t="b">
        <v>0</v>
      </c>
      <c r="AA116" t="s">
        <v>1727</v>
      </c>
      <c r="AC116" t="s">
        <v>1727</v>
      </c>
      <c r="AG116" t="str">
        <f>IF(_xlfn.XLOOKUP(B116,'DB - Identities'!U:U,'DB - Identities'!U:U,"ERROR")&lt;&gt;"ERROR","OK","ERROR")</f>
        <v>ERROR</v>
      </c>
    </row>
    <row r="117" spans="1:33" hidden="1">
      <c r="A117" s="122" t="s">
        <v>1995</v>
      </c>
      <c r="B117" s="122" t="s">
        <v>1471</v>
      </c>
      <c r="C117" s="122" t="s">
        <v>1721</v>
      </c>
      <c r="D117" s="122">
        <v>752207676</v>
      </c>
      <c r="E117" s="122" t="s">
        <v>1729</v>
      </c>
      <c r="F117" t="s">
        <v>1996</v>
      </c>
      <c r="H117" s="122" t="b">
        <v>0</v>
      </c>
      <c r="I117" s="122" t="b">
        <v>1</v>
      </c>
      <c r="J117" t="s">
        <v>1997</v>
      </c>
      <c r="L117" s="122" t="s">
        <v>1997</v>
      </c>
      <c r="M117" s="122" t="s">
        <v>1730</v>
      </c>
      <c r="N117" s="122" t="b">
        <v>0</v>
      </c>
      <c r="O117" s="122">
        <v>1596784868136</v>
      </c>
      <c r="P117" s="122"/>
      <c r="Q117" s="122">
        <v>1609768087308</v>
      </c>
      <c r="R117" s="122"/>
      <c r="S117" s="122" t="s">
        <v>1751</v>
      </c>
      <c r="T117" s="122" t="s">
        <v>1725</v>
      </c>
      <c r="U117" s="122" t="s">
        <v>1998</v>
      </c>
      <c r="V117" s="122" t="s">
        <v>1721</v>
      </c>
      <c r="W117" s="122" t="s">
        <v>1471</v>
      </c>
      <c r="X117" s="122" t="b">
        <v>0</v>
      </c>
      <c r="Y117" s="122" t="b">
        <v>1</v>
      </c>
      <c r="Z117" s="122" t="b">
        <v>0</v>
      </c>
      <c r="AA117" t="s">
        <v>1727</v>
      </c>
      <c r="AC117" t="s">
        <v>1727</v>
      </c>
      <c r="AG117" t="str">
        <f>IF(_xlfn.XLOOKUP(B117,'DB - Identities'!U:U,'DB - Identities'!U:U,"ERROR")&lt;&gt;"ERROR","OK","ERROR")</f>
        <v>ERROR</v>
      </c>
    </row>
    <row r="118" spans="1:33" hidden="1">
      <c r="A118" s="122" t="s">
        <v>1999</v>
      </c>
      <c r="B118" s="122" t="s">
        <v>1454</v>
      </c>
      <c r="C118" s="122" t="s">
        <v>1721</v>
      </c>
      <c r="D118" s="122">
        <v>883632207</v>
      </c>
      <c r="E118" s="122" t="s">
        <v>1729</v>
      </c>
      <c r="F118" t="s">
        <v>2000</v>
      </c>
      <c r="H118" s="122" t="b">
        <v>0</v>
      </c>
      <c r="I118" s="122" t="b">
        <v>1</v>
      </c>
      <c r="J118" t="s">
        <v>2000</v>
      </c>
      <c r="L118" s="122" t="s">
        <v>2000</v>
      </c>
      <c r="M118" s="122" t="s">
        <v>1730</v>
      </c>
      <c r="N118" s="122" t="b">
        <v>0</v>
      </c>
      <c r="O118" s="122">
        <v>1606901660189</v>
      </c>
      <c r="P118" s="122"/>
      <c r="Q118" s="122">
        <v>1609768072261</v>
      </c>
      <c r="R118" s="122"/>
      <c r="S118" s="122" t="s">
        <v>1751</v>
      </c>
      <c r="T118" s="122" t="s">
        <v>1725</v>
      </c>
      <c r="U118" s="122" t="s">
        <v>2001</v>
      </c>
      <c r="V118" s="122" t="s">
        <v>1721</v>
      </c>
      <c r="W118" s="122" t="s">
        <v>1454</v>
      </c>
      <c r="X118" s="122" t="b">
        <v>0</v>
      </c>
      <c r="Y118" s="122" t="b">
        <v>1</v>
      </c>
      <c r="Z118" s="122" t="b">
        <v>0</v>
      </c>
      <c r="AA118" t="s">
        <v>1727</v>
      </c>
      <c r="AC118" t="s">
        <v>1727</v>
      </c>
      <c r="AG118" t="str">
        <f>IF(_xlfn.XLOOKUP(B118,'DB - Identities'!U:U,'DB - Identities'!U:U,"ERROR")&lt;&gt;"ERROR","OK","ERROR")</f>
        <v>ERROR</v>
      </c>
    </row>
    <row r="119" spans="1:33" hidden="1">
      <c r="A119" s="122" t="s">
        <v>2002</v>
      </c>
      <c r="B119" s="122" t="s">
        <v>1502</v>
      </c>
      <c r="C119" s="122" t="s">
        <v>1721</v>
      </c>
      <c r="D119" s="122">
        <v>330423184</v>
      </c>
      <c r="E119" s="122" t="s">
        <v>1729</v>
      </c>
      <c r="F119" t="s">
        <v>2003</v>
      </c>
      <c r="H119" s="122" t="b">
        <v>0</v>
      </c>
      <c r="I119" s="122" t="b">
        <v>1</v>
      </c>
      <c r="J119" t="s">
        <v>2003</v>
      </c>
      <c r="L119" s="122" t="s">
        <v>2003</v>
      </c>
      <c r="M119" s="122" t="s">
        <v>1730</v>
      </c>
      <c r="N119" s="122" t="b">
        <v>0</v>
      </c>
      <c r="O119" s="122">
        <v>1601347658787</v>
      </c>
      <c r="P119" s="122"/>
      <c r="Q119" s="122">
        <v>1609768060090</v>
      </c>
      <c r="R119" s="122"/>
      <c r="S119" s="122" t="s">
        <v>1751</v>
      </c>
      <c r="T119" s="122" t="s">
        <v>1725</v>
      </c>
      <c r="U119" s="122" t="s">
        <v>2004</v>
      </c>
      <c r="V119" s="122" t="s">
        <v>1721</v>
      </c>
      <c r="W119" s="122" t="s">
        <v>1502</v>
      </c>
      <c r="X119" s="122" t="b">
        <v>0</v>
      </c>
      <c r="Y119" s="122" t="b">
        <v>1</v>
      </c>
      <c r="Z119" s="122" t="b">
        <v>0</v>
      </c>
      <c r="AA119" t="s">
        <v>1727</v>
      </c>
      <c r="AC119" t="s">
        <v>1727</v>
      </c>
      <c r="AG119" t="str">
        <f>IF(_xlfn.XLOOKUP(B119,'DB - Identities'!U:U,'DB - Identities'!U:U,"ERROR")&lt;&gt;"ERROR","OK","ERROR")</f>
        <v>ERROR</v>
      </c>
    </row>
    <row r="120" spans="1:33" hidden="1">
      <c r="A120" s="122" t="s">
        <v>2005</v>
      </c>
      <c r="B120" s="122" t="s">
        <v>1452</v>
      </c>
      <c r="C120" s="122" t="s">
        <v>1721</v>
      </c>
      <c r="D120" s="122">
        <v>829740450</v>
      </c>
      <c r="E120" s="122" t="s">
        <v>1729</v>
      </c>
      <c r="F120" t="s">
        <v>2006</v>
      </c>
      <c r="H120" s="122" t="b">
        <v>0</v>
      </c>
      <c r="I120" s="122" t="b">
        <v>1</v>
      </c>
      <c r="J120" t="s">
        <v>2006</v>
      </c>
      <c r="L120" s="122" t="s">
        <v>2006</v>
      </c>
      <c r="M120" s="122" t="s">
        <v>1730</v>
      </c>
      <c r="N120" s="122" t="b">
        <v>0</v>
      </c>
      <c r="O120" s="122">
        <v>1606459689155</v>
      </c>
      <c r="P120" s="122"/>
      <c r="Q120" s="122">
        <v>1609768047639</v>
      </c>
      <c r="R120" s="122"/>
      <c r="S120" s="122" t="s">
        <v>1751</v>
      </c>
      <c r="T120" s="122" t="s">
        <v>1725</v>
      </c>
      <c r="U120" s="122" t="s">
        <v>2007</v>
      </c>
      <c r="V120" s="122" t="s">
        <v>1721</v>
      </c>
      <c r="W120" s="122" t="s">
        <v>1452</v>
      </c>
      <c r="X120" s="122" t="b">
        <v>0</v>
      </c>
      <c r="Y120" s="122" t="b">
        <v>1</v>
      </c>
      <c r="Z120" s="122" t="b">
        <v>0</v>
      </c>
      <c r="AA120" t="s">
        <v>1727</v>
      </c>
      <c r="AC120" t="s">
        <v>1727</v>
      </c>
      <c r="AG120" t="str">
        <f>IF(_xlfn.XLOOKUP(B120,'DB - Identities'!U:U,'DB - Identities'!U:U,"ERROR")&lt;&gt;"ERROR","OK","ERROR")</f>
        <v>ERROR</v>
      </c>
    </row>
    <row r="121" spans="1:33" hidden="1">
      <c r="A121" s="122" t="s">
        <v>2008</v>
      </c>
      <c r="B121" s="122" t="s">
        <v>1457</v>
      </c>
      <c r="C121" s="122" t="s">
        <v>1721</v>
      </c>
      <c r="D121" s="122">
        <v>123503391</v>
      </c>
      <c r="E121" s="122" t="s">
        <v>1729</v>
      </c>
      <c r="F121" t="s">
        <v>2009</v>
      </c>
      <c r="H121" s="122" t="b">
        <v>0</v>
      </c>
      <c r="I121" s="122" t="b">
        <v>1</v>
      </c>
      <c r="J121" t="s">
        <v>2009</v>
      </c>
      <c r="L121" s="122" t="s">
        <v>2009</v>
      </c>
      <c r="M121" s="122" t="s">
        <v>1730</v>
      </c>
      <c r="N121" s="122" t="b">
        <v>0</v>
      </c>
      <c r="O121" s="122">
        <v>1603434938818</v>
      </c>
      <c r="P121" s="122"/>
      <c r="Q121" s="122">
        <v>1609768030670</v>
      </c>
      <c r="R121" s="122"/>
      <c r="S121" s="122" t="s">
        <v>1751</v>
      </c>
      <c r="T121" s="122" t="s">
        <v>1725</v>
      </c>
      <c r="U121" s="122" t="s">
        <v>2010</v>
      </c>
      <c r="V121" s="122" t="s">
        <v>1721</v>
      </c>
      <c r="W121" s="122" t="s">
        <v>1457</v>
      </c>
      <c r="X121" s="122" t="b">
        <v>0</v>
      </c>
      <c r="Y121" s="122" t="b">
        <v>1</v>
      </c>
      <c r="Z121" s="122" t="b">
        <v>0</v>
      </c>
      <c r="AA121" t="s">
        <v>1727</v>
      </c>
      <c r="AC121" t="s">
        <v>1727</v>
      </c>
      <c r="AG121" t="str">
        <f>IF(_xlfn.XLOOKUP(B121,'DB - Identities'!U:U,'DB - Identities'!U:U,"ERROR")&lt;&gt;"ERROR","OK","ERROR")</f>
        <v>ERROR</v>
      </c>
    </row>
    <row r="122" spans="1:33" hidden="1">
      <c r="A122" s="122" t="s">
        <v>2011</v>
      </c>
      <c r="B122" s="122" t="s">
        <v>1462</v>
      </c>
      <c r="C122" s="122" t="s">
        <v>1721</v>
      </c>
      <c r="D122" s="122">
        <v>533286872</v>
      </c>
      <c r="E122" s="122" t="s">
        <v>1729</v>
      </c>
      <c r="F122" t="s">
        <v>2012</v>
      </c>
      <c r="H122" s="122" t="b">
        <v>0</v>
      </c>
      <c r="I122" s="122" t="b">
        <v>1</v>
      </c>
      <c r="J122" t="s">
        <v>2012</v>
      </c>
      <c r="L122" s="122" t="s">
        <v>2012</v>
      </c>
      <c r="M122" s="122" t="s">
        <v>1730</v>
      </c>
      <c r="N122" s="122" t="b">
        <v>0</v>
      </c>
      <c r="O122" s="122">
        <v>1604998045378</v>
      </c>
      <c r="P122" s="122"/>
      <c r="Q122" s="122">
        <v>1609767946951</v>
      </c>
      <c r="R122" s="122"/>
      <c r="S122" s="122" t="s">
        <v>1751</v>
      </c>
      <c r="T122" s="122" t="s">
        <v>1725</v>
      </c>
      <c r="U122" s="122" t="s">
        <v>2013</v>
      </c>
      <c r="V122" s="122" t="s">
        <v>1721</v>
      </c>
      <c r="W122" s="122" t="s">
        <v>1462</v>
      </c>
      <c r="X122" s="122" t="b">
        <v>0</v>
      </c>
      <c r="Y122" s="122" t="b">
        <v>1</v>
      </c>
      <c r="Z122" s="122" t="b">
        <v>0</v>
      </c>
      <c r="AA122" t="s">
        <v>1727</v>
      </c>
      <c r="AC122" t="s">
        <v>1727</v>
      </c>
      <c r="AG122" t="str">
        <f>IF(_xlfn.XLOOKUP(B122,'DB - Identities'!U:U,'DB - Identities'!U:U,"ERROR")&lt;&gt;"ERROR","OK","ERROR")</f>
        <v>ERROR</v>
      </c>
    </row>
    <row r="123" spans="1:33" hidden="1">
      <c r="A123" s="122" t="s">
        <v>2014</v>
      </c>
      <c r="B123" s="122" t="s">
        <v>1503</v>
      </c>
      <c r="C123" s="122" t="s">
        <v>1721</v>
      </c>
      <c r="D123" s="122">
        <v>852828758</v>
      </c>
      <c r="E123" s="122" t="s">
        <v>1729</v>
      </c>
      <c r="F123" t="s">
        <v>2015</v>
      </c>
      <c r="H123" s="122" t="b">
        <v>0</v>
      </c>
      <c r="I123" s="122" t="b">
        <v>1</v>
      </c>
      <c r="J123" t="s">
        <v>2015</v>
      </c>
      <c r="L123" s="122" t="s">
        <v>2015</v>
      </c>
      <c r="M123" s="122" t="s">
        <v>1730</v>
      </c>
      <c r="N123" s="122" t="b">
        <v>0</v>
      </c>
      <c r="O123" s="122">
        <v>1601346997870</v>
      </c>
      <c r="P123" s="122"/>
      <c r="Q123" s="122">
        <v>1609767932644</v>
      </c>
      <c r="R123" s="122"/>
      <c r="S123" s="122" t="s">
        <v>1751</v>
      </c>
      <c r="T123" s="122" t="s">
        <v>1725</v>
      </c>
      <c r="U123" s="122" t="s">
        <v>2016</v>
      </c>
      <c r="V123" s="122" t="s">
        <v>1721</v>
      </c>
      <c r="W123" s="122" t="s">
        <v>1503</v>
      </c>
      <c r="X123" s="122" t="b">
        <v>0</v>
      </c>
      <c r="Y123" s="122" t="b">
        <v>1</v>
      </c>
      <c r="Z123" s="122" t="b">
        <v>0</v>
      </c>
      <c r="AA123" t="s">
        <v>1727</v>
      </c>
      <c r="AC123" t="s">
        <v>1727</v>
      </c>
      <c r="AG123" t="str">
        <f>IF(_xlfn.XLOOKUP(B123,'DB - Identities'!U:U,'DB - Identities'!U:U,"ERROR")&lt;&gt;"ERROR","OK","ERROR")</f>
        <v>ERROR</v>
      </c>
    </row>
    <row r="124" spans="1:33" hidden="1">
      <c r="A124" s="122" t="s">
        <v>2017</v>
      </c>
      <c r="B124" s="122" t="s">
        <v>1566</v>
      </c>
      <c r="C124" s="122" t="s">
        <v>1721</v>
      </c>
      <c r="D124" s="122">
        <v>454375326</v>
      </c>
      <c r="E124" s="122" t="s">
        <v>1729</v>
      </c>
      <c r="F124" t="s">
        <v>2018</v>
      </c>
      <c r="H124" s="122" t="b">
        <v>0</v>
      </c>
      <c r="I124" s="122" t="b">
        <v>1</v>
      </c>
      <c r="J124" t="s">
        <v>2019</v>
      </c>
      <c r="L124" s="122" t="s">
        <v>2019</v>
      </c>
      <c r="M124" s="122" t="s">
        <v>1730</v>
      </c>
      <c r="N124" s="122" t="b">
        <v>0</v>
      </c>
      <c r="O124" s="122">
        <v>1595822067204</v>
      </c>
      <c r="P124" s="122"/>
      <c r="Q124" s="122">
        <v>1609767902251</v>
      </c>
      <c r="R124" s="122"/>
      <c r="S124" s="122" t="s">
        <v>1751</v>
      </c>
      <c r="T124" s="122" t="s">
        <v>1725</v>
      </c>
      <c r="U124" s="122" t="s">
        <v>2020</v>
      </c>
      <c r="V124" s="122" t="s">
        <v>1721</v>
      </c>
      <c r="W124" s="122" t="s">
        <v>1566</v>
      </c>
      <c r="X124" s="122" t="b">
        <v>0</v>
      </c>
      <c r="Y124" s="122" t="b">
        <v>1</v>
      </c>
      <c r="Z124" s="122" t="b">
        <v>0</v>
      </c>
      <c r="AA124" t="s">
        <v>1727</v>
      </c>
      <c r="AC124" t="s">
        <v>1727</v>
      </c>
      <c r="AG124" t="str">
        <f>IF(_xlfn.XLOOKUP(B124,'DB - Identities'!U:U,'DB - Identities'!U:U,"ERROR")&lt;&gt;"ERROR","OK","ERROR")</f>
        <v>ERROR</v>
      </c>
    </row>
    <row r="125" spans="1:33" hidden="1">
      <c r="A125" s="122" t="s">
        <v>2021</v>
      </c>
      <c r="B125" s="122" t="s">
        <v>1506</v>
      </c>
      <c r="C125" s="122" t="s">
        <v>1721</v>
      </c>
      <c r="D125" s="122">
        <v>453583519</v>
      </c>
      <c r="E125" s="122" t="s">
        <v>1722</v>
      </c>
      <c r="F125" t="s">
        <v>1309</v>
      </c>
      <c r="H125" s="122" t="b">
        <v>0</v>
      </c>
      <c r="I125" s="122" t="b">
        <v>1</v>
      </c>
      <c r="J125" t="s">
        <v>1309</v>
      </c>
      <c r="L125" s="122" t="s">
        <v>1309</v>
      </c>
      <c r="M125" s="122" t="s">
        <v>1723</v>
      </c>
      <c r="N125" s="122" t="b">
        <v>1</v>
      </c>
      <c r="O125" s="122">
        <v>1605000663623</v>
      </c>
      <c r="P125" s="122"/>
      <c r="Q125" s="122">
        <v>1609767890832</v>
      </c>
      <c r="R125" s="122"/>
      <c r="S125" s="122" t="s">
        <v>1751</v>
      </c>
      <c r="T125" s="122" t="s">
        <v>1725</v>
      </c>
      <c r="U125" s="122" t="s">
        <v>2022</v>
      </c>
      <c r="V125" s="122" t="s">
        <v>1721</v>
      </c>
      <c r="W125" s="122" t="s">
        <v>1506</v>
      </c>
      <c r="X125" s="122" t="b">
        <v>0</v>
      </c>
      <c r="Y125" s="122" t="b">
        <v>1</v>
      </c>
      <c r="Z125" s="122" t="b">
        <v>0</v>
      </c>
      <c r="AA125" t="s">
        <v>1727</v>
      </c>
      <c r="AC125" t="s">
        <v>1727</v>
      </c>
      <c r="AG125" t="str">
        <f>IF(_xlfn.XLOOKUP(B125,'DB - Identities'!U:U,'DB - Identities'!U:U,"ERROR")&lt;&gt;"ERROR","OK","ERROR")</f>
        <v>ERROR</v>
      </c>
    </row>
    <row r="126" spans="1:33" hidden="1">
      <c r="A126" s="122" t="s">
        <v>2023</v>
      </c>
      <c r="B126" s="122" t="s">
        <v>1435</v>
      </c>
      <c r="C126" s="122" t="s">
        <v>1721</v>
      </c>
      <c r="D126" s="122">
        <v>416849868</v>
      </c>
      <c r="E126" s="122" t="s">
        <v>1722</v>
      </c>
      <c r="F126" t="s">
        <v>2024</v>
      </c>
      <c r="H126" s="122" t="b">
        <v>0</v>
      </c>
      <c r="I126" s="122" t="b">
        <v>1</v>
      </c>
      <c r="J126" t="s">
        <v>79</v>
      </c>
      <c r="L126" s="122" t="s">
        <v>79</v>
      </c>
      <c r="M126" s="122" t="s">
        <v>1723</v>
      </c>
      <c r="N126" s="122" t="b">
        <v>1</v>
      </c>
      <c r="O126" s="122">
        <v>1596784866287</v>
      </c>
      <c r="P126" s="122"/>
      <c r="Q126" s="122">
        <v>1609767877455</v>
      </c>
      <c r="R126" s="122"/>
      <c r="S126" s="122" t="s">
        <v>1751</v>
      </c>
      <c r="T126" s="122" t="s">
        <v>1725</v>
      </c>
      <c r="U126" s="122" t="s">
        <v>2025</v>
      </c>
      <c r="V126" s="122" t="s">
        <v>1721</v>
      </c>
      <c r="W126" s="122" t="s">
        <v>1435</v>
      </c>
      <c r="X126" s="122" t="b">
        <v>0</v>
      </c>
      <c r="Y126" s="122" t="b">
        <v>1</v>
      </c>
      <c r="Z126" s="122" t="b">
        <v>0</v>
      </c>
      <c r="AA126" t="s">
        <v>1727</v>
      </c>
      <c r="AC126" t="s">
        <v>1727</v>
      </c>
      <c r="AG126" t="str">
        <f>IF(_xlfn.XLOOKUP(B126,'DB - Identities'!U:U,'DB - Identities'!U:U,"ERROR")&lt;&gt;"ERROR","OK","ERROR")</f>
        <v>ERROR</v>
      </c>
    </row>
    <row r="127" spans="1:33" hidden="1">
      <c r="A127" s="122" t="s">
        <v>2026</v>
      </c>
      <c r="B127" s="122" t="s">
        <v>1446</v>
      </c>
      <c r="C127" s="122" t="s">
        <v>1721</v>
      </c>
      <c r="D127" s="122">
        <v>776813869</v>
      </c>
      <c r="E127" s="122" t="s">
        <v>1722</v>
      </c>
      <c r="F127" t="s">
        <v>2027</v>
      </c>
      <c r="H127" s="122" t="b">
        <v>0</v>
      </c>
      <c r="I127" s="122" t="b">
        <v>1</v>
      </c>
      <c r="J127" t="s">
        <v>2027</v>
      </c>
      <c r="L127" s="122" t="s">
        <v>2027</v>
      </c>
      <c r="M127" s="122" t="s">
        <v>1723</v>
      </c>
      <c r="N127" s="122" t="b">
        <v>1</v>
      </c>
      <c r="O127" s="122">
        <v>1606459594483</v>
      </c>
      <c r="P127" s="122"/>
      <c r="Q127" s="122">
        <v>1609767857854</v>
      </c>
      <c r="R127" s="122"/>
      <c r="S127" s="122" t="s">
        <v>1751</v>
      </c>
      <c r="T127" s="122" t="s">
        <v>1725</v>
      </c>
      <c r="U127" s="122" t="s">
        <v>2028</v>
      </c>
      <c r="V127" s="122" t="s">
        <v>1721</v>
      </c>
      <c r="W127" s="122" t="s">
        <v>1446</v>
      </c>
      <c r="X127" s="122" t="b">
        <v>0</v>
      </c>
      <c r="Y127" s="122" t="b">
        <v>1</v>
      </c>
      <c r="Z127" s="122" t="b">
        <v>0</v>
      </c>
      <c r="AA127" t="s">
        <v>1727</v>
      </c>
      <c r="AC127" t="s">
        <v>1727</v>
      </c>
      <c r="AG127" t="str">
        <f>IF(_xlfn.XLOOKUP(B127,'DB - Identities'!U:U,'DB - Identities'!U:U,"ERROR")&lt;&gt;"ERROR","OK","ERROR")</f>
        <v>ERROR</v>
      </c>
    </row>
    <row r="128" spans="1:33" hidden="1">
      <c r="A128" s="122" t="s">
        <v>2029</v>
      </c>
      <c r="B128" s="122" t="s">
        <v>1450</v>
      </c>
      <c r="C128" s="122" t="s">
        <v>1721</v>
      </c>
      <c r="D128" s="122">
        <v>228915827</v>
      </c>
      <c r="E128" s="122" t="s">
        <v>1729</v>
      </c>
      <c r="F128" t="s">
        <v>2030</v>
      </c>
      <c r="H128" s="122" t="b">
        <v>0</v>
      </c>
      <c r="I128" s="122" t="b">
        <v>1</v>
      </c>
      <c r="J128" t="s">
        <v>2030</v>
      </c>
      <c r="L128" s="122" t="s">
        <v>2030</v>
      </c>
      <c r="M128" s="122" t="s">
        <v>1730</v>
      </c>
      <c r="N128" s="122" t="b">
        <v>0</v>
      </c>
      <c r="O128" s="122">
        <v>1606901658006</v>
      </c>
      <c r="P128" s="122"/>
      <c r="Q128" s="122">
        <v>1609767825081</v>
      </c>
      <c r="R128" s="122"/>
      <c r="S128" s="122" t="s">
        <v>1751</v>
      </c>
      <c r="T128" s="122" t="s">
        <v>1725</v>
      </c>
      <c r="U128" s="122" t="s">
        <v>2031</v>
      </c>
      <c r="V128" s="122" t="s">
        <v>1721</v>
      </c>
      <c r="W128" s="122" t="s">
        <v>1450</v>
      </c>
      <c r="X128" s="122" t="b">
        <v>0</v>
      </c>
      <c r="Y128" s="122" t="b">
        <v>1</v>
      </c>
      <c r="Z128" s="122" t="b">
        <v>0</v>
      </c>
      <c r="AA128" t="s">
        <v>1727</v>
      </c>
      <c r="AC128" t="s">
        <v>1727</v>
      </c>
      <c r="AG128" t="str">
        <f>IF(_xlfn.XLOOKUP(B128,'DB - Identities'!U:U,'DB - Identities'!U:U,"ERROR")&lt;&gt;"ERROR","OK","ERROR")</f>
        <v>ERROR</v>
      </c>
    </row>
    <row r="129" spans="1:33" hidden="1">
      <c r="A129" s="122" t="s">
        <v>2032</v>
      </c>
      <c r="B129" s="122" t="s">
        <v>1465</v>
      </c>
      <c r="C129" s="122" t="s">
        <v>1721</v>
      </c>
      <c r="D129" s="122">
        <v>62635165</v>
      </c>
      <c r="E129" s="122" t="s">
        <v>1729</v>
      </c>
      <c r="F129" t="s">
        <v>2033</v>
      </c>
      <c r="H129" s="122" t="b">
        <v>0</v>
      </c>
      <c r="I129" s="122" t="b">
        <v>1</v>
      </c>
      <c r="J129" t="s">
        <v>2033</v>
      </c>
      <c r="L129" s="122" t="s">
        <v>2033</v>
      </c>
      <c r="M129" s="122" t="s">
        <v>1730</v>
      </c>
      <c r="N129" s="122" t="b">
        <v>0</v>
      </c>
      <c r="O129" s="122">
        <v>1607333338533</v>
      </c>
      <c r="P129" s="122"/>
      <c r="Q129" s="122">
        <v>1609767798057</v>
      </c>
      <c r="R129" s="122"/>
      <c r="S129" s="122" t="s">
        <v>1751</v>
      </c>
      <c r="T129" s="122" t="s">
        <v>1725</v>
      </c>
      <c r="U129" s="122" t="s">
        <v>2034</v>
      </c>
      <c r="V129" s="122" t="s">
        <v>1721</v>
      </c>
      <c r="W129" s="122" t="s">
        <v>1465</v>
      </c>
      <c r="X129" s="122" t="b">
        <v>0</v>
      </c>
      <c r="Y129" s="122" t="b">
        <v>1</v>
      </c>
      <c r="Z129" s="122" t="b">
        <v>0</v>
      </c>
      <c r="AA129" t="s">
        <v>1727</v>
      </c>
      <c r="AC129" t="s">
        <v>1727</v>
      </c>
      <c r="AG129" t="str">
        <f>IF(_xlfn.XLOOKUP(B129,'DB - Identities'!U:U,'DB - Identities'!U:U,"ERROR")&lt;&gt;"ERROR","OK","ERROR")</f>
        <v>ERROR</v>
      </c>
    </row>
    <row r="130" spans="1:33" hidden="1">
      <c r="A130" s="122" t="s">
        <v>2035</v>
      </c>
      <c r="B130" s="122" t="s">
        <v>1467</v>
      </c>
      <c r="C130" s="122" t="s">
        <v>1721</v>
      </c>
      <c r="D130" s="122">
        <v>667044505</v>
      </c>
      <c r="E130" s="122" t="s">
        <v>1729</v>
      </c>
      <c r="F130" t="s">
        <v>2036</v>
      </c>
      <c r="H130" s="122" t="b">
        <v>0</v>
      </c>
      <c r="I130" s="122" t="b">
        <v>1</v>
      </c>
      <c r="J130" t="s">
        <v>1256</v>
      </c>
      <c r="L130" s="122" t="s">
        <v>1256</v>
      </c>
      <c r="M130" s="122" t="s">
        <v>1730</v>
      </c>
      <c r="N130" s="122" t="b">
        <v>0</v>
      </c>
      <c r="O130" s="122">
        <v>1603948690637</v>
      </c>
      <c r="P130" s="205">
        <f t="shared" ref="P130:P139" si="6">((((O130/1000)/60)/60)/24)+DATE(1970,1,1)</f>
        <v>44133.220956446763</v>
      </c>
      <c r="Q130" s="122">
        <v>1609767776632</v>
      </c>
      <c r="R130" s="205">
        <f t="shared" ref="R130:R139" si="7">((((Q130/1000)/60)/60)/24)+DATE(1970,1,1)</f>
        <v>44200.571488796297</v>
      </c>
      <c r="S130" s="122" t="s">
        <v>1751</v>
      </c>
      <c r="T130" s="122" t="s">
        <v>1725</v>
      </c>
      <c r="U130" s="122" t="s">
        <v>2037</v>
      </c>
      <c r="V130" s="122" t="s">
        <v>1721</v>
      </c>
      <c r="W130" s="122" t="s">
        <v>1467</v>
      </c>
      <c r="X130" s="122" t="b">
        <v>0</v>
      </c>
      <c r="Y130" s="122" t="b">
        <v>1</v>
      </c>
      <c r="Z130" s="122" t="b">
        <v>0</v>
      </c>
      <c r="AA130" t="s">
        <v>1727</v>
      </c>
    </row>
    <row r="131" spans="1:33" hidden="1">
      <c r="A131" s="122" t="s">
        <v>2038</v>
      </c>
      <c r="B131" s="122" t="s">
        <v>1494</v>
      </c>
      <c r="C131" s="122" t="s">
        <v>1721</v>
      </c>
      <c r="D131" s="122">
        <v>727259924</v>
      </c>
      <c r="E131" s="122" t="s">
        <v>1729</v>
      </c>
      <c r="F131" t="s">
        <v>2039</v>
      </c>
      <c r="H131" s="122" t="b">
        <v>0</v>
      </c>
      <c r="I131" s="122" t="b">
        <v>1</v>
      </c>
      <c r="J131" s="122"/>
      <c r="K131" s="122"/>
      <c r="L131" s="122"/>
      <c r="M131" s="122" t="s">
        <v>1725</v>
      </c>
      <c r="N131" s="122" t="b">
        <v>0</v>
      </c>
      <c r="O131" s="122">
        <v>1600856961822</v>
      </c>
      <c r="P131" s="205">
        <f t="shared" si="6"/>
        <v>44097.437058124997</v>
      </c>
      <c r="Q131" s="122">
        <v>1609767765416</v>
      </c>
      <c r="R131" s="205">
        <f t="shared" si="7"/>
        <v>44200.571358981484</v>
      </c>
      <c r="S131" s="122" t="s">
        <v>1751</v>
      </c>
      <c r="T131" s="122" t="s">
        <v>1725</v>
      </c>
      <c r="U131" s="122" t="s">
        <v>2040</v>
      </c>
      <c r="V131" s="122" t="s">
        <v>1721</v>
      </c>
      <c r="W131" s="122" t="s">
        <v>1494</v>
      </c>
      <c r="X131" s="122" t="b">
        <v>0</v>
      </c>
      <c r="Y131" s="122" t="b">
        <v>1</v>
      </c>
      <c r="Z131" s="122" t="b">
        <v>0</v>
      </c>
      <c r="AA131" t="s">
        <v>1727</v>
      </c>
    </row>
    <row r="132" spans="1:33" hidden="1">
      <c r="A132" s="122" t="s">
        <v>2041</v>
      </c>
      <c r="B132" s="122" t="s">
        <v>1567</v>
      </c>
      <c r="C132" s="122" t="s">
        <v>1721</v>
      </c>
      <c r="D132" s="122">
        <v>123928982</v>
      </c>
      <c r="E132" s="122" t="s">
        <v>1729</v>
      </c>
      <c r="F132" t="s">
        <v>152</v>
      </c>
      <c r="H132" s="122" t="b">
        <v>0</v>
      </c>
      <c r="I132" s="122" t="b">
        <v>0</v>
      </c>
      <c r="J132" s="122"/>
      <c r="K132" s="122"/>
      <c r="L132" s="122"/>
      <c r="M132" s="122" t="s">
        <v>1725</v>
      </c>
      <c r="N132" s="122" t="b">
        <v>0</v>
      </c>
      <c r="O132" s="122">
        <v>1600856395561</v>
      </c>
      <c r="P132" s="205">
        <f t="shared" si="6"/>
        <v>44097.430504178243</v>
      </c>
      <c r="Q132" s="122">
        <v>1609767703354</v>
      </c>
      <c r="R132" s="205">
        <f t="shared" si="7"/>
        <v>44200.5706406713</v>
      </c>
      <c r="S132" s="122" t="s">
        <v>1751</v>
      </c>
      <c r="T132" s="122" t="s">
        <v>1725</v>
      </c>
      <c r="U132" s="122" t="s">
        <v>2042</v>
      </c>
      <c r="V132" s="122" t="s">
        <v>1721</v>
      </c>
      <c r="W132" s="122" t="s">
        <v>1567</v>
      </c>
      <c r="X132" s="122" t="b">
        <v>0</v>
      </c>
      <c r="Y132" s="122" t="b">
        <v>1</v>
      </c>
      <c r="Z132" s="122" t="b">
        <v>0</v>
      </c>
      <c r="AA132" t="s">
        <v>1727</v>
      </c>
    </row>
    <row r="133" spans="1:33" hidden="1">
      <c r="A133" s="122" t="s">
        <v>2043</v>
      </c>
      <c r="B133" s="122" t="s">
        <v>1495</v>
      </c>
      <c r="C133" s="122" t="s">
        <v>1721</v>
      </c>
      <c r="D133" s="122">
        <v>512773519</v>
      </c>
      <c r="E133" s="122" t="s">
        <v>1729</v>
      </c>
      <c r="F133" s="122" t="s">
        <v>2044</v>
      </c>
      <c r="G133" s="122"/>
      <c r="H133" s="122" t="b">
        <v>0</v>
      </c>
      <c r="I133" s="122" t="b">
        <v>1</v>
      </c>
      <c r="J133" s="122"/>
      <c r="K133" s="122"/>
      <c r="L133" s="122"/>
      <c r="M133" s="122" t="s">
        <v>1725</v>
      </c>
      <c r="N133" s="122" t="b">
        <v>0</v>
      </c>
      <c r="O133" s="122">
        <v>1601347660884</v>
      </c>
      <c r="P133" s="205">
        <f t="shared" si="6"/>
        <v>44103.116445416672</v>
      </c>
      <c r="Q133" s="122">
        <v>1609767692096</v>
      </c>
      <c r="R133" s="205">
        <f t="shared" si="7"/>
        <v>44200.570510370366</v>
      </c>
      <c r="S133" s="122" t="s">
        <v>1751</v>
      </c>
      <c r="T133" s="122" t="s">
        <v>1725</v>
      </c>
      <c r="U133" s="122" t="s">
        <v>2045</v>
      </c>
      <c r="V133" s="122" t="s">
        <v>1721</v>
      </c>
      <c r="W133" s="122" t="s">
        <v>1495</v>
      </c>
      <c r="X133" s="122" t="b">
        <v>0</v>
      </c>
      <c r="Y133" s="122" t="b">
        <v>1</v>
      </c>
      <c r="Z133" s="122" t="b">
        <v>0</v>
      </c>
      <c r="AA133" t="s">
        <v>1727</v>
      </c>
    </row>
    <row r="134" spans="1:33" hidden="1">
      <c r="A134" s="122" t="s">
        <v>2046</v>
      </c>
      <c r="B134" s="122" t="s">
        <v>1428</v>
      </c>
      <c r="C134" s="122" t="s">
        <v>1721</v>
      </c>
      <c r="D134" s="122">
        <v>340715495</v>
      </c>
      <c r="E134" s="122" t="s">
        <v>1722</v>
      </c>
      <c r="F134" t="s">
        <v>2047</v>
      </c>
      <c r="H134" s="122" t="b">
        <v>0</v>
      </c>
      <c r="I134" s="122" t="b">
        <v>1</v>
      </c>
      <c r="J134" t="s">
        <v>2047</v>
      </c>
      <c r="L134" s="122" t="s">
        <v>2047</v>
      </c>
      <c r="M134" s="122" t="s">
        <v>1723</v>
      </c>
      <c r="N134" s="122" t="b">
        <v>1</v>
      </c>
      <c r="O134" s="122">
        <v>1594633862057</v>
      </c>
      <c r="P134" s="205">
        <f t="shared" si="6"/>
        <v>44025.410440474538</v>
      </c>
      <c r="Q134" s="122">
        <v>1609767619512</v>
      </c>
      <c r="R134" s="205">
        <f t="shared" si="7"/>
        <v>44200.569670277779</v>
      </c>
      <c r="S134" s="122" t="s">
        <v>1751</v>
      </c>
      <c r="T134" s="122" t="s">
        <v>1725</v>
      </c>
      <c r="U134" s="122" t="s">
        <v>2048</v>
      </c>
      <c r="V134" s="122" t="s">
        <v>1721</v>
      </c>
      <c r="W134" s="122" t="s">
        <v>1428</v>
      </c>
      <c r="X134" s="122" t="b">
        <v>0</v>
      </c>
      <c r="Y134" s="122" t="b">
        <v>1</v>
      </c>
      <c r="Z134" s="122" t="b">
        <v>0</v>
      </c>
      <c r="AA134" t="s">
        <v>1727</v>
      </c>
    </row>
    <row r="135" spans="1:33" hidden="1">
      <c r="A135" s="122" t="s">
        <v>2049</v>
      </c>
      <c r="B135" s="122" t="s">
        <v>1455</v>
      </c>
      <c r="C135" s="122" t="s">
        <v>1721</v>
      </c>
      <c r="D135" s="122">
        <v>859060397</v>
      </c>
      <c r="E135" s="122" t="s">
        <v>1729</v>
      </c>
      <c r="F135" t="s">
        <v>2050</v>
      </c>
      <c r="H135" s="122" t="b">
        <v>0</v>
      </c>
      <c r="I135" s="122" t="b">
        <v>1</v>
      </c>
      <c r="J135" t="s">
        <v>2050</v>
      </c>
      <c r="L135" s="122" t="s">
        <v>2050</v>
      </c>
      <c r="M135" s="122" t="s">
        <v>1730</v>
      </c>
      <c r="N135" s="122" t="b">
        <v>0</v>
      </c>
      <c r="O135" s="122">
        <v>1603443479910</v>
      </c>
      <c r="P135" s="205">
        <f t="shared" si="6"/>
        <v>44127.373610069444</v>
      </c>
      <c r="Q135" s="122">
        <v>1609767541687</v>
      </c>
      <c r="R135" s="205">
        <f t="shared" si="7"/>
        <v>44200.56876952546</v>
      </c>
      <c r="S135" s="122" t="s">
        <v>1751</v>
      </c>
      <c r="T135" s="122" t="s">
        <v>1725</v>
      </c>
      <c r="U135" s="122" t="s">
        <v>2051</v>
      </c>
      <c r="V135" s="122" t="s">
        <v>1721</v>
      </c>
      <c r="W135" s="122" t="s">
        <v>1455</v>
      </c>
      <c r="X135" s="122" t="b">
        <v>0</v>
      </c>
      <c r="Y135" s="122" t="b">
        <v>1</v>
      </c>
      <c r="Z135" s="122" t="b">
        <v>0</v>
      </c>
      <c r="AA135" t="s">
        <v>1727</v>
      </c>
    </row>
    <row r="136" spans="1:33" hidden="1">
      <c r="A136" s="122" t="s">
        <v>2052</v>
      </c>
      <c r="B136" s="122" t="s">
        <v>1565</v>
      </c>
      <c r="C136" s="122" t="s">
        <v>1721</v>
      </c>
      <c r="D136" s="122">
        <v>460201027</v>
      </c>
      <c r="E136" s="122" t="s">
        <v>1722</v>
      </c>
      <c r="F136" t="s">
        <v>2053</v>
      </c>
      <c r="H136" s="122" t="b">
        <v>0</v>
      </c>
      <c r="I136" s="122" t="b">
        <v>1</v>
      </c>
      <c r="J136" s="122"/>
      <c r="K136" s="122"/>
      <c r="L136" s="122"/>
      <c r="M136" s="122" t="s">
        <v>1723</v>
      </c>
      <c r="N136" s="122" t="b">
        <v>1</v>
      </c>
      <c r="O136" s="122">
        <v>1595833672284</v>
      </c>
      <c r="P136" s="205">
        <f t="shared" si="6"/>
        <v>44039.297132916661</v>
      </c>
      <c r="Q136" s="122">
        <v>1609767322868</v>
      </c>
      <c r="R136" s="205">
        <f t="shared" si="7"/>
        <v>44200.566236898143</v>
      </c>
      <c r="S136" s="122" t="s">
        <v>1751</v>
      </c>
      <c r="T136" s="122" t="s">
        <v>1725</v>
      </c>
      <c r="U136" s="122" t="s">
        <v>2054</v>
      </c>
      <c r="V136" s="122" t="s">
        <v>1721</v>
      </c>
      <c r="W136" s="122" t="s">
        <v>1565</v>
      </c>
      <c r="X136" s="122" t="b">
        <v>0</v>
      </c>
      <c r="Y136" s="122" t="b">
        <v>1</v>
      </c>
      <c r="Z136" s="122" t="b">
        <v>0</v>
      </c>
      <c r="AA136" t="s">
        <v>1727</v>
      </c>
    </row>
    <row r="137" spans="1:33" hidden="1">
      <c r="A137" s="122" t="s">
        <v>2055</v>
      </c>
      <c r="B137" s="122" t="s">
        <v>1456</v>
      </c>
      <c r="C137" s="122" t="s">
        <v>1721</v>
      </c>
      <c r="D137" s="122">
        <v>564895155</v>
      </c>
      <c r="E137" s="122" t="s">
        <v>1722</v>
      </c>
      <c r="F137" t="s">
        <v>2056</v>
      </c>
      <c r="H137" s="122" t="b">
        <v>0</v>
      </c>
      <c r="I137" s="122" t="b">
        <v>1</v>
      </c>
      <c r="J137" s="122"/>
      <c r="K137" s="122"/>
      <c r="L137" s="122"/>
      <c r="M137" s="122" t="s">
        <v>1723</v>
      </c>
      <c r="N137" s="122" t="b">
        <v>1</v>
      </c>
      <c r="O137" s="122">
        <v>1594629134760</v>
      </c>
      <c r="P137" s="205">
        <f t="shared" si="6"/>
        <v>44025.355726388894</v>
      </c>
      <c r="Q137" s="122">
        <v>1609767306188</v>
      </c>
      <c r="R137" s="205">
        <f t="shared" si="7"/>
        <v>44200.566043842591</v>
      </c>
      <c r="S137" s="122" t="s">
        <v>1751</v>
      </c>
      <c r="T137" s="122" t="s">
        <v>1725</v>
      </c>
      <c r="U137" s="122" t="s">
        <v>2057</v>
      </c>
      <c r="V137" s="122" t="s">
        <v>1721</v>
      </c>
      <c r="W137" s="122" t="s">
        <v>1456</v>
      </c>
      <c r="X137" s="122" t="b">
        <v>0</v>
      </c>
      <c r="Y137" s="122" t="b">
        <v>1</v>
      </c>
      <c r="Z137" s="122" t="b">
        <v>0</v>
      </c>
      <c r="AA137" t="s">
        <v>1727</v>
      </c>
    </row>
    <row r="138" spans="1:33" hidden="1">
      <c r="A138" s="122" t="s">
        <v>2058</v>
      </c>
      <c r="B138" s="122" t="s">
        <v>1513</v>
      </c>
      <c r="C138" s="122" t="s">
        <v>1721</v>
      </c>
      <c r="D138" s="122">
        <v>776944594</v>
      </c>
      <c r="E138" s="122" t="s">
        <v>1722</v>
      </c>
      <c r="F138" s="122" t="s">
        <v>2059</v>
      </c>
      <c r="G138" s="122"/>
      <c r="H138" s="122" t="b">
        <v>0</v>
      </c>
      <c r="I138" s="122" t="b">
        <v>1</v>
      </c>
      <c r="J138" s="122"/>
      <c r="K138" s="122"/>
      <c r="L138" s="122"/>
      <c r="M138" s="122" t="s">
        <v>1723</v>
      </c>
      <c r="N138" s="122" t="b">
        <v>1</v>
      </c>
      <c r="O138" s="122">
        <v>1594634189230</v>
      </c>
      <c r="P138" s="205">
        <f t="shared" si="6"/>
        <v>44025.414227199071</v>
      </c>
      <c r="Q138" s="122">
        <v>1609741170577</v>
      </c>
      <c r="R138" s="205">
        <f t="shared" si="7"/>
        <v>44200.263548344912</v>
      </c>
      <c r="S138" s="122" t="s">
        <v>1751</v>
      </c>
      <c r="T138" s="122" t="s">
        <v>1725</v>
      </c>
      <c r="U138" s="122" t="s">
        <v>2060</v>
      </c>
      <c r="V138" s="122" t="s">
        <v>1721</v>
      </c>
      <c r="W138" s="122" t="s">
        <v>1513</v>
      </c>
      <c r="X138" s="122" t="b">
        <v>0</v>
      </c>
      <c r="Y138" s="122" t="b">
        <v>1</v>
      </c>
      <c r="Z138" s="122" t="b">
        <v>0</v>
      </c>
      <c r="AA138" t="s">
        <v>1727</v>
      </c>
    </row>
    <row r="139" spans="1:33" hidden="1">
      <c r="A139" s="122" t="s">
        <v>2061</v>
      </c>
      <c r="B139" s="122" t="s">
        <v>1449</v>
      </c>
      <c r="C139" s="122" t="s">
        <v>1721</v>
      </c>
      <c r="D139" s="122">
        <v>965395640</v>
      </c>
      <c r="E139" s="122" t="s">
        <v>1729</v>
      </c>
      <c r="F139" t="s">
        <v>2062</v>
      </c>
      <c r="H139" s="122" t="b">
        <v>0</v>
      </c>
      <c r="I139" s="122" t="b">
        <v>1</v>
      </c>
      <c r="J139" t="s">
        <v>2062</v>
      </c>
      <c r="L139" s="122" t="s">
        <v>2062</v>
      </c>
      <c r="M139" s="122" t="s">
        <v>1730</v>
      </c>
      <c r="N139" s="122" t="b">
        <v>0</v>
      </c>
      <c r="O139" s="122">
        <v>1608357767663</v>
      </c>
      <c r="P139" s="205">
        <f t="shared" si="6"/>
        <v>44184.251940543982</v>
      </c>
      <c r="Q139" s="122">
        <v>1608627530099</v>
      </c>
      <c r="R139" s="205">
        <f t="shared" si="7"/>
        <v>44187.374190960647</v>
      </c>
      <c r="S139" s="122" t="s">
        <v>1751</v>
      </c>
      <c r="T139" s="122" t="s">
        <v>1725</v>
      </c>
      <c r="U139" s="122" t="s">
        <v>2063</v>
      </c>
      <c r="V139" s="122" t="s">
        <v>1721</v>
      </c>
      <c r="W139" s="122" t="s">
        <v>1449</v>
      </c>
      <c r="X139" s="122" t="b">
        <v>0</v>
      </c>
      <c r="Y139" s="122" t="b">
        <v>1</v>
      </c>
      <c r="Z139" s="122" t="b">
        <v>0</v>
      </c>
      <c r="AA139" t="s">
        <v>1727</v>
      </c>
    </row>
  </sheetData>
  <autoFilter ref="A1:AH139" xr:uid="{498E754F-95EF-408E-846A-BBB14BEA01B2}">
    <filterColumn colId="20">
      <filters>
        <filter val="ACTIVE"/>
      </filters>
    </filterColumn>
    <filterColumn colId="23">
      <filters>
        <filter val="TRUE"/>
      </filters>
    </filterColumn>
  </autoFilter>
  <sortState xmlns:xlrd2="http://schemas.microsoft.com/office/spreadsheetml/2017/richdata2" ref="A1:AK96">
    <sortCondition descending="1" ref="Y1:Y96"/>
  </sortState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638C-6FFB-A441-B801-83082B4D0F04}">
  <sheetPr codeName="Sheet7">
    <tabColor theme="7" tint="0.39997558519241921"/>
  </sheetPr>
  <dimension ref="B2:T34"/>
  <sheetViews>
    <sheetView topLeftCell="A2" zoomScale="110" zoomScaleNormal="110" workbookViewId="0">
      <selection activeCell="L21" sqref="L21"/>
    </sheetView>
  </sheetViews>
  <sheetFormatPr baseColWidth="10" defaultColWidth="10.5" defaultRowHeight="16"/>
  <cols>
    <col min="2" max="2" width="36" customWidth="1"/>
    <col min="3" max="4" width="10.5" customWidth="1"/>
    <col min="8" max="8" width="10.5" style="13"/>
    <col min="10" max="10" width="17.5" customWidth="1"/>
    <col min="15" max="15" width="31.5" customWidth="1"/>
    <col min="16" max="16" width="16" customWidth="1"/>
    <col min="18" max="18" width="103.5" customWidth="1"/>
  </cols>
  <sheetData>
    <row r="2" spans="2:20" ht="21">
      <c r="B2" s="6"/>
      <c r="C2" s="228"/>
      <c r="F2" s="275" t="s">
        <v>2064</v>
      </c>
      <c r="G2" s="275"/>
      <c r="H2" s="276">
        <v>44439</v>
      </c>
      <c r="I2" s="276"/>
      <c r="J2" s="276"/>
      <c r="O2" s="272" t="s">
        <v>2065</v>
      </c>
      <c r="P2" s="272"/>
      <c r="R2" s="1" t="s">
        <v>2066</v>
      </c>
      <c r="S2" s="174" t="s">
        <v>2067</v>
      </c>
      <c r="T2" s="174" t="s">
        <v>2068</v>
      </c>
    </row>
    <row r="3" spans="2:20" ht="23.25" customHeight="1">
      <c r="C3" s="228"/>
      <c r="F3" s="275" t="s">
        <v>2069</v>
      </c>
      <c r="G3" s="275"/>
      <c r="H3" s="274" t="s">
        <v>2070</v>
      </c>
      <c r="I3" s="274"/>
      <c r="J3" s="274"/>
      <c r="O3" s="229" t="s">
        <v>2071</v>
      </c>
      <c r="P3" s="15" t="str">
        <f>IF(S3&lt;&gt;T3,"ERROR", "OK")</f>
        <v>OK</v>
      </c>
      <c r="R3" t="s">
        <v>2072</v>
      </c>
      <c r="S3" s="228">
        <f>COUNTIF('Input 3 - BNO Members'!C:C,"Active")</f>
        <v>81</v>
      </c>
      <c r="T3" s="228">
        <f>COUNTIF('DB - Identities'!V:V,"Active")</f>
        <v>81</v>
      </c>
    </row>
    <row r="4" spans="2:20" ht="26.25" customHeight="1">
      <c r="C4" s="228"/>
      <c r="F4" s="277" t="s">
        <v>2073</v>
      </c>
      <c r="G4" s="277"/>
      <c r="H4" s="274" t="str">
        <f>H3&amp;TEXT(H2,"mmm-yyyy")</f>
        <v>C:\Roy\Project\Billing\Aug-2021</v>
      </c>
      <c r="I4" s="274"/>
      <c r="J4" s="274"/>
      <c r="P4" s="228"/>
    </row>
    <row r="5" spans="2:20">
      <c r="C5" s="228"/>
      <c r="O5" s="229" t="s">
        <v>2074</v>
      </c>
      <c r="P5" s="15" t="str">
        <f>IF(COUNTIF('Billing Working'!M:M,"ERROR")=0, "OK", "ERROR")</f>
        <v>OK</v>
      </c>
    </row>
    <row r="6" spans="2:20">
      <c r="O6" s="229" t="s">
        <v>2075</v>
      </c>
      <c r="P6" s="15" t="str">
        <f>IF(COUNTIF('Billing Working'!N:N,"ERROR")=0,"OK","ERROR")</f>
        <v>OK</v>
      </c>
    </row>
    <row r="7" spans="2:20">
      <c r="O7" s="229" t="s">
        <v>2076</v>
      </c>
      <c r="P7" s="15" t="str">
        <f>IF(COUNTIF('DB - Identities'!U:U,"ERROR")=0,"OK","ERROR")</f>
        <v>OK</v>
      </c>
    </row>
    <row r="8" spans="2:20">
      <c r="O8" s="194" t="s">
        <v>2077</v>
      </c>
      <c r="P8" s="195" t="s">
        <v>2078</v>
      </c>
      <c r="Q8" s="196"/>
      <c r="R8" s="196" t="s">
        <v>2079</v>
      </c>
    </row>
    <row r="9" spans="2:20">
      <c r="O9" s="194" t="s">
        <v>2080</v>
      </c>
      <c r="P9" s="195" t="s">
        <v>2078</v>
      </c>
      <c r="Q9" s="196"/>
      <c r="R9" s="196" t="s">
        <v>2079</v>
      </c>
    </row>
    <row r="10" spans="2:20">
      <c r="O10" s="194" t="s">
        <v>2081</v>
      </c>
      <c r="P10" s="195" t="s">
        <v>2078</v>
      </c>
      <c r="Q10" s="196"/>
      <c r="R10" s="196" t="s">
        <v>2082</v>
      </c>
    </row>
    <row r="11" spans="2:20">
      <c r="C11" s="228"/>
      <c r="O11" s="182" t="s">
        <v>2083</v>
      </c>
      <c r="P11" s="15" t="str">
        <f>IF(SUM('DB - Identities'!AA:AA)&gt;150,"ERROR", "OK")</f>
        <v>OK</v>
      </c>
      <c r="R11" t="s">
        <v>2084</v>
      </c>
    </row>
    <row r="12" spans="2:20">
      <c r="O12" s="229" t="s">
        <v>2085</v>
      </c>
      <c r="P12" s="15" t="str">
        <f>IF(COUNTIF('DB - Subscriptions'!S:S,"ERROR")=0,"OK","ERROR")</f>
        <v>OK</v>
      </c>
      <c r="R12" t="s">
        <v>2086</v>
      </c>
    </row>
    <row r="13" spans="2:20">
      <c r="P13" s="228"/>
    </row>
    <row r="14" spans="2:20">
      <c r="O14" s="229" t="s">
        <v>2087</v>
      </c>
      <c r="P14" s="228" t="str">
        <f>IF(COUNTIF('DB - Identities'!U:U,"FAILURE")&gt;0,"ERROR","OK")</f>
        <v>OK</v>
      </c>
      <c r="R14" t="s">
        <v>2088</v>
      </c>
    </row>
    <row r="16" spans="2:20">
      <c r="O16" s="229" t="s">
        <v>2089</v>
      </c>
      <c r="P16" s="15" t="str">
        <f>IF(COUNTIF('DB - Identities'!U:U,"ERROR")&gt;0,"ERROR","OK")</f>
        <v>OK</v>
      </c>
      <c r="R16" s="271" t="s">
        <v>2090</v>
      </c>
    </row>
    <row r="17" spans="7:18">
      <c r="O17" t="s">
        <v>2091</v>
      </c>
      <c r="P17" s="15" t="str">
        <f>IF(COUNTIF('CNF Sponsorship'!C:C,"ERROR")&gt;0,"WARNING", "OK")</f>
        <v>WARNING</v>
      </c>
      <c r="R17" s="271"/>
    </row>
    <row r="19" spans="7:18">
      <c r="O19" t="s">
        <v>2092</v>
      </c>
      <c r="P19" s="15" t="str">
        <f>IF(COUNTIF('DB - Identities'!Z:Z,"FAILURE")&gt;0,"ERROR", "OK")</f>
        <v>ERROR</v>
      </c>
      <c r="R19" t="s">
        <v>2093</v>
      </c>
    </row>
    <row r="20" spans="7:18">
      <c r="O20" t="s">
        <v>2094</v>
      </c>
      <c r="P20" s="15" t="str">
        <f>IF(COUNTIF('DB - Identities'!Z:Z,"NOT FOUND")&gt;0,"WARNING", "OK")</f>
        <v>WARNING</v>
      </c>
      <c r="R20" t="s">
        <v>2095</v>
      </c>
    </row>
    <row r="21" spans="7:18">
      <c r="G21" s="273"/>
      <c r="H21" s="273"/>
      <c r="I21" s="273"/>
    </row>
    <row r="22" spans="7:18">
      <c r="O22" t="s">
        <v>2096</v>
      </c>
      <c r="P22" s="15" t="str">
        <f>IF(MAX('DB - Identities'!AA:AA)&gt;33,"ERROR", "OK")</f>
        <v>OK</v>
      </c>
      <c r="R22" t="s">
        <v>2097</v>
      </c>
    </row>
    <row r="31" spans="7:18" ht="16" customHeight="1">
      <c r="O31" s="17"/>
    </row>
    <row r="32" spans="7:18" ht="62.25" customHeight="1">
      <c r="K32" s="269" t="s">
        <v>2098</v>
      </c>
      <c r="L32" s="269"/>
      <c r="M32" s="269"/>
      <c r="N32" s="269"/>
      <c r="O32" s="20" t="str">
        <f>SUBSTITUTE(_xlfn.TEXTJOIN(";",TRUE,'DB - Identities'!T2:'DB - Identities'!T115),",",";")</f>
        <v>andy.x.c.wang@hsbc.com.cn; bing.qu@hsbc.com; eric.e.miao@hsbc.com; keano.y.c.chan@hsbc.com.hk; sandy.j.peng@hsbc.com.cn; henrique.centieiro@hsbc.com.hk ;andy.x.c.wang@hsbc.com.cn; bing.qu@hsbc.com; eric.e.miao@hsbc.com; keano.y.c.chan@hsbc.com.hk; sandy.j.peng@hsbc.com.cn; henrique.centieiro@hsbc.com.hk ;Balaraman.Kunduvara@sc.com; Himanshu.maggo@sc.com; Lisna.Chia@sc.com; Nikhil.Awasthi@sc.com; Urvesh.Mehta@sc.com; Rajaguru.Raman@sc.com; ;Balaraman.Kunduvara@sc.com; Himanshu.maggo@sc.com; Lisna.Chia@sc.com; Nikhil.Awasthi@sc.com; Urvesh.Mehta@sc.com; Rajaguru.Raman@sc.com; ;andy.x.c.wang@hsbc.com.cn; bing.qu@hsbc.com; eric.e.miao@hsbc.com; keano.y.c.chan@hsbc.com.hk; sandy.j.peng@hsbc.com.cn; henrique.centieiro@hsbc.com.hk ;andy.x.c.wang@hsbc.com.cn; bing.qu@hsbc.com; eric.e.miao@hsbc.com; keano.y.c.chan@hsbc.com.hk; sandy.j.peng@hsbc.com.cn; henrique.centieiro@hsbc.com.hk ;andy.x.c.wang@hsbc.com.cn; bing.qu@hsbc.com; eric.e.miao@hsbc.com; keano.y.c.chan@hsbc.com.hk; sandy.j.peng@hsbc.com.cn; henrique.centieiro@hsbc.com.hk ;andy.x.c.wang@hsbc.com.cn; bing.qu@hsbc.com; eric.e.miao@hsbc.com; keano.y.c.chan@hsbc.com.hk; sandy.j.peng@hsbc.com.cn; henrique.centieiro@hsbc.com.hk ;andi.saputra@permatabank.co.id; dimas.dwiputra@permatabank.co.id; dwitarsa@permatabank.co.id; geoffrey.laurens@permatabank.co.id; hrprasetyo@permatabank.co.id; rnainggolan@permatabank.co.id; ;andy.x.c.wang@hsbc.com.cn; bing.qu@hsbc.com; eric.e.miao@hsbc.com; keano.y.c.chan@hsbc.com.hk; sandy.j.peng@hsbc.com.cn; henrique.centieiro@hsbc.com.hk ;andy.x.c.wang@hsbc.com.cn; bing.qu@hsbc.com; eric.e.miao@hsbc.com; keano.y.c.chan@hsbc.com.hk; sandy.j.peng@hsbc.com.cn; henrique.centieiro@hsbc.com.hk ;marina.sandquist@seb.se; thommy.lindahl@seb.se;baptiste.zegre@externe.bnpparibas.com; jose.pires@bnpparibas.com; kamal.naitouahmane@externe.bnpparibas.com; samer.elmurr@bnpparibas.com; ;andrelee@dbs.com; bryankang@dbs.com; leonardtanpc@dbs.com; louisatang@dbs.com; mankwanchen@dbs.com; melanieyau@dbs.com; patrickng@dbs.com; wanganchua@dbs.com;andy.x.c.wang@hsbc.com.cn; bing.qu@hsbc.com; eric.e.miao@hsbc.com; keano.y.c.chan@hsbc.com.hk; sandy.j.peng@hsbc.com.cn; henrique.centieiro@hsbc.com.hk ; j-c.manghardt@hsbc.com.hk ; benson.s.p.wong@hsbc.com.hk ;amitk@tatasteel.com; mini.susan@tatasteel.com; rahullal@tatasteel.com; ;sandeep@universaltubes.com; shylu@universaltubes.com; utpinfo@universaltubes.com; ;liyulong@itg.com.cn; sunbk@itg.com.cn; xuyiwei@itg.com.cn;;emilybhng@bochk.com; kane_hhlai@bochk.com; tsckmchiu@bohk.com; tsclchik@bochk.com; ;fangyiru@xm.icbc.com.cn;;Annie.Ho@riotinto.com; doreen.chew@riotinto.com; doreen.lee@riotinto.com; Michel.Alves@riotinto.com; cstradefinance@riotinto.com; SiokHwee.Tan@riotinto.com; weijie.koh@riotinto.com; Dawn.Low@riotinto.com; ;acasiusleong@dbs.com; alextangky@dbs.com; catherinehuangh@dbs.com; keitheng@dbs.com; leonardtanpc@dbs.com; megansoo@dbs.com; siewjinliew@dbs.com; SiewLanChing@dbs.com; YeeLee@dbs.com;liyulong@itg.com.cn; sunbk@itg.com.cn; xuyiwei@itg.com.cn;;Annie.Ho@riotinto.com; doreen.chew@riotinto.com; doreen.lee@riotinto.com; Michel.Alves@riotinto.com; cstradefinance@riotinto.com; SiokHwee.Tan@riotinto.com; weijie.koh@riotinto.com; Dawn.Low@riotinto.com; ;Annie.Ho@riotinto.com; doreen.chew@riotinto.com; doreen.lee@riotinto.com; Michel.Alves@riotinto.com; cstradefinance@riotinto.com; SiokHwee.Tan@riotinto.com; weijie.koh@riotinto.com; Dawn.Low@riotinto.com; ;Kantipong.Phairot@bangkokbank.com; Pintuwan.Kleijssen@bangkokbank.com; kajohnsak.manaviriyakul@bangkokbank.com; ;Kantipong.Phairot@bangkokbank.com; Pintuwan.Kleijssen@bangkokbank.com; kajohnsak.manaviriyakul@bangkokbank.com; ;alex@fuchuen.com; memo@fuchuen.com; taiyl@fuchuen.com;;hesteelhk@hbisco.com; pchung@hbisco.com; kkleung@hbisco.com;celeste.prates@vale.com; fatima.kiffer@vale.com; Lim.bengbing@vale.com;verachin.silva@vale.com; yeefong.fan@VALE.COM;Zulkefli.Mohamed@vale.com ;celeste.prates@vale.com; fatima.kiffer@vale.com; Lim.bengbing@vale.com;verachin.silva@vale.com; yeefong.fan@VALE.COM;Zulkefli.Mohamed@vale.com ;ops@toptip.com.sg;baisuqiu@njsteel.com.cn; diaochenghai@njsteel.com.cn; yushui@njsteel.com.cn; zhaoqian@njsteel.com.cn;adhi.rachman@capcx.com; irawan@capcx.com; jonathan.kandinata@capcx.com;baisuqiu@njsteel.com.cn; diaochenghai@njsteel.com.cn; yushui@njsteel.com.cn; zhaoqian@njsteel.com.cn;anika.chowdhury@thecemcoa.com; bills@thecemcoa.com; joseph.kwan@thecemcoa.com; john.khew@ssgil.com; treasury@thecemcoa.com; kineks.cheung@thecemcoa.com;anon.c@mtlo.co.th; kazuyuki.inada@mtlo.co.th; mayuree@mtlo.co.th; phakhamon@mtlo.co.th;nattinea@scg.com; patcharm@scg.com; piyanucs@scg.com;nattinea@scg.com; patcharm@scg.com; piyanucs@scg.com;alan.lim@klkoleo.com; ml.chin@klkoleo.com; po-shipdocs@klkoleo.com; tracy.ng@klkoleo.com; william.ng@klkoleo.com;aristaexim@yahoo.com; celly@aristagloves.com; lius@aristagloves.com;ahmed_nasim@bat.com; sadia_kamal@bat.com; zarrin_tasnim@bat.com;Narayan.Joshi@amns.in; pitambar.sahu@amns.in; pradeep.parte@amns.in; rajesh.patel@amns.in;linhngth@scg.com; phuongntt@scg.com; thanhtra@scg.com;ap.ketoan1@anphatbioplastics.com; ap.pmh7@anphatbioplastics.com; httha@anphatbioplastics.com;acasiusleong@dbs.com; alextangky@dbs.com; catherinehuangh@dbs.com; keitheng@dbs.com; leonardtanpc@dbs.com; megansoo@dbs.com; siewjinliew@dbs.com; SiewLanChing@dbs.com; YeeLee@dbs.com;supritha@polyplex.com; manisha@polyplex.com; ratheesh.aniyeri@polyplex.com; kittima@polyplex.com;nutthawan@thailandanthracite.com;supaporn@easternpearl.co.th;kittiya@thailandanthracite.com;supaporn@easternpearl.co.th;rattana@thailandanthracite.com;hien.nguyen@stavianchem.com; trong.duong@stavianchem.com; giang.dao@stavianchem.com; duong.nguyen@stavianchem.com;shams@macworldinc.com;export.bulk@macworldinc.com;teamaccounts@macworldinc.com;finance@macworldinc.com;praseed@macworldinc.com;praseed@macworldinc.com;mohammad.usman@ingrammicro.com;krishnan.lakshman@ingrammicro.com;mohammed.faiyaz@ingrammicro.com;purchase@longtex.co.th; itcenter@longtex.co.th; jensunwei@gmail.com;benny_suwe@sg.smbc.co.jp;hendry_janto@sg.smbc.co.jp;veronica_yeo@sg.smbc.co.jp;nagappan_nagappan@sg.smbc.co.jp;jason_goh@sg.smbc.co.jp;zy@ciec.com;xujing@ciec.com;sg@ciec.com;lokechoong.foo@angloamerican.com; kenneth.ang@angloamerican.com; gordon.liew@angloamerican.com; b.patel@adityabirla.com;sachin.nama@adityabirla.com;sritapa.n@adityabirla.com;lokechoong.foo@angloamerican.com;kenneth.ang@angloamerican.com;gordon.liew@angloamerican.com;OP.WINFAITH@SUMEC.COM.CN;WINFAITHFINANCE@SUMEC.COM.CN;ZHANGCS@SUMEC.COM.CN;OP.WINFAITH@SUMEC.COM.CN;chenshuyin@hbisco.com;nijie@hbisco.com;guoqiuhong@hbisco.com;baijinyu@hbisco.com;adhi.rachman@capcx.com;irawan@capcx.com;jonathan.kandinata@capcx.com;rfl1210@rflgroupbd.com;bd19@prangroup.com;mis54@mis.prangroup.com;xiaqing@sgjtgm.com; zzk@eldon-hk.com; yangran@sgjtgm.com;kenneth.ang@angloamerican.com; gordon.liew@angloamerican.com; lokechoong.foo@angloamerican.com;tradefinance@icbcasia.com;helen.he@ijdhk.com; zhoucui@ijdhk.com; rainy.du@ijdhk.com;jdshah@bajajauto.co.in; savalecha@bajajauto.co.in;IVL_finance_trade@indorama.net;manish.g@indorama.net;montien.p@indorama.net;prachit.p@indorama.net;IVL_finance_trade@indorama.net;manish.g@indorama.net;montien.p@indorama.net;prachit.p@indorama.net;IVL_finance_trade@indorama.net;manish.g@indorama.net;montien.p@indorama.net;prachit.p@indorama.net;ianding@dbs.com; jeremyzheng@dbs.com; wendywu@dbs.com; catherinechenxp@dbs.com; chesterhao@dbs.com;IVL_finance_trade@indorama.net;manish.g@indorama.net;montien.p@indorama.net;prachit.p@indorama.net;yusaf@emircom.com; sudhakar.aravind@emircom.com; yuvaraj@emircom.com;tfcenter.ho@mbbank.com.vn;dwnk.ho@mbbank.com.vn;dvxnk.kvpn@mbbank.com.vn;kienbv@mbbank.com.vn;syed_harun@mj-group.com; maksudur_rahman@mj-group.com;syed_harun@mj-group.com; maksudur_rahman@mj-group.com;jewel@epylliongroup.com; mithu@epylliongroup.com; arshad@epylliongroup.com;syed_harun@mj-group.com;maksudur_rahman@mj-group.com;jewel@epylliongroup.com;mithu@epylliongroup.com;arshad@epylliongroup.com;syed_harun@mj-group.com;maksudur_rahman@mj-group.com</v>
      </c>
    </row>
    <row r="33" spans="11:15">
      <c r="M33" s="270" t="s">
        <v>2099</v>
      </c>
      <c r="N33" s="270"/>
      <c r="O33" s="43">
        <f>LEN(O32)-LEN(SUBSTITUTE(O32,";",""))</f>
        <v>345</v>
      </c>
    </row>
    <row r="34" spans="11:15">
      <c r="K34" s="270" t="s">
        <v>2100</v>
      </c>
      <c r="L34" s="270"/>
      <c r="M34" s="270"/>
      <c r="N34" s="270"/>
      <c r="O34" s="270"/>
    </row>
  </sheetData>
  <mergeCells count="12">
    <mergeCell ref="G21:I21"/>
    <mergeCell ref="H4:J4"/>
    <mergeCell ref="F2:G2"/>
    <mergeCell ref="F3:G3"/>
    <mergeCell ref="H2:J2"/>
    <mergeCell ref="H3:J3"/>
    <mergeCell ref="F4:G4"/>
    <mergeCell ref="K32:N32"/>
    <mergeCell ref="M33:N33"/>
    <mergeCell ref="K34:O34"/>
    <mergeCell ref="R16:R17"/>
    <mergeCell ref="O2:P2"/>
  </mergeCells>
  <conditionalFormatting sqref="P3:P22">
    <cfRule type="containsText" dxfId="6" priority="4" operator="containsText" text="ERROR">
      <formula>NOT(ISERROR(SEARCH("ERROR",P3)))</formula>
    </cfRule>
    <cfRule type="containsText" dxfId="5" priority="5" operator="containsText" text="WARNING">
      <formula>NOT(ISERROR(SEARCH("WARNING",P3)))</formula>
    </cfRule>
  </conditionalFormatting>
  <conditionalFormatting sqref="O33">
    <cfRule type="cellIs" dxfId="4" priority="1" operator="greaterThan">
      <formula>490</formula>
    </cfRule>
  </conditionalFormatting>
  <dataValidations count="1">
    <dataValidation type="list" allowBlank="1" showInputMessage="1" showErrorMessage="1" sqref="H2" xr:uid="{837DD9D8-F3B7-8F4C-AF8D-623E5060CFC5}">
      <formula1>month_ends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unBilling" altText="Generate Reports">
                <anchor moveWithCells="1" sizeWithCells="1">
                  <from>
                    <xdr:col>5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RunReports">
                <anchor moveWithCells="1" sizeWithCells="1">
                  <from>
                    <xdr:col>4</xdr:col>
                    <xdr:colOff>812800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D8671-04E2-154A-AD2E-C43428C740CC}">
  <sheetPr codeName="Sheet6">
    <tabColor theme="1" tint="0.499984740745262"/>
  </sheetPr>
  <dimension ref="A1"/>
  <sheetViews>
    <sheetView workbookViewId="0">
      <selection activeCell="S27" sqref="S27"/>
    </sheetView>
  </sheetViews>
  <sheetFormatPr baseColWidth="10" defaultColWidth="10.5" defaultRowHeight="16"/>
  <sheetData/>
  <pageMargins left="0.7" right="0.7" top="0.75" bottom="0.75" header="0.3" footer="0.3"/>
  <pageSetup paperSize="9"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40A89-7A8E-5248-9A01-D4A2B5630317}">
  <sheetPr codeName="Sheet14"/>
  <dimension ref="A1:O400"/>
  <sheetViews>
    <sheetView workbookViewId="0">
      <pane ySplit="1" topLeftCell="A2" activePane="bottomLeft" state="frozen"/>
      <selection pane="bottomLeft" activeCell="A7" sqref="A7"/>
    </sheetView>
  </sheetViews>
  <sheetFormatPr baseColWidth="10" defaultColWidth="10.5" defaultRowHeight="16"/>
  <cols>
    <col min="1" max="1" width="67" bestFit="1" customWidth="1"/>
    <col min="2" max="2" width="30.5" customWidth="1"/>
    <col min="3" max="3" width="18" customWidth="1"/>
    <col min="4" max="5" width="30.5" customWidth="1"/>
    <col min="6" max="6" width="47" style="29" customWidth="1"/>
    <col min="7" max="7" width="59" style="29" customWidth="1"/>
    <col min="8" max="8" width="36" bestFit="1" customWidth="1"/>
    <col min="9" max="9" width="36" customWidth="1"/>
    <col min="10" max="10" width="14" bestFit="1" customWidth="1"/>
    <col min="11" max="11" width="14" customWidth="1"/>
    <col min="13" max="13" width="27.5" customWidth="1"/>
    <col min="14" max="14" width="20.5" customWidth="1"/>
    <col min="15" max="15" width="22.5" customWidth="1"/>
  </cols>
  <sheetData>
    <row r="1" spans="1:15" s="1" customFormat="1">
      <c r="A1" s="39" t="str">
        <f>'Input 2 - Transactions'!A1</f>
        <v>x500_name</v>
      </c>
      <c r="B1" s="39" t="str">
        <f>'Input 2 - Transactions'!B1</f>
        <v>display_name</v>
      </c>
      <c r="C1" s="39" t="str">
        <f>'Input 2 - Transactions'!C1</f>
        <v>client_id</v>
      </c>
      <c r="D1" s="39" t="str">
        <f>'Input 2 - Transactions'!D1</f>
        <v>command</v>
      </c>
      <c r="E1" s="39" t="str">
        <f>'Input 2 - Transactions'!E1</f>
        <v>event_date_time</v>
      </c>
      <c r="F1" s="40" t="s">
        <v>2101</v>
      </c>
      <c r="G1" s="40" t="s">
        <v>2102</v>
      </c>
      <c r="H1" s="38" t="s">
        <v>2103</v>
      </c>
      <c r="I1" s="38" t="s">
        <v>2</v>
      </c>
      <c r="J1" s="38" t="s">
        <v>2104</v>
      </c>
      <c r="K1" s="38" t="s">
        <v>2105</v>
      </c>
      <c r="L1" s="38" t="s">
        <v>2106</v>
      </c>
      <c r="M1" s="38" t="s">
        <v>2107</v>
      </c>
      <c r="N1" s="38" t="s">
        <v>2108</v>
      </c>
      <c r="O1" s="1" t="s">
        <v>2109</v>
      </c>
    </row>
    <row r="2" spans="1:15">
      <c r="A2" t="str">
        <f>'Input 2 - Transactions'!A2</f>
        <v>ou=global trade and receivables finance production, o=the hongkong and shanghai banking corporation limited, l=dhaka, c=bd</v>
      </c>
      <c r="B2" t="str">
        <f>'Input 2 - Transactions'!B2</f>
        <v>HSBC Bangladesh</v>
      </c>
      <c r="C2">
        <f>'Input 2 - Transactions'!C2</f>
        <v>852857632</v>
      </c>
      <c r="D2" t="str">
        <f>'Input 2 - Transactions'!D2</f>
        <v>LOC.Issue</v>
      </c>
      <c r="E2" t="str">
        <f>'Input 2 - Transactions'!E2</f>
        <v>2021-08-26T12:25:41.476Z</v>
      </c>
      <c r="F2" s="29" t="str">
        <f>'Input 2 - Transactions'!F2</f>
        <v>cb482cd9-9c75-40cb-bc24-07e4ae100873</v>
      </c>
      <c r="G2" s="29" t="str">
        <f>'Input 2 - Transactions'!G2</f>
        <v>9817251724E193A0B38FFDBF8D2ADD13007969FA7499C7B107267C82D6B940BC</v>
      </c>
      <c r="H2" t="str">
        <f>_xlfn.XLOOKUP(A2,'DB - Identities'!U:U,'DB - Identities'!B:B)</f>
        <v>HSBC Global Services (Hong Kong) Limited</v>
      </c>
      <c r="I2" t="str">
        <f>_xlfn.XLOOKUP(H2,c_parties,'DB - Contracting Parties'!C:C)</f>
        <v>Bank</v>
      </c>
      <c r="J2" t="str">
        <f>_xlfn.XLOOKUP(A2,'DB - Identities'!U:U,'DB - Identities'!Q:Q)</f>
        <v>BD</v>
      </c>
      <c r="K2" t="str">
        <f>_xlfn.XLOOKUP(D2,Static!J:J,Static!K:K)</f>
        <v>Issue DC</v>
      </c>
      <c r="L2">
        <f>IF(I2="Bank",_xlfn.XLOOKUP(J2,'Pricing Sheet'!A:A,'Pricing Sheet'!B:B,'Pricing Sheet'!$B$6),IF(I2="Corporate",_xlfn.XLOOKUP(J2,'Pricing Sheet'!F:F,'Pricing Sheet'!G:G,'Pricing Sheet'!$G$6),0))</f>
        <v>10</v>
      </c>
      <c r="M2" t="str">
        <f t="shared" ref="M2" si="0">IF(AND(A2&lt;&gt;0,ISNA(H2)),"ERROR", "OK")</f>
        <v>OK</v>
      </c>
      <c r="N2" t="str">
        <f t="shared" ref="N2" si="1">IF(AND(A2&lt;&gt;0,ISNA(J2)),"ERROR", "OK")</f>
        <v>OK</v>
      </c>
    </row>
    <row r="3" spans="1:15">
      <c r="A3" t="str">
        <f>'Input 2 - Transactions'!A3</f>
        <v>ou=global trade and receivables finance production, o=the hongkong and shanghai banking corporation limited, l=dhaka, c=bd</v>
      </c>
      <c r="B3" t="str">
        <f>'Input 2 - Transactions'!B3</f>
        <v>HSBC Bangladesh</v>
      </c>
      <c r="C3">
        <f>'Input 2 - Transactions'!C3</f>
        <v>852857632</v>
      </c>
      <c r="D3" t="str">
        <f>'Input 2 - Transactions'!D3</f>
        <v>LOC.Issue</v>
      </c>
      <c r="E3" t="str">
        <f>'Input 2 - Transactions'!E3</f>
        <v>2021-08-16T13:27:58.969Z</v>
      </c>
      <c r="F3" s="29" t="str">
        <f>'Input 2 - Transactions'!F3</f>
        <v>120dffc6-ec9f-4384-968f-6ac7ec854fdb</v>
      </c>
      <c r="G3" s="29" t="str">
        <f>'Input 2 - Transactions'!G3</f>
        <v>4EE62DAED3C06FB61701A4DF628F61365D780F22F98E86F840D1C10175040EBC</v>
      </c>
      <c r="H3" t="str">
        <f>_xlfn.XLOOKUP(A3,'DB - Identities'!U:U,'DB - Identities'!B:B)</f>
        <v>HSBC Global Services (Hong Kong) Limited</v>
      </c>
      <c r="I3" t="str">
        <f>_xlfn.XLOOKUP(H3,c_parties,'DB - Contracting Parties'!C:C)</f>
        <v>Bank</v>
      </c>
      <c r="J3" t="str">
        <f>_xlfn.XLOOKUP(A3,'DB - Identities'!U:U,'DB - Identities'!Q:Q)</f>
        <v>BD</v>
      </c>
      <c r="K3" t="str">
        <f>_xlfn.XLOOKUP(D3,Static!J:J,Static!K:K)</f>
        <v>Issue DC</v>
      </c>
      <c r="L3">
        <f>IF(I3="Bank",_xlfn.XLOOKUP(J3,'Pricing Sheet'!A:A,'Pricing Sheet'!B:B,'Pricing Sheet'!$B$6),IF(I3="Corporate",_xlfn.XLOOKUP(J3,'Pricing Sheet'!F:F,'Pricing Sheet'!G:G,'Pricing Sheet'!$G$6),0))</f>
        <v>10</v>
      </c>
      <c r="M3" t="str">
        <f t="shared" ref="M3:M64" si="2">IF(AND(A3&lt;&gt;0,ISNA(H3)),"ERROR", "OK")</f>
        <v>OK</v>
      </c>
      <c r="N3" t="str">
        <f t="shared" ref="N3:N64" si="3">IF(AND(A3&lt;&gt;0,ISNA(J3)),"ERROR", "OK")</f>
        <v>OK</v>
      </c>
    </row>
    <row r="4" spans="1:15">
      <c r="A4" t="str">
        <f>'Input 2 - Transactions'!A4</f>
        <v>ou=global trade and receivables finance production, o=the hongkong and shanghai banking corporation limited, l=singapore, c=sg</v>
      </c>
      <c r="B4" t="str">
        <f>'Input 2 - Transactions'!B4</f>
        <v>HSBC Singapore</v>
      </c>
      <c r="C4">
        <f>'Input 2 - Transactions'!C4</f>
        <v>330856180</v>
      </c>
      <c r="D4" t="str">
        <f>'Input 2 - Transactions'!D4</f>
        <v>DemandPresentation.Forward</v>
      </c>
      <c r="E4" t="str">
        <f>'Input 2 - Transactions'!E4</f>
        <v>2021-08-20T06:41:27.014Z</v>
      </c>
      <c r="F4" s="29" t="str">
        <f>'Input 2 - Transactions'!F4</f>
        <v>1a65970f-a194-43fe-b04e-5e45663c2098</v>
      </c>
      <c r="G4" s="29" t="str">
        <f>'Input 2 - Transactions'!G4</f>
        <v>056319ACEFB1C8EEEB4EE88D15335C95182CCB362C3200AA2F754D66E7A57BCB</v>
      </c>
      <c r="H4" t="str">
        <f>_xlfn.XLOOKUP(A4,'DB - Identities'!U:U,'DB - Identities'!B:B)</f>
        <v>HSBC Global Services (Hong Kong) Limited</v>
      </c>
      <c r="I4" t="str">
        <f>_xlfn.XLOOKUP(H4,c_parties,'DB - Contracting Parties'!C:C)</f>
        <v>Bank</v>
      </c>
      <c r="J4" t="str">
        <f>_xlfn.XLOOKUP(A4,'DB - Identities'!U:U,'DB - Identities'!Q:Q)</f>
        <v>SG</v>
      </c>
      <c r="K4" t="str">
        <f>_xlfn.XLOOKUP(D4,Static!J:J,Static!K:K)</f>
        <v>Forward DP</v>
      </c>
      <c r="L4">
        <f>IF(I4="Bank",_xlfn.XLOOKUP(J4,'Pricing Sheet'!A:A,'Pricing Sheet'!B:B,'Pricing Sheet'!$B$6),IF(I4="Corporate",_xlfn.XLOOKUP(J4,'Pricing Sheet'!F:F,'Pricing Sheet'!G:G,'Pricing Sheet'!$G$6),0))</f>
        <v>50</v>
      </c>
      <c r="M4" t="str">
        <f t="shared" si="2"/>
        <v>OK</v>
      </c>
      <c r="N4" t="str">
        <f t="shared" si="3"/>
        <v>OK</v>
      </c>
    </row>
    <row r="5" spans="1:15">
      <c r="A5" t="str">
        <f>'Input 2 - Transactions'!A5</f>
        <v>ou=global trade and receivables finance production, o=the hongkong and shanghai banking corporation limited, l=singapore, c=sg</v>
      </c>
      <c r="B5" t="str">
        <f>'Input 2 - Transactions'!B5</f>
        <v>HSBC Singapore</v>
      </c>
      <c r="C5">
        <f>'Input 2 - Transactions'!C5</f>
        <v>330856180</v>
      </c>
      <c r="D5" t="str">
        <f>'Input 2 - Transactions'!D5</f>
        <v>DemandPresentation.Forward</v>
      </c>
      <c r="E5" t="str">
        <f>'Input 2 - Transactions'!E5</f>
        <v>2021-08-10T09:26:30.259Z</v>
      </c>
      <c r="F5" s="29" t="str">
        <f>'Input 2 - Transactions'!F5</f>
        <v>a1f06660-f69f-44ad-8c27-435f9f51a4d6</v>
      </c>
      <c r="G5" s="29" t="str">
        <f>'Input 2 - Transactions'!G5</f>
        <v>52CCD8198799F150416488A60E8481453B0EE90436557B139C4D2AAB099DCFC2</v>
      </c>
      <c r="H5" t="str">
        <f>_xlfn.XLOOKUP(A5,'DB - Identities'!U:U,'DB - Identities'!B:B)</f>
        <v>HSBC Global Services (Hong Kong) Limited</v>
      </c>
      <c r="I5" t="str">
        <f>_xlfn.XLOOKUP(H5,c_parties,'DB - Contracting Parties'!C:C)</f>
        <v>Bank</v>
      </c>
      <c r="J5" t="str">
        <f>_xlfn.XLOOKUP(A5,'DB - Identities'!U:U,'DB - Identities'!Q:Q)</f>
        <v>SG</v>
      </c>
      <c r="K5" t="str">
        <f>_xlfn.XLOOKUP(D5,Static!J:J,Static!K:K)</f>
        <v>Forward DP</v>
      </c>
      <c r="L5">
        <f>IF(I5="Bank",_xlfn.XLOOKUP(J5,'Pricing Sheet'!A:A,'Pricing Sheet'!B:B,'Pricing Sheet'!$B$6),IF(I5="Corporate",_xlfn.XLOOKUP(J5,'Pricing Sheet'!F:F,'Pricing Sheet'!G:G,'Pricing Sheet'!$G$6),0))</f>
        <v>50</v>
      </c>
      <c r="M5" t="str">
        <f t="shared" si="2"/>
        <v>OK</v>
      </c>
      <c r="N5" t="str">
        <f t="shared" si="3"/>
        <v>OK</v>
      </c>
    </row>
    <row r="6" spans="1:15">
      <c r="A6" t="str">
        <f>'Input 2 - Transactions'!A6</f>
        <v>ou=gtrf production, o=hang seng bank limited, l=central district, c=hk</v>
      </c>
      <c r="B6" t="str">
        <f>'Input 2 - Transactions'!B6</f>
        <v>Hang Seng Bank Hong Kong</v>
      </c>
      <c r="C6">
        <f>'Input 2 - Transactions'!C6</f>
        <v>522497260</v>
      </c>
      <c r="D6" t="str">
        <f>'Input 2 - Transactions'!D6</f>
        <v>LOC.Issue</v>
      </c>
      <c r="E6" t="str">
        <f>'Input 2 - Transactions'!E6</f>
        <v>2021-08-06T09:09:44.448Z</v>
      </c>
      <c r="F6" s="29" t="str">
        <f>'Input 2 - Transactions'!F6</f>
        <v>1a65970f-a194-43fe-b04e-5e45663c2098</v>
      </c>
      <c r="G6" s="29" t="str">
        <f>'Input 2 - Transactions'!G6</f>
        <v>87B34E49BAE58C6406E67A48C8BA19E2A5668C94348ECBBBB0D7EB4D356D8909</v>
      </c>
      <c r="H6" t="str">
        <f>_xlfn.XLOOKUP(A6,'DB - Identities'!U:U,'DB - Identities'!B:B)</f>
        <v>HSBC Global Services (Hong Kong) Limited</v>
      </c>
      <c r="I6" t="str">
        <f>_xlfn.XLOOKUP(H6,c_parties,'DB - Contracting Parties'!C:C)</f>
        <v>Bank</v>
      </c>
      <c r="J6" t="str">
        <f>_xlfn.XLOOKUP(A6,'DB - Identities'!U:U,'DB - Identities'!Q:Q)</f>
        <v>HK</v>
      </c>
      <c r="K6" t="str">
        <f>_xlfn.XLOOKUP(D6,Static!J:J,Static!K:K)</f>
        <v>Issue DC</v>
      </c>
      <c r="L6">
        <f>IF(I6="Bank",_xlfn.XLOOKUP(J6,'Pricing Sheet'!A:A,'Pricing Sheet'!B:B,'Pricing Sheet'!$B$6),IF(I6="Corporate",_xlfn.XLOOKUP(J6,'Pricing Sheet'!F:F,'Pricing Sheet'!G:G,'Pricing Sheet'!$G$6),0))</f>
        <v>50</v>
      </c>
      <c r="M6" t="str">
        <f t="shared" si="2"/>
        <v>OK</v>
      </c>
      <c r="N6" t="str">
        <f t="shared" si="3"/>
        <v>OK</v>
      </c>
    </row>
    <row r="7" spans="1:15">
      <c r="A7" t="str">
        <f>'Input 2 - Transactions'!A7</f>
        <v>ou=gtrf production, o=hsbc bank middle east ltd, l=dubai, c=ae</v>
      </c>
      <c r="B7" t="str">
        <f>'Input 2 - Transactions'!B7</f>
        <v>HSBC UAE</v>
      </c>
      <c r="C7">
        <f>'Input 2 - Transactions'!C7</f>
        <v>479280980</v>
      </c>
      <c r="D7" t="str">
        <f>'Input 2 - Transactions'!D7</f>
        <v>LOC.Issue</v>
      </c>
      <c r="E7" t="str">
        <f>'Input 2 - Transactions'!E7</f>
        <v>2021-08-29T07:25:51.914Z</v>
      </c>
      <c r="F7" s="29" t="str">
        <f>'Input 2 - Transactions'!F7</f>
        <v>c389c7a6-4f16-4ea7-87eb-5c9ee164e8da</v>
      </c>
      <c r="G7" s="29" t="str">
        <f>'Input 2 - Transactions'!G7</f>
        <v>4D1ACB3BB83DDAB60C59CF8DA86AC09A095E3316613BB4FB889FEE857DFAD0E9</v>
      </c>
      <c r="H7" t="str">
        <f>_xlfn.XLOOKUP(A7,'DB - Identities'!U:U,'DB - Identities'!B:B)</f>
        <v>HSBC Global Services (Hong Kong) Limited</v>
      </c>
      <c r="I7" t="str">
        <f>_xlfn.XLOOKUP(H7,c_parties,'DB - Contracting Parties'!C:C)</f>
        <v>Bank</v>
      </c>
      <c r="J7" t="str">
        <f>_xlfn.XLOOKUP(A7,'DB - Identities'!U:U,'DB - Identities'!Q:Q)</f>
        <v>AE</v>
      </c>
      <c r="K7" t="str">
        <f>_xlfn.XLOOKUP(D7,Static!J:J,Static!K:K)</f>
        <v>Issue DC</v>
      </c>
      <c r="L7">
        <f>IF(I7="Bank",_xlfn.XLOOKUP(J7,'Pricing Sheet'!A:A,'Pricing Sheet'!B:B,'Pricing Sheet'!$B$6),IF(I7="Corporate",_xlfn.XLOOKUP(J7,'Pricing Sheet'!F:F,'Pricing Sheet'!G:G,'Pricing Sheet'!$G$6),0))</f>
        <v>50</v>
      </c>
      <c r="M7" t="str">
        <f t="shared" si="2"/>
        <v>OK</v>
      </c>
      <c r="N7" t="str">
        <f t="shared" si="3"/>
        <v>OK</v>
      </c>
    </row>
    <row r="8" spans="1:15">
      <c r="A8" t="str">
        <f>'Input 2 - Transactions'!A8</f>
        <v>ou=trade finance, o=hope downs marketing company pty ltd, l=perth, c=au</v>
      </c>
      <c r="B8" t="str">
        <f>'Input 2 - Transactions'!B8</f>
        <v>HOPE DOWNS MARKETING COMPANY PTY LTD</v>
      </c>
      <c r="C8">
        <f>'Input 2 - Transactions'!C8</f>
        <v>83641626</v>
      </c>
      <c r="D8" t="str">
        <f>'Input 2 - Transactions'!D8</f>
        <v>DemandPresentation.Submit</v>
      </c>
      <c r="E8" t="str">
        <f>'Input 2 - Transactions'!E8</f>
        <v>2021-08-10T04:33:51.742Z</v>
      </c>
      <c r="F8" s="29" t="str">
        <f>'Input 2 - Transactions'!F8</f>
        <v>a1f06660-f69f-44ad-8c27-435f9f51a4d6</v>
      </c>
      <c r="G8" s="29" t="str">
        <f>'Input 2 - Transactions'!G8</f>
        <v>169815F229DFB6E0DC38A27A2185D17B4E61E716CC5BA99DE5A4A468667B3F2A</v>
      </c>
      <c r="H8" t="str">
        <f>_xlfn.XLOOKUP(A8,'DB - Identities'!U:U,'DB - Identities'!B:B)</f>
        <v>Rio Tinto Commercial Pte. Ltd.</v>
      </c>
      <c r="I8" t="str">
        <f>_xlfn.XLOOKUP(H8,c_parties,'DB - Contracting Parties'!C:C)</f>
        <v>Corporate</v>
      </c>
      <c r="J8" t="str">
        <f>_xlfn.XLOOKUP(A8,'DB - Identities'!U:U,'DB - Identities'!Q:Q)</f>
        <v>AU</v>
      </c>
      <c r="K8" t="str">
        <f>_xlfn.XLOOKUP(D8,Static!J:J,Static!K:K)</f>
        <v>Submit DP</v>
      </c>
      <c r="L8">
        <f>IF(I8="Bank",_xlfn.XLOOKUP(J8,'Pricing Sheet'!A:A,'Pricing Sheet'!B:B,'Pricing Sheet'!$B$6),IF(I8="Corporate",_xlfn.XLOOKUP(J8,'Pricing Sheet'!F:F,'Pricing Sheet'!G:G,'Pricing Sheet'!$G$6),0))</f>
        <v>25</v>
      </c>
      <c r="M8" t="str">
        <f t="shared" si="2"/>
        <v>OK</v>
      </c>
      <c r="N8" t="str">
        <f t="shared" si="3"/>
        <v>OK</v>
      </c>
    </row>
    <row r="9" spans="1:15">
      <c r="A9" t="str">
        <f>'Input 2 - Transactions'!A9</f>
        <v>ou=trade finance, o=rio tinto commercial pte ltd, l=singapore, c=sg</v>
      </c>
      <c r="B9" t="str">
        <f>'Input 2 - Transactions'!B9</f>
        <v>Rio Tinto Commercial Pte Ltd</v>
      </c>
      <c r="C9">
        <f>'Input 2 - Transactions'!C9</f>
        <v>983807791</v>
      </c>
      <c r="D9" t="str">
        <f>'Input 2 - Transactions'!D9</f>
        <v>DemandPresentation.Submit</v>
      </c>
      <c r="E9" t="str">
        <f>'Input 2 - Transactions'!E9</f>
        <v>2021-08-16T07:29:41.407Z</v>
      </c>
      <c r="F9" s="29" t="str">
        <f>'Input 2 - Transactions'!F9</f>
        <v>1a65970f-a194-43fe-b04e-5e45663c2098</v>
      </c>
      <c r="G9" s="29" t="str">
        <f>'Input 2 - Transactions'!G9</f>
        <v>41E7E6A64555E75ED63C22AB71EF5735AEB32B39716C5EBFEA1EA70248C97701</v>
      </c>
      <c r="H9" t="str">
        <f>_xlfn.XLOOKUP(A9,'DB - Identities'!U:U,'DB - Identities'!B:B)</f>
        <v>Rio Tinto Commercial Pte. Ltd.</v>
      </c>
      <c r="I9" t="str">
        <f>_xlfn.XLOOKUP(H9,c_parties,'DB - Contracting Parties'!C:C)</f>
        <v>Corporate</v>
      </c>
      <c r="J9" t="str">
        <f>_xlfn.XLOOKUP(A9,'DB - Identities'!U:U,'DB - Identities'!Q:Q)</f>
        <v>SG</v>
      </c>
      <c r="K9" t="str">
        <f>_xlfn.XLOOKUP(D9,Static!J:J,Static!K:K)</f>
        <v>Submit DP</v>
      </c>
      <c r="L9">
        <f>IF(I9="Bank",_xlfn.XLOOKUP(J9,'Pricing Sheet'!A:A,'Pricing Sheet'!B:B,'Pricing Sheet'!$B$6),IF(I9="Corporate",_xlfn.XLOOKUP(J9,'Pricing Sheet'!F:F,'Pricing Sheet'!G:G,'Pricing Sheet'!$G$6),0))</f>
        <v>25</v>
      </c>
      <c r="M9" t="str">
        <f t="shared" si="2"/>
        <v>OK</v>
      </c>
      <c r="N9" t="str">
        <f t="shared" si="3"/>
        <v>OK</v>
      </c>
    </row>
    <row r="10" spans="1:15">
      <c r="A10" t="str">
        <f>'Input 2 - Transactions'!A10</f>
        <v>ou=trade finance, o=robe river ore sales pty. ltd., l=perth, c=au</v>
      </c>
      <c r="B10" t="str">
        <f>'Input 2 - Transactions'!B10</f>
        <v>ROBE RIVER ORE SALES PTY. LTD.</v>
      </c>
      <c r="C10">
        <f>'Input 2 - Transactions'!C10</f>
        <v>84736786</v>
      </c>
      <c r="D10" t="str">
        <f>'Input 2 - Transactions'!D10</f>
        <v>DemandPresentation.Submit</v>
      </c>
      <c r="E10" t="str">
        <f>'Input 2 - Transactions'!E10</f>
        <v>2021-08-11T04:38:10.076Z</v>
      </c>
      <c r="F10" s="29" t="str">
        <f>'Input 2 - Transactions'!F10</f>
        <v>bd76acba-5d71-48b7-a577-b406809e6e65</v>
      </c>
      <c r="G10" s="29" t="str">
        <f>'Input 2 - Transactions'!G10</f>
        <v>12B9EE88C9C85EF68055F945E88751490BB5998CE270B140FA01FC97FC0620F3</v>
      </c>
      <c r="H10" t="str">
        <f>_xlfn.XLOOKUP(A10,'DB - Identities'!U:U,'DB - Identities'!B:B)</f>
        <v>Rio Tinto Commercial Pte. Ltd.</v>
      </c>
      <c r="I10" t="str">
        <f>_xlfn.XLOOKUP(H10,c_parties,'DB - Contracting Parties'!C:C)</f>
        <v>Corporate</v>
      </c>
      <c r="J10" t="str">
        <f>_xlfn.XLOOKUP(A10,'DB - Identities'!U:U,'DB - Identities'!Q:Q)</f>
        <v>AU</v>
      </c>
      <c r="K10" t="str">
        <f>_xlfn.XLOOKUP(D10,Static!J:J,Static!K:K)</f>
        <v>Submit DP</v>
      </c>
      <c r="L10">
        <f>IF(I10="Bank",_xlfn.XLOOKUP(J10,'Pricing Sheet'!A:A,'Pricing Sheet'!B:B,'Pricing Sheet'!$B$6),IF(I10="Corporate",_xlfn.XLOOKUP(J10,'Pricing Sheet'!F:F,'Pricing Sheet'!G:G,'Pricing Sheet'!$G$6),0))</f>
        <v>25</v>
      </c>
      <c r="M10" t="str">
        <f t="shared" si="2"/>
        <v>OK</v>
      </c>
      <c r="N10" t="str">
        <f t="shared" si="3"/>
        <v>OK</v>
      </c>
    </row>
    <row r="11" spans="1:15">
      <c r="A11">
        <f>'Input 2 - Transactions'!A11</f>
        <v>0</v>
      </c>
      <c r="B11">
        <f>'Input 2 - Transactions'!B11</f>
        <v>0</v>
      </c>
      <c r="C11">
        <f>'Input 2 - Transactions'!C11</f>
        <v>0</v>
      </c>
      <c r="D11">
        <f>'Input 2 - Transactions'!D11</f>
        <v>0</v>
      </c>
      <c r="E11">
        <f>'Input 2 - Transactions'!E11</f>
        <v>0</v>
      </c>
      <c r="F11" s="29">
        <f>'Input 2 - Transactions'!F11</f>
        <v>0</v>
      </c>
      <c r="G11" s="29">
        <f>'Input 2 - Transactions'!G11</f>
        <v>0</v>
      </c>
      <c r="H11" t="e">
        <f>_xlfn.XLOOKUP(A11,'DB - Identities'!U:U,'DB - Identities'!B:B)</f>
        <v>#N/A</v>
      </c>
      <c r="I11" t="e">
        <f>_xlfn.XLOOKUP(H11,c_parties,'DB - Contracting Parties'!C:C)</f>
        <v>#N/A</v>
      </c>
      <c r="J11" t="e">
        <f>_xlfn.XLOOKUP(A11,'DB - Identities'!U:U,'DB - Identities'!Q:Q)</f>
        <v>#N/A</v>
      </c>
      <c r="K11" t="e">
        <f>_xlfn.XLOOKUP(D11,Static!J:J,Static!K:K)</f>
        <v>#N/A</v>
      </c>
      <c r="L11" t="e">
        <f>IF(I11="Bank",_xlfn.XLOOKUP(J11,'Pricing Sheet'!A:A,'Pricing Sheet'!B:B,'Pricing Sheet'!$B$6),IF(I11="Corporate",_xlfn.XLOOKUP(J11,'Pricing Sheet'!F:F,'Pricing Sheet'!G:G,'Pricing Sheet'!$G$6),0))</f>
        <v>#N/A</v>
      </c>
      <c r="M11" t="str">
        <f t="shared" si="2"/>
        <v>OK</v>
      </c>
      <c r="N11" t="str">
        <f t="shared" si="3"/>
        <v>OK</v>
      </c>
    </row>
    <row r="12" spans="1:15">
      <c r="A12">
        <f>'Input 2 - Transactions'!A14</f>
        <v>0</v>
      </c>
      <c r="B12">
        <f>'Input 2 - Transactions'!B14</f>
        <v>0</v>
      </c>
      <c r="C12">
        <f>'Input 2 - Transactions'!C14</f>
        <v>0</v>
      </c>
      <c r="D12">
        <f>'Input 2 - Transactions'!D14</f>
        <v>0</v>
      </c>
      <c r="E12">
        <f>'Input 2 - Transactions'!E14</f>
        <v>0</v>
      </c>
      <c r="F12" s="29">
        <f>'Input 2 - Transactions'!F14</f>
        <v>0</v>
      </c>
      <c r="G12" s="29">
        <f>'Input 2 - Transactions'!G14</f>
        <v>0</v>
      </c>
      <c r="H12" t="e">
        <f>_xlfn.XLOOKUP(A12,'DB - Identities'!U:U,'DB - Identities'!B:B)</f>
        <v>#N/A</v>
      </c>
      <c r="I12" t="e">
        <f>_xlfn.XLOOKUP(H12,c_parties,'DB - Contracting Parties'!C:C)</f>
        <v>#N/A</v>
      </c>
      <c r="J12" t="e">
        <f>_xlfn.XLOOKUP(A12,'DB - Identities'!U:U,'DB - Identities'!Q:Q)</f>
        <v>#N/A</v>
      </c>
      <c r="K12" t="e">
        <f>_xlfn.XLOOKUP(D12,Static!J:J,Static!K:K)</f>
        <v>#N/A</v>
      </c>
      <c r="L12" t="e">
        <f>IF(I12="Bank",_xlfn.XLOOKUP(J12,'Pricing Sheet'!A:A,'Pricing Sheet'!B:B,'Pricing Sheet'!$B$6),IF(I12="Corporate",_xlfn.XLOOKUP(J12,'Pricing Sheet'!F:F,'Pricing Sheet'!G:G,'Pricing Sheet'!$G$6),0))</f>
        <v>#N/A</v>
      </c>
      <c r="M12" t="str">
        <f t="shared" si="2"/>
        <v>OK</v>
      </c>
      <c r="N12" t="str">
        <f t="shared" si="3"/>
        <v>OK</v>
      </c>
    </row>
    <row r="13" spans="1:15">
      <c r="A13">
        <f>'Input 2 - Transactions'!A15</f>
        <v>0</v>
      </c>
      <c r="B13">
        <f>'Input 2 - Transactions'!B15</f>
        <v>0</v>
      </c>
      <c r="C13">
        <f>'Input 2 - Transactions'!C15</f>
        <v>0</v>
      </c>
      <c r="D13">
        <f>'Input 2 - Transactions'!D15</f>
        <v>0</v>
      </c>
      <c r="E13">
        <f>'Input 2 - Transactions'!E15</f>
        <v>0</v>
      </c>
      <c r="F13" s="29">
        <f>'Input 2 - Transactions'!F15</f>
        <v>0</v>
      </c>
      <c r="G13" s="29">
        <f>'Input 2 - Transactions'!G15</f>
        <v>0</v>
      </c>
      <c r="H13" t="e">
        <f>_xlfn.XLOOKUP(A13,'DB - Identities'!U:U,'DB - Identities'!B:B)</f>
        <v>#N/A</v>
      </c>
      <c r="I13" t="e">
        <f>_xlfn.XLOOKUP(H13,c_parties,'DB - Contracting Parties'!C:C)</f>
        <v>#N/A</v>
      </c>
      <c r="J13" t="e">
        <f>_xlfn.XLOOKUP(A13,'DB - Identities'!U:U,'DB - Identities'!Q:Q)</f>
        <v>#N/A</v>
      </c>
      <c r="K13" t="e">
        <f>_xlfn.XLOOKUP(D13,Static!J:J,Static!K:K)</f>
        <v>#N/A</v>
      </c>
      <c r="L13" t="e">
        <f>IF(I13="Bank",_xlfn.XLOOKUP(J13,'Pricing Sheet'!A:A,'Pricing Sheet'!B:B,'Pricing Sheet'!$B$6),IF(I13="Corporate",_xlfn.XLOOKUP(J13,'Pricing Sheet'!F:F,'Pricing Sheet'!G:G,'Pricing Sheet'!$G$6),0))</f>
        <v>#N/A</v>
      </c>
      <c r="M13" t="str">
        <f t="shared" si="2"/>
        <v>OK</v>
      </c>
      <c r="N13" t="str">
        <f t="shared" si="3"/>
        <v>OK</v>
      </c>
    </row>
    <row r="14" spans="1:15">
      <c r="A14">
        <f>'Input 2 - Transactions'!A16</f>
        <v>0</v>
      </c>
      <c r="B14">
        <f>'Input 2 - Transactions'!B16</f>
        <v>0</v>
      </c>
      <c r="C14">
        <f>'Input 2 - Transactions'!C16</f>
        <v>0</v>
      </c>
      <c r="D14">
        <f>'Input 2 - Transactions'!D16</f>
        <v>0</v>
      </c>
      <c r="E14">
        <f>'Input 2 - Transactions'!E16</f>
        <v>0</v>
      </c>
      <c r="F14" s="29">
        <f>'Input 2 - Transactions'!F16</f>
        <v>0</v>
      </c>
      <c r="G14" s="29">
        <f>'Input 2 - Transactions'!G16</f>
        <v>0</v>
      </c>
      <c r="H14" t="e">
        <f>_xlfn.XLOOKUP(A14,'DB - Identities'!U:U,'DB - Identities'!B:B)</f>
        <v>#N/A</v>
      </c>
      <c r="I14" t="e">
        <f>_xlfn.XLOOKUP(H14,c_parties,'DB - Contracting Parties'!C:C)</f>
        <v>#N/A</v>
      </c>
      <c r="J14" t="e">
        <f>_xlfn.XLOOKUP(A14,'DB - Identities'!U:U,'DB - Identities'!Q:Q)</f>
        <v>#N/A</v>
      </c>
      <c r="K14" t="e">
        <f>_xlfn.XLOOKUP(D14,Static!J:J,Static!K:K)</f>
        <v>#N/A</v>
      </c>
      <c r="L14" t="e">
        <f>IF(I14="Bank",_xlfn.XLOOKUP(J14,'Pricing Sheet'!A:A,'Pricing Sheet'!B:B,'Pricing Sheet'!$B$6),IF(I14="Corporate",_xlfn.XLOOKUP(J14,'Pricing Sheet'!F:F,'Pricing Sheet'!G:G,'Pricing Sheet'!$G$6),0))</f>
        <v>#N/A</v>
      </c>
      <c r="M14" t="str">
        <f t="shared" si="2"/>
        <v>OK</v>
      </c>
      <c r="N14" t="str">
        <f t="shared" si="3"/>
        <v>OK</v>
      </c>
    </row>
    <row r="15" spans="1:15">
      <c r="A15">
        <f>'Input 2 - Transactions'!A17</f>
        <v>0</v>
      </c>
      <c r="B15">
        <f>'Input 2 - Transactions'!B17</f>
        <v>0</v>
      </c>
      <c r="C15">
        <f>'Input 2 - Transactions'!C17</f>
        <v>0</v>
      </c>
      <c r="D15">
        <f>'Input 2 - Transactions'!D17</f>
        <v>0</v>
      </c>
      <c r="E15">
        <f>'Input 2 - Transactions'!E17</f>
        <v>0</v>
      </c>
      <c r="F15" s="29">
        <f>'Input 2 - Transactions'!F17</f>
        <v>0</v>
      </c>
      <c r="G15" s="29">
        <f>'Input 2 - Transactions'!G17</f>
        <v>0</v>
      </c>
      <c r="H15" t="e">
        <f>_xlfn.XLOOKUP(A15,'DB - Identities'!U:U,'DB - Identities'!B:B)</f>
        <v>#N/A</v>
      </c>
      <c r="I15" t="e">
        <f>_xlfn.XLOOKUP(H15,c_parties,'DB - Contracting Parties'!C:C)</f>
        <v>#N/A</v>
      </c>
      <c r="J15" t="e">
        <f>_xlfn.XLOOKUP(A15,'DB - Identities'!U:U,'DB - Identities'!Q:Q)</f>
        <v>#N/A</v>
      </c>
      <c r="K15" t="e">
        <f>_xlfn.XLOOKUP(D15,Static!J:J,Static!K:K)</f>
        <v>#N/A</v>
      </c>
      <c r="L15" t="e">
        <f>IF(I15="Bank",_xlfn.XLOOKUP(J15,'Pricing Sheet'!A:A,'Pricing Sheet'!B:B,'Pricing Sheet'!$B$6),IF(I15="Corporate",_xlfn.XLOOKUP(J15,'Pricing Sheet'!F:F,'Pricing Sheet'!G:G,'Pricing Sheet'!$G$6),0))</f>
        <v>#N/A</v>
      </c>
      <c r="M15" t="str">
        <f t="shared" si="2"/>
        <v>OK</v>
      </c>
      <c r="N15" t="str">
        <f t="shared" si="3"/>
        <v>OK</v>
      </c>
    </row>
    <row r="16" spans="1:15">
      <c r="A16">
        <f>'Input 2 - Transactions'!A18</f>
        <v>0</v>
      </c>
      <c r="B16">
        <f>'Input 2 - Transactions'!B18</f>
        <v>0</v>
      </c>
      <c r="C16">
        <f>'Input 2 - Transactions'!C18</f>
        <v>0</v>
      </c>
      <c r="D16">
        <f>'Input 2 - Transactions'!D18</f>
        <v>0</v>
      </c>
      <c r="E16">
        <f>'Input 2 - Transactions'!E18</f>
        <v>0</v>
      </c>
      <c r="F16" s="29">
        <f>'Input 2 - Transactions'!F18</f>
        <v>0</v>
      </c>
      <c r="G16" s="29">
        <f>'Input 2 - Transactions'!G18</f>
        <v>0</v>
      </c>
      <c r="H16" t="e">
        <f>_xlfn.XLOOKUP(A16,'DB - Identities'!U:U,'DB - Identities'!B:B)</f>
        <v>#N/A</v>
      </c>
      <c r="I16" t="e">
        <f>_xlfn.XLOOKUP(H16,c_parties,'DB - Contracting Parties'!C:C)</f>
        <v>#N/A</v>
      </c>
      <c r="J16" t="e">
        <f>_xlfn.XLOOKUP(A16,'DB - Identities'!U:U,'DB - Identities'!Q:Q)</f>
        <v>#N/A</v>
      </c>
      <c r="K16" t="e">
        <f>_xlfn.XLOOKUP(D16,Static!J:J,Static!K:K)</f>
        <v>#N/A</v>
      </c>
      <c r="L16" t="e">
        <f>IF(I16="Bank",_xlfn.XLOOKUP(J16,'Pricing Sheet'!A:A,'Pricing Sheet'!B:B,'Pricing Sheet'!$B$6),IF(I16="Corporate",_xlfn.XLOOKUP(J16,'Pricing Sheet'!F:F,'Pricing Sheet'!G:G,'Pricing Sheet'!$G$6),0))</f>
        <v>#N/A</v>
      </c>
      <c r="M16" t="str">
        <f t="shared" si="2"/>
        <v>OK</v>
      </c>
      <c r="N16" t="str">
        <f t="shared" si="3"/>
        <v>OK</v>
      </c>
    </row>
    <row r="17" spans="1:14">
      <c r="A17">
        <f>'Input 2 - Transactions'!A19</f>
        <v>0</v>
      </c>
      <c r="B17">
        <f>'Input 2 - Transactions'!B19</f>
        <v>0</v>
      </c>
      <c r="C17">
        <f>'Input 2 - Transactions'!C19</f>
        <v>0</v>
      </c>
      <c r="D17">
        <f>'Input 2 - Transactions'!D19</f>
        <v>0</v>
      </c>
      <c r="E17">
        <f>'Input 2 - Transactions'!E19</f>
        <v>0</v>
      </c>
      <c r="F17" s="29">
        <f>'Input 2 - Transactions'!F19</f>
        <v>0</v>
      </c>
      <c r="G17" s="29">
        <f>'Input 2 - Transactions'!G19</f>
        <v>0</v>
      </c>
      <c r="H17" t="e">
        <f>_xlfn.XLOOKUP(A17,'DB - Identities'!U:U,'DB - Identities'!B:B)</f>
        <v>#N/A</v>
      </c>
      <c r="I17" t="e">
        <f>_xlfn.XLOOKUP(H17,c_parties,'DB - Contracting Parties'!C:C)</f>
        <v>#N/A</v>
      </c>
      <c r="J17" t="e">
        <f>_xlfn.XLOOKUP(A17,'DB - Identities'!U:U,'DB - Identities'!Q:Q)</f>
        <v>#N/A</v>
      </c>
      <c r="K17" t="e">
        <f>_xlfn.XLOOKUP(D17,Static!J:J,Static!K:K)</f>
        <v>#N/A</v>
      </c>
      <c r="L17" t="e">
        <f>IF(I17="Bank",_xlfn.XLOOKUP(J17,'Pricing Sheet'!A:A,'Pricing Sheet'!B:B,'Pricing Sheet'!$B$6),IF(I17="Corporate",_xlfn.XLOOKUP(J17,'Pricing Sheet'!F:F,'Pricing Sheet'!G:G,'Pricing Sheet'!$G$6),0))</f>
        <v>#N/A</v>
      </c>
      <c r="M17" t="str">
        <f t="shared" si="2"/>
        <v>OK</v>
      </c>
      <c r="N17" t="str">
        <f t="shared" si="3"/>
        <v>OK</v>
      </c>
    </row>
    <row r="18" spans="1:14">
      <c r="A18">
        <f>'Input 2 - Transactions'!A20</f>
        <v>0</v>
      </c>
      <c r="B18">
        <f>'Input 2 - Transactions'!B20</f>
        <v>0</v>
      </c>
      <c r="C18">
        <f>'Input 2 - Transactions'!C20</f>
        <v>0</v>
      </c>
      <c r="D18">
        <f>'Input 2 - Transactions'!D20</f>
        <v>0</v>
      </c>
      <c r="E18">
        <f>'Input 2 - Transactions'!E20</f>
        <v>0</v>
      </c>
      <c r="F18" s="29">
        <f>'Input 2 - Transactions'!F20</f>
        <v>0</v>
      </c>
      <c r="G18" s="29">
        <f>'Input 2 - Transactions'!G20</f>
        <v>0</v>
      </c>
      <c r="H18" t="e">
        <f>_xlfn.XLOOKUP(A18,'DB - Identities'!U:U,'DB - Identities'!B:B)</f>
        <v>#N/A</v>
      </c>
      <c r="I18" t="e">
        <f>_xlfn.XLOOKUP(H18,c_parties,'DB - Contracting Parties'!C:C)</f>
        <v>#N/A</v>
      </c>
      <c r="J18" t="e">
        <f>_xlfn.XLOOKUP(A18,'DB - Identities'!U:U,'DB - Identities'!Q:Q)</f>
        <v>#N/A</v>
      </c>
      <c r="K18" t="e">
        <f>_xlfn.XLOOKUP(D18,Static!J:J,Static!K:K)</f>
        <v>#N/A</v>
      </c>
      <c r="L18" t="e">
        <f>IF(I18="Bank",_xlfn.XLOOKUP(J18,'Pricing Sheet'!A:A,'Pricing Sheet'!B:B,'Pricing Sheet'!$B$6),IF(I18="Corporate",_xlfn.XLOOKUP(J18,'Pricing Sheet'!F:F,'Pricing Sheet'!G:G,'Pricing Sheet'!$G$6),0))</f>
        <v>#N/A</v>
      </c>
      <c r="M18" t="str">
        <f t="shared" si="2"/>
        <v>OK</v>
      </c>
      <c r="N18" t="str">
        <f t="shared" si="3"/>
        <v>OK</v>
      </c>
    </row>
    <row r="19" spans="1:14">
      <c r="A19">
        <f>'Input 2 - Transactions'!A21</f>
        <v>0</v>
      </c>
      <c r="B19">
        <f>'Input 2 - Transactions'!B21</f>
        <v>0</v>
      </c>
      <c r="C19">
        <f>'Input 2 - Transactions'!C21</f>
        <v>0</v>
      </c>
      <c r="D19">
        <f>'Input 2 - Transactions'!D21</f>
        <v>0</v>
      </c>
      <c r="E19">
        <f>'Input 2 - Transactions'!E21</f>
        <v>0</v>
      </c>
      <c r="F19" s="29">
        <f>'Input 2 - Transactions'!F21</f>
        <v>0</v>
      </c>
      <c r="G19" s="29">
        <f>'Input 2 - Transactions'!G21</f>
        <v>0</v>
      </c>
      <c r="H19" t="e">
        <f>_xlfn.XLOOKUP(A19,'DB - Identities'!U:U,'DB - Identities'!B:B)</f>
        <v>#N/A</v>
      </c>
      <c r="I19" t="e">
        <f>_xlfn.XLOOKUP(H19,c_parties,'DB - Contracting Parties'!C:C)</f>
        <v>#N/A</v>
      </c>
      <c r="J19" t="e">
        <f>_xlfn.XLOOKUP(A19,'DB - Identities'!U:U,'DB - Identities'!Q:Q)</f>
        <v>#N/A</v>
      </c>
      <c r="K19" t="e">
        <f>_xlfn.XLOOKUP(D19,Static!J:J,Static!K:K)</f>
        <v>#N/A</v>
      </c>
      <c r="L19" t="e">
        <f>IF(I19="Bank",_xlfn.XLOOKUP(J19,'Pricing Sheet'!A:A,'Pricing Sheet'!B:B,'Pricing Sheet'!$B$6),IF(I19="Corporate",_xlfn.XLOOKUP(J19,'Pricing Sheet'!F:F,'Pricing Sheet'!G:G,'Pricing Sheet'!$G$6),0))</f>
        <v>#N/A</v>
      </c>
      <c r="M19" t="str">
        <f t="shared" si="2"/>
        <v>OK</v>
      </c>
      <c r="N19" t="str">
        <f t="shared" si="3"/>
        <v>OK</v>
      </c>
    </row>
    <row r="20" spans="1:14">
      <c r="A20">
        <f>'Input 2 - Transactions'!A22</f>
        <v>0</v>
      </c>
      <c r="B20">
        <f>'Input 2 - Transactions'!B22</f>
        <v>0</v>
      </c>
      <c r="C20">
        <f>'Input 2 - Transactions'!C22</f>
        <v>0</v>
      </c>
      <c r="D20">
        <f>'Input 2 - Transactions'!D22</f>
        <v>0</v>
      </c>
      <c r="E20">
        <f>'Input 2 - Transactions'!E22</f>
        <v>0</v>
      </c>
      <c r="F20" s="29">
        <f>'Input 2 - Transactions'!F22</f>
        <v>0</v>
      </c>
      <c r="G20" s="29">
        <f>'Input 2 - Transactions'!G22</f>
        <v>0</v>
      </c>
      <c r="H20" t="e">
        <f>_xlfn.XLOOKUP(A20,'DB - Identities'!U:U,'DB - Identities'!B:B)</f>
        <v>#N/A</v>
      </c>
      <c r="I20" t="e">
        <f>_xlfn.XLOOKUP(H20,c_parties,'DB - Contracting Parties'!C:C)</f>
        <v>#N/A</v>
      </c>
      <c r="J20" t="e">
        <f>_xlfn.XLOOKUP(A20,'DB - Identities'!U:U,'DB - Identities'!Q:Q)</f>
        <v>#N/A</v>
      </c>
      <c r="K20" t="e">
        <f>_xlfn.XLOOKUP(D20,Static!J:J,Static!K:K)</f>
        <v>#N/A</v>
      </c>
      <c r="L20" t="e">
        <f>IF(I20="Bank",_xlfn.XLOOKUP(J20,'Pricing Sheet'!A:A,'Pricing Sheet'!B:B,'Pricing Sheet'!$B$6),IF(I20="Corporate",_xlfn.XLOOKUP(J20,'Pricing Sheet'!F:F,'Pricing Sheet'!G:G,'Pricing Sheet'!$G$6),0))</f>
        <v>#N/A</v>
      </c>
      <c r="M20" t="str">
        <f t="shared" si="2"/>
        <v>OK</v>
      </c>
      <c r="N20" t="str">
        <f t="shared" si="3"/>
        <v>OK</v>
      </c>
    </row>
    <row r="21" spans="1:14">
      <c r="A21">
        <f>'Input 2 - Transactions'!A23</f>
        <v>0</v>
      </c>
      <c r="B21">
        <f>'Input 2 - Transactions'!B23</f>
        <v>0</v>
      </c>
      <c r="C21">
        <f>'Input 2 - Transactions'!C23</f>
        <v>0</v>
      </c>
      <c r="D21">
        <f>'Input 2 - Transactions'!D23</f>
        <v>0</v>
      </c>
      <c r="E21">
        <f>'Input 2 - Transactions'!E23</f>
        <v>0</v>
      </c>
      <c r="F21" s="29">
        <f>'Input 2 - Transactions'!F23</f>
        <v>0</v>
      </c>
      <c r="G21" s="29">
        <f>'Input 2 - Transactions'!G23</f>
        <v>0</v>
      </c>
      <c r="H21" t="e">
        <f>_xlfn.XLOOKUP(A21,'DB - Identities'!U:U,'DB - Identities'!B:B)</f>
        <v>#N/A</v>
      </c>
      <c r="I21" t="e">
        <f>_xlfn.XLOOKUP(H21,c_parties,'DB - Contracting Parties'!C:C)</f>
        <v>#N/A</v>
      </c>
      <c r="J21" t="e">
        <f>_xlfn.XLOOKUP(A21,'DB - Identities'!U:U,'DB - Identities'!Q:Q)</f>
        <v>#N/A</v>
      </c>
      <c r="K21" t="e">
        <f>_xlfn.XLOOKUP(D21,Static!J:J,Static!K:K)</f>
        <v>#N/A</v>
      </c>
      <c r="L21" t="e">
        <f>IF(I21="Bank",_xlfn.XLOOKUP(J21,'Pricing Sheet'!A:A,'Pricing Sheet'!B:B,'Pricing Sheet'!$B$6),IF(I21="Corporate",_xlfn.XLOOKUP(J21,'Pricing Sheet'!F:F,'Pricing Sheet'!G:G,'Pricing Sheet'!$G$6),0))</f>
        <v>#N/A</v>
      </c>
      <c r="M21" t="str">
        <f t="shared" si="2"/>
        <v>OK</v>
      </c>
      <c r="N21" t="str">
        <f t="shared" si="3"/>
        <v>OK</v>
      </c>
    </row>
    <row r="22" spans="1:14">
      <c r="A22">
        <f>'Input 2 - Transactions'!A24</f>
        <v>0</v>
      </c>
      <c r="B22">
        <f>'Input 2 - Transactions'!B24</f>
        <v>0</v>
      </c>
      <c r="C22">
        <f>'Input 2 - Transactions'!C24</f>
        <v>0</v>
      </c>
      <c r="D22">
        <f>'Input 2 - Transactions'!D24</f>
        <v>0</v>
      </c>
      <c r="E22">
        <f>'Input 2 - Transactions'!E24</f>
        <v>0</v>
      </c>
      <c r="F22" s="29">
        <f>'Input 2 - Transactions'!F24</f>
        <v>0</v>
      </c>
      <c r="G22" s="29">
        <f>'Input 2 - Transactions'!G24</f>
        <v>0</v>
      </c>
      <c r="H22" t="e">
        <f>_xlfn.XLOOKUP(A22,'DB - Identities'!U:U,'DB - Identities'!B:B)</f>
        <v>#N/A</v>
      </c>
      <c r="I22" t="e">
        <f>_xlfn.XLOOKUP(H22,c_parties,'DB - Contracting Parties'!C:C)</f>
        <v>#N/A</v>
      </c>
      <c r="J22" t="e">
        <f>_xlfn.XLOOKUP(A22,'DB - Identities'!U:U,'DB - Identities'!Q:Q)</f>
        <v>#N/A</v>
      </c>
      <c r="K22" t="e">
        <f>_xlfn.XLOOKUP(D22,Static!J:J,Static!K:K)</f>
        <v>#N/A</v>
      </c>
      <c r="L22" t="e">
        <f>IF(I22="Bank",_xlfn.XLOOKUP(J22,'Pricing Sheet'!A:A,'Pricing Sheet'!B:B,'Pricing Sheet'!$B$6),IF(I22="Corporate",_xlfn.XLOOKUP(J22,'Pricing Sheet'!F:F,'Pricing Sheet'!G:G,'Pricing Sheet'!$G$6),0))</f>
        <v>#N/A</v>
      </c>
      <c r="M22" t="str">
        <f t="shared" si="2"/>
        <v>OK</v>
      </c>
      <c r="N22" t="str">
        <f t="shared" si="3"/>
        <v>OK</v>
      </c>
    </row>
    <row r="23" spans="1:14">
      <c r="A23">
        <f>'Input 2 - Transactions'!A25</f>
        <v>0</v>
      </c>
      <c r="B23">
        <f>'Input 2 - Transactions'!B25</f>
        <v>0</v>
      </c>
      <c r="C23">
        <f>'Input 2 - Transactions'!C25</f>
        <v>0</v>
      </c>
      <c r="D23">
        <f>'Input 2 - Transactions'!D25</f>
        <v>0</v>
      </c>
      <c r="E23">
        <f>'Input 2 - Transactions'!E25</f>
        <v>0</v>
      </c>
      <c r="F23" s="29">
        <f>'Input 2 - Transactions'!F25</f>
        <v>0</v>
      </c>
      <c r="G23" s="29">
        <f>'Input 2 - Transactions'!G25</f>
        <v>0</v>
      </c>
      <c r="H23" t="e">
        <f>_xlfn.XLOOKUP(A23,'DB - Identities'!U:U,'DB - Identities'!B:B)</f>
        <v>#N/A</v>
      </c>
      <c r="I23" t="e">
        <f>_xlfn.XLOOKUP(H23,c_parties,'DB - Contracting Parties'!C:C)</f>
        <v>#N/A</v>
      </c>
      <c r="J23" t="e">
        <f>_xlfn.XLOOKUP(A23,'DB - Identities'!U:U,'DB - Identities'!Q:Q)</f>
        <v>#N/A</v>
      </c>
      <c r="K23" t="e">
        <f>_xlfn.XLOOKUP(D23,Static!J:J,Static!K:K)</f>
        <v>#N/A</v>
      </c>
      <c r="L23" t="e">
        <f>IF(I23="Bank",_xlfn.XLOOKUP(J23,'Pricing Sheet'!A:A,'Pricing Sheet'!B:B,'Pricing Sheet'!$B$6),IF(I23="Corporate",_xlfn.XLOOKUP(J23,'Pricing Sheet'!F:F,'Pricing Sheet'!G:G,'Pricing Sheet'!$G$6),0))</f>
        <v>#N/A</v>
      </c>
      <c r="M23" t="str">
        <f t="shared" si="2"/>
        <v>OK</v>
      </c>
      <c r="N23" t="str">
        <f t="shared" si="3"/>
        <v>OK</v>
      </c>
    </row>
    <row r="24" spans="1:14">
      <c r="A24">
        <f>'Input 2 - Transactions'!A26</f>
        <v>0</v>
      </c>
      <c r="B24">
        <f>'Input 2 - Transactions'!B26</f>
        <v>0</v>
      </c>
      <c r="C24">
        <f>'Input 2 - Transactions'!C26</f>
        <v>0</v>
      </c>
      <c r="D24">
        <f>'Input 2 - Transactions'!D26</f>
        <v>0</v>
      </c>
      <c r="E24">
        <f>'Input 2 - Transactions'!E26</f>
        <v>0</v>
      </c>
      <c r="F24" s="29">
        <f>'Input 2 - Transactions'!F26</f>
        <v>0</v>
      </c>
      <c r="G24" s="29">
        <f>'Input 2 - Transactions'!G26</f>
        <v>0</v>
      </c>
      <c r="H24" t="e">
        <f>_xlfn.XLOOKUP(A24,'DB - Identities'!U:U,'DB - Identities'!B:B)</f>
        <v>#N/A</v>
      </c>
      <c r="I24" t="e">
        <f>_xlfn.XLOOKUP(H24,c_parties,'DB - Contracting Parties'!C:C)</f>
        <v>#N/A</v>
      </c>
      <c r="J24" t="e">
        <f>_xlfn.XLOOKUP(A24,'DB - Identities'!U:U,'DB - Identities'!Q:Q)</f>
        <v>#N/A</v>
      </c>
      <c r="K24" t="e">
        <f>_xlfn.XLOOKUP(D24,Static!J:J,Static!K:K)</f>
        <v>#N/A</v>
      </c>
      <c r="L24" t="e">
        <f>IF(I24="Bank",_xlfn.XLOOKUP(J24,'Pricing Sheet'!A:A,'Pricing Sheet'!B:B,'Pricing Sheet'!$B$6),IF(I24="Corporate",_xlfn.XLOOKUP(J24,'Pricing Sheet'!F:F,'Pricing Sheet'!G:G,'Pricing Sheet'!$G$6),0))</f>
        <v>#N/A</v>
      </c>
      <c r="M24" t="str">
        <f t="shared" si="2"/>
        <v>OK</v>
      </c>
      <c r="N24" t="str">
        <f t="shared" si="3"/>
        <v>OK</v>
      </c>
    </row>
    <row r="25" spans="1:14">
      <c r="A25">
        <f>'Input 2 - Transactions'!A27</f>
        <v>0</v>
      </c>
      <c r="B25">
        <f>'Input 2 - Transactions'!B27</f>
        <v>0</v>
      </c>
      <c r="C25">
        <f>'Input 2 - Transactions'!C27</f>
        <v>0</v>
      </c>
      <c r="D25">
        <f>'Input 2 - Transactions'!D27</f>
        <v>0</v>
      </c>
      <c r="E25">
        <f>'Input 2 - Transactions'!E27</f>
        <v>0</v>
      </c>
      <c r="F25" s="29">
        <f>'Input 2 - Transactions'!F27</f>
        <v>0</v>
      </c>
      <c r="G25" s="29">
        <f>'Input 2 - Transactions'!G27</f>
        <v>0</v>
      </c>
      <c r="H25" t="e">
        <f>_xlfn.XLOOKUP(A25,'DB - Identities'!U:U,'DB - Identities'!B:B)</f>
        <v>#N/A</v>
      </c>
      <c r="I25" t="e">
        <f>_xlfn.XLOOKUP(H25,c_parties,'DB - Contracting Parties'!C:C)</f>
        <v>#N/A</v>
      </c>
      <c r="J25" t="e">
        <f>_xlfn.XLOOKUP(A25,'DB - Identities'!U:U,'DB - Identities'!Q:Q)</f>
        <v>#N/A</v>
      </c>
      <c r="K25" t="e">
        <f>_xlfn.XLOOKUP(D25,Static!J:J,Static!K:K)</f>
        <v>#N/A</v>
      </c>
      <c r="L25" t="e">
        <f>IF(I25="Bank",_xlfn.XLOOKUP(J25,'Pricing Sheet'!A:A,'Pricing Sheet'!B:B,'Pricing Sheet'!$B$6),IF(I25="Corporate",_xlfn.XLOOKUP(J25,'Pricing Sheet'!F:F,'Pricing Sheet'!G:G,'Pricing Sheet'!$G$6),0))</f>
        <v>#N/A</v>
      </c>
      <c r="M25" t="str">
        <f t="shared" si="2"/>
        <v>OK</v>
      </c>
      <c r="N25" t="str">
        <f t="shared" si="3"/>
        <v>OK</v>
      </c>
    </row>
    <row r="26" spans="1:14">
      <c r="A26">
        <f>'Input 2 - Transactions'!A28</f>
        <v>0</v>
      </c>
      <c r="B26">
        <f>'Input 2 - Transactions'!B28</f>
        <v>0</v>
      </c>
      <c r="C26">
        <f>'Input 2 - Transactions'!C28</f>
        <v>0</v>
      </c>
      <c r="D26">
        <f>'Input 2 - Transactions'!D28</f>
        <v>0</v>
      </c>
      <c r="E26">
        <f>'Input 2 - Transactions'!E28</f>
        <v>0</v>
      </c>
      <c r="F26" s="29">
        <f>'Input 2 - Transactions'!F28</f>
        <v>0</v>
      </c>
      <c r="G26" s="29">
        <f>'Input 2 - Transactions'!G28</f>
        <v>0</v>
      </c>
      <c r="H26" t="e">
        <f>_xlfn.XLOOKUP(A26,'DB - Identities'!U:U,'DB - Identities'!B:B)</f>
        <v>#N/A</v>
      </c>
      <c r="I26" t="e">
        <f>_xlfn.XLOOKUP(H26,c_parties,'DB - Contracting Parties'!C:C)</f>
        <v>#N/A</v>
      </c>
      <c r="J26" t="e">
        <f>_xlfn.XLOOKUP(A26,'DB - Identities'!U:U,'DB - Identities'!Q:Q)</f>
        <v>#N/A</v>
      </c>
      <c r="K26" t="e">
        <f>_xlfn.XLOOKUP(D26,Static!J:J,Static!K:K)</f>
        <v>#N/A</v>
      </c>
      <c r="L26" t="e">
        <f>IF(I26="Bank",_xlfn.XLOOKUP(J26,'Pricing Sheet'!A:A,'Pricing Sheet'!B:B,'Pricing Sheet'!$B$6),IF(I26="Corporate",_xlfn.XLOOKUP(J26,'Pricing Sheet'!F:F,'Pricing Sheet'!G:G,'Pricing Sheet'!$G$6),0))</f>
        <v>#N/A</v>
      </c>
      <c r="M26" t="str">
        <f t="shared" si="2"/>
        <v>OK</v>
      </c>
      <c r="N26" t="str">
        <f t="shared" si="3"/>
        <v>OK</v>
      </c>
    </row>
    <row r="27" spans="1:14">
      <c r="A27">
        <f>'Input 2 - Transactions'!A29</f>
        <v>0</v>
      </c>
      <c r="B27">
        <f>'Input 2 - Transactions'!B29</f>
        <v>0</v>
      </c>
      <c r="C27">
        <f>'Input 2 - Transactions'!C29</f>
        <v>0</v>
      </c>
      <c r="D27">
        <f>'Input 2 - Transactions'!D29</f>
        <v>0</v>
      </c>
      <c r="E27">
        <f>'Input 2 - Transactions'!E29</f>
        <v>0</v>
      </c>
      <c r="F27" s="29">
        <f>'Input 2 - Transactions'!F29</f>
        <v>0</v>
      </c>
      <c r="G27" s="29">
        <f>'Input 2 - Transactions'!G29</f>
        <v>0</v>
      </c>
      <c r="H27" t="e">
        <f>_xlfn.XLOOKUP(A27,'DB - Identities'!U:U,'DB - Identities'!B:B)</f>
        <v>#N/A</v>
      </c>
      <c r="I27" t="e">
        <f>_xlfn.XLOOKUP(H27,c_parties,'DB - Contracting Parties'!C:C)</f>
        <v>#N/A</v>
      </c>
      <c r="J27" t="e">
        <f>_xlfn.XLOOKUP(A27,'DB - Identities'!U:U,'DB - Identities'!Q:Q)</f>
        <v>#N/A</v>
      </c>
      <c r="K27" t="e">
        <f>_xlfn.XLOOKUP(D27,Static!J:J,Static!K:K)</f>
        <v>#N/A</v>
      </c>
      <c r="L27" t="e">
        <f>IF(I27="Bank",_xlfn.XLOOKUP(J27,'Pricing Sheet'!A:A,'Pricing Sheet'!B:B,'Pricing Sheet'!$B$6),IF(I27="Corporate",_xlfn.XLOOKUP(J27,'Pricing Sheet'!F:F,'Pricing Sheet'!G:G,'Pricing Sheet'!$G$6),0))</f>
        <v>#N/A</v>
      </c>
      <c r="M27" t="str">
        <f t="shared" si="2"/>
        <v>OK</v>
      </c>
      <c r="N27" t="str">
        <f t="shared" si="3"/>
        <v>OK</v>
      </c>
    </row>
    <row r="28" spans="1:14">
      <c r="A28">
        <f>'Input 2 - Transactions'!A30</f>
        <v>0</v>
      </c>
      <c r="B28">
        <f>'Input 2 - Transactions'!B30</f>
        <v>0</v>
      </c>
      <c r="C28">
        <f>'Input 2 - Transactions'!C30</f>
        <v>0</v>
      </c>
      <c r="D28">
        <f>'Input 2 - Transactions'!D30</f>
        <v>0</v>
      </c>
      <c r="E28">
        <f>'Input 2 - Transactions'!E30</f>
        <v>0</v>
      </c>
      <c r="F28" s="29">
        <f>'Input 2 - Transactions'!F30</f>
        <v>0</v>
      </c>
      <c r="G28" s="29">
        <f>'Input 2 - Transactions'!G30</f>
        <v>0</v>
      </c>
      <c r="H28" t="e">
        <f>_xlfn.XLOOKUP(A28,'DB - Identities'!U:U,'DB - Identities'!B:B)</f>
        <v>#N/A</v>
      </c>
      <c r="I28" t="e">
        <f>_xlfn.XLOOKUP(H28,c_parties,'DB - Contracting Parties'!C:C)</f>
        <v>#N/A</v>
      </c>
      <c r="J28" t="e">
        <f>_xlfn.XLOOKUP(A28,'DB - Identities'!U:U,'DB - Identities'!Q:Q)</f>
        <v>#N/A</v>
      </c>
      <c r="K28" t="e">
        <f>_xlfn.XLOOKUP(D28,Static!J:J,Static!K:K)</f>
        <v>#N/A</v>
      </c>
      <c r="L28" t="e">
        <f>IF(I28="Bank",_xlfn.XLOOKUP(J28,'Pricing Sheet'!A:A,'Pricing Sheet'!B:B,'Pricing Sheet'!$B$6),IF(I28="Corporate",_xlfn.XLOOKUP(J28,'Pricing Sheet'!F:F,'Pricing Sheet'!G:G,'Pricing Sheet'!$G$6),0))</f>
        <v>#N/A</v>
      </c>
      <c r="M28" t="str">
        <f t="shared" si="2"/>
        <v>OK</v>
      </c>
      <c r="N28" t="str">
        <f t="shared" si="3"/>
        <v>OK</v>
      </c>
    </row>
    <row r="29" spans="1:14">
      <c r="A29">
        <f>'Input 2 - Transactions'!A31</f>
        <v>0</v>
      </c>
      <c r="B29">
        <f>'Input 2 - Transactions'!B31</f>
        <v>0</v>
      </c>
      <c r="C29">
        <f>'Input 2 - Transactions'!C31</f>
        <v>0</v>
      </c>
      <c r="D29">
        <f>'Input 2 - Transactions'!D31</f>
        <v>0</v>
      </c>
      <c r="E29">
        <f>'Input 2 - Transactions'!E31</f>
        <v>0</v>
      </c>
      <c r="F29" s="29">
        <f>'Input 2 - Transactions'!F31</f>
        <v>0</v>
      </c>
      <c r="G29" s="29">
        <f>'Input 2 - Transactions'!G31</f>
        <v>0</v>
      </c>
      <c r="H29" t="e">
        <f>_xlfn.XLOOKUP(A29,'DB - Identities'!U:U,'DB - Identities'!B:B)</f>
        <v>#N/A</v>
      </c>
      <c r="I29" t="e">
        <f>_xlfn.XLOOKUP(H29,c_parties,'DB - Contracting Parties'!C:C)</f>
        <v>#N/A</v>
      </c>
      <c r="J29" t="e">
        <f>_xlfn.XLOOKUP(A29,'DB - Identities'!U:U,'DB - Identities'!Q:Q)</f>
        <v>#N/A</v>
      </c>
      <c r="K29" t="e">
        <f>_xlfn.XLOOKUP(D29,Static!J:J,Static!K:K)</f>
        <v>#N/A</v>
      </c>
      <c r="L29" t="e">
        <f>IF(I29="Bank",_xlfn.XLOOKUP(J29,'Pricing Sheet'!A:A,'Pricing Sheet'!B:B,'Pricing Sheet'!$B$6),IF(I29="Corporate",_xlfn.XLOOKUP(J29,'Pricing Sheet'!F:F,'Pricing Sheet'!G:G,'Pricing Sheet'!$G$6),0))</f>
        <v>#N/A</v>
      </c>
      <c r="M29" t="str">
        <f t="shared" si="2"/>
        <v>OK</v>
      </c>
      <c r="N29" t="str">
        <f t="shared" si="3"/>
        <v>OK</v>
      </c>
    </row>
    <row r="30" spans="1:14">
      <c r="A30">
        <f>'Input 2 - Transactions'!A32</f>
        <v>0</v>
      </c>
      <c r="B30">
        <f>'Input 2 - Transactions'!B32</f>
        <v>0</v>
      </c>
      <c r="C30">
        <f>'Input 2 - Transactions'!C32</f>
        <v>0</v>
      </c>
      <c r="D30">
        <f>'Input 2 - Transactions'!D32</f>
        <v>0</v>
      </c>
      <c r="E30">
        <f>'Input 2 - Transactions'!E32</f>
        <v>0</v>
      </c>
      <c r="F30" s="29">
        <f>'Input 2 - Transactions'!F32</f>
        <v>0</v>
      </c>
      <c r="G30" s="29">
        <f>'Input 2 - Transactions'!G32</f>
        <v>0</v>
      </c>
      <c r="H30" t="e">
        <f>_xlfn.XLOOKUP(A30,'DB - Identities'!U:U,'DB - Identities'!B:B)</f>
        <v>#N/A</v>
      </c>
      <c r="I30" t="e">
        <f>_xlfn.XLOOKUP(H30,c_parties,'DB - Contracting Parties'!C:C)</f>
        <v>#N/A</v>
      </c>
      <c r="J30" t="e">
        <f>_xlfn.XLOOKUP(A30,'DB - Identities'!U:U,'DB - Identities'!Q:Q)</f>
        <v>#N/A</v>
      </c>
      <c r="K30" t="e">
        <f>_xlfn.XLOOKUP(D30,Static!J:J,Static!K:K)</f>
        <v>#N/A</v>
      </c>
      <c r="L30" t="e">
        <f>IF(I30="Bank",_xlfn.XLOOKUP(J30,'Pricing Sheet'!A:A,'Pricing Sheet'!B:B,'Pricing Sheet'!$B$6),IF(I30="Corporate",_xlfn.XLOOKUP(J30,'Pricing Sheet'!F:F,'Pricing Sheet'!G:G,'Pricing Sheet'!$G$6),0))</f>
        <v>#N/A</v>
      </c>
      <c r="M30" t="str">
        <f t="shared" si="2"/>
        <v>OK</v>
      </c>
      <c r="N30" t="str">
        <f t="shared" si="3"/>
        <v>OK</v>
      </c>
    </row>
    <row r="31" spans="1:14">
      <c r="A31">
        <f>'Input 2 - Transactions'!A33</f>
        <v>0</v>
      </c>
      <c r="B31">
        <f>'Input 2 - Transactions'!B33</f>
        <v>0</v>
      </c>
      <c r="C31">
        <f>'Input 2 - Transactions'!C33</f>
        <v>0</v>
      </c>
      <c r="D31">
        <f>'Input 2 - Transactions'!D33</f>
        <v>0</v>
      </c>
      <c r="E31">
        <f>'Input 2 - Transactions'!E33</f>
        <v>0</v>
      </c>
      <c r="F31" s="29">
        <f>'Input 2 - Transactions'!F33</f>
        <v>0</v>
      </c>
      <c r="G31" s="29">
        <f>'Input 2 - Transactions'!G33</f>
        <v>0</v>
      </c>
      <c r="H31" t="e">
        <f>_xlfn.XLOOKUP(A31,'DB - Identities'!U:U,'DB - Identities'!B:B)</f>
        <v>#N/A</v>
      </c>
      <c r="I31" t="e">
        <f>_xlfn.XLOOKUP(H31,c_parties,'DB - Contracting Parties'!C:C)</f>
        <v>#N/A</v>
      </c>
      <c r="J31" t="e">
        <f>_xlfn.XLOOKUP(A31,'DB - Identities'!U:U,'DB - Identities'!Q:Q)</f>
        <v>#N/A</v>
      </c>
      <c r="K31" t="e">
        <f>_xlfn.XLOOKUP(D31,Static!J:J,Static!K:K)</f>
        <v>#N/A</v>
      </c>
      <c r="L31" t="e">
        <f>IF(I31="Bank",_xlfn.XLOOKUP(J31,'Pricing Sheet'!A:A,'Pricing Sheet'!B:B,'Pricing Sheet'!$B$6),IF(I31="Corporate",_xlfn.XLOOKUP(J31,'Pricing Sheet'!F:F,'Pricing Sheet'!G:G,'Pricing Sheet'!$G$6),0))</f>
        <v>#N/A</v>
      </c>
      <c r="M31" t="str">
        <f t="shared" si="2"/>
        <v>OK</v>
      </c>
      <c r="N31" t="str">
        <f t="shared" si="3"/>
        <v>OK</v>
      </c>
    </row>
    <row r="32" spans="1:14">
      <c r="A32">
        <f>'Input 2 - Transactions'!A34</f>
        <v>0</v>
      </c>
      <c r="B32">
        <f>'Input 2 - Transactions'!B34</f>
        <v>0</v>
      </c>
      <c r="C32">
        <f>'Input 2 - Transactions'!C34</f>
        <v>0</v>
      </c>
      <c r="D32">
        <f>'Input 2 - Transactions'!D34</f>
        <v>0</v>
      </c>
      <c r="E32">
        <f>'Input 2 - Transactions'!E34</f>
        <v>0</v>
      </c>
      <c r="F32" s="29">
        <f>'Input 2 - Transactions'!F34</f>
        <v>0</v>
      </c>
      <c r="G32" s="29">
        <f>'Input 2 - Transactions'!G34</f>
        <v>0</v>
      </c>
      <c r="H32" t="e">
        <f>_xlfn.XLOOKUP(A32,'DB - Identities'!U:U,'DB - Identities'!B:B)</f>
        <v>#N/A</v>
      </c>
      <c r="I32" t="e">
        <f>_xlfn.XLOOKUP(H32,c_parties,'DB - Contracting Parties'!C:C)</f>
        <v>#N/A</v>
      </c>
      <c r="J32" t="e">
        <f>_xlfn.XLOOKUP(A32,'DB - Identities'!U:U,'DB - Identities'!Q:Q)</f>
        <v>#N/A</v>
      </c>
      <c r="K32" t="e">
        <f>_xlfn.XLOOKUP(D32,Static!J:J,Static!K:K)</f>
        <v>#N/A</v>
      </c>
      <c r="L32" t="e">
        <f>IF(I32="Bank",_xlfn.XLOOKUP(J32,'Pricing Sheet'!A:A,'Pricing Sheet'!B:B,'Pricing Sheet'!$B$6),IF(I32="Corporate",_xlfn.XLOOKUP(J32,'Pricing Sheet'!F:F,'Pricing Sheet'!G:G,'Pricing Sheet'!$G$6),0))</f>
        <v>#N/A</v>
      </c>
      <c r="M32" t="str">
        <f t="shared" si="2"/>
        <v>OK</v>
      </c>
      <c r="N32" t="str">
        <f t="shared" si="3"/>
        <v>OK</v>
      </c>
    </row>
    <row r="33" spans="1:14">
      <c r="A33">
        <f>'Input 2 - Transactions'!A35</f>
        <v>0</v>
      </c>
      <c r="B33">
        <f>'Input 2 - Transactions'!B35</f>
        <v>0</v>
      </c>
      <c r="C33">
        <f>'Input 2 - Transactions'!C35</f>
        <v>0</v>
      </c>
      <c r="D33">
        <f>'Input 2 - Transactions'!D35</f>
        <v>0</v>
      </c>
      <c r="E33">
        <f>'Input 2 - Transactions'!E35</f>
        <v>0</v>
      </c>
      <c r="F33" s="29">
        <f>'Input 2 - Transactions'!F35</f>
        <v>0</v>
      </c>
      <c r="G33" s="29">
        <f>'Input 2 - Transactions'!G35</f>
        <v>0</v>
      </c>
      <c r="H33" t="e">
        <f>_xlfn.XLOOKUP(A33,'DB - Identities'!U:U,'DB - Identities'!B:B)</f>
        <v>#N/A</v>
      </c>
      <c r="I33" t="e">
        <f>_xlfn.XLOOKUP(H33,c_parties,'DB - Contracting Parties'!C:C)</f>
        <v>#N/A</v>
      </c>
      <c r="J33" t="e">
        <f>_xlfn.XLOOKUP(A33,'DB - Identities'!U:U,'DB - Identities'!Q:Q)</f>
        <v>#N/A</v>
      </c>
      <c r="K33" t="e">
        <f>_xlfn.XLOOKUP(D33,Static!J:J,Static!K:K)</f>
        <v>#N/A</v>
      </c>
      <c r="L33" t="e">
        <f>IF(I33="Bank",_xlfn.XLOOKUP(J33,'Pricing Sheet'!A:A,'Pricing Sheet'!B:B,'Pricing Sheet'!$B$6),IF(I33="Corporate",_xlfn.XLOOKUP(J33,'Pricing Sheet'!F:F,'Pricing Sheet'!G:G,'Pricing Sheet'!$G$6),0))</f>
        <v>#N/A</v>
      </c>
      <c r="M33" t="str">
        <f t="shared" si="2"/>
        <v>OK</v>
      </c>
      <c r="N33" t="str">
        <f t="shared" si="3"/>
        <v>OK</v>
      </c>
    </row>
    <row r="34" spans="1:14">
      <c r="A34">
        <f>'Input 2 - Transactions'!A36</f>
        <v>0</v>
      </c>
      <c r="B34">
        <f>'Input 2 - Transactions'!B36</f>
        <v>0</v>
      </c>
      <c r="C34">
        <f>'Input 2 - Transactions'!C36</f>
        <v>0</v>
      </c>
      <c r="D34">
        <f>'Input 2 - Transactions'!D36</f>
        <v>0</v>
      </c>
      <c r="E34">
        <f>'Input 2 - Transactions'!E36</f>
        <v>0</v>
      </c>
      <c r="F34" s="29">
        <f>'Input 2 - Transactions'!F36</f>
        <v>0</v>
      </c>
      <c r="G34" s="29">
        <f>'Input 2 - Transactions'!G36</f>
        <v>0</v>
      </c>
      <c r="H34" t="e">
        <f>_xlfn.XLOOKUP(A34,'DB - Identities'!U:U,'DB - Identities'!B:B)</f>
        <v>#N/A</v>
      </c>
      <c r="I34" t="e">
        <f>_xlfn.XLOOKUP(H34,c_parties,'DB - Contracting Parties'!C:C)</f>
        <v>#N/A</v>
      </c>
      <c r="J34" t="e">
        <f>_xlfn.XLOOKUP(A34,'DB - Identities'!U:U,'DB - Identities'!Q:Q)</f>
        <v>#N/A</v>
      </c>
      <c r="K34" t="e">
        <f>_xlfn.XLOOKUP(D34,Static!J:J,Static!K:K)</f>
        <v>#N/A</v>
      </c>
      <c r="L34" t="e">
        <f>IF(I34="Bank",_xlfn.XLOOKUP(J34,'Pricing Sheet'!A:A,'Pricing Sheet'!B:B,'Pricing Sheet'!$B$6),IF(I34="Corporate",_xlfn.XLOOKUP(J34,'Pricing Sheet'!F:F,'Pricing Sheet'!G:G,'Pricing Sheet'!$G$6),0))</f>
        <v>#N/A</v>
      </c>
      <c r="M34" t="str">
        <f t="shared" si="2"/>
        <v>OK</v>
      </c>
      <c r="N34" t="str">
        <f t="shared" si="3"/>
        <v>OK</v>
      </c>
    </row>
    <row r="35" spans="1:14">
      <c r="A35">
        <f>'Input 2 - Transactions'!A37</f>
        <v>0</v>
      </c>
      <c r="B35">
        <f>'Input 2 - Transactions'!B37</f>
        <v>0</v>
      </c>
      <c r="C35">
        <f>'Input 2 - Transactions'!C37</f>
        <v>0</v>
      </c>
      <c r="D35">
        <f>'Input 2 - Transactions'!D37</f>
        <v>0</v>
      </c>
      <c r="E35">
        <f>'Input 2 - Transactions'!E37</f>
        <v>0</v>
      </c>
      <c r="F35" s="29">
        <f>'Input 2 - Transactions'!F37</f>
        <v>0</v>
      </c>
      <c r="G35" s="29">
        <f>'Input 2 - Transactions'!G37</f>
        <v>0</v>
      </c>
      <c r="H35" t="e">
        <f>_xlfn.XLOOKUP(A35,'DB - Identities'!U:U,'DB - Identities'!B:B)</f>
        <v>#N/A</v>
      </c>
      <c r="I35" t="e">
        <f>_xlfn.XLOOKUP(H35,c_parties,'DB - Contracting Parties'!C:C)</f>
        <v>#N/A</v>
      </c>
      <c r="J35" t="e">
        <f>_xlfn.XLOOKUP(A35,'DB - Identities'!U:U,'DB - Identities'!Q:Q)</f>
        <v>#N/A</v>
      </c>
      <c r="K35" t="e">
        <f>_xlfn.XLOOKUP(D35,Static!J:J,Static!K:K)</f>
        <v>#N/A</v>
      </c>
      <c r="L35" t="e">
        <f>IF(I35="Bank",_xlfn.XLOOKUP(J35,'Pricing Sheet'!A:A,'Pricing Sheet'!B:B,'Pricing Sheet'!$B$6),IF(I35="Corporate",_xlfn.XLOOKUP(J35,'Pricing Sheet'!F:F,'Pricing Sheet'!G:G,'Pricing Sheet'!$G$6),0))</f>
        <v>#N/A</v>
      </c>
      <c r="M35" t="str">
        <f t="shared" si="2"/>
        <v>OK</v>
      </c>
      <c r="N35" t="str">
        <f t="shared" si="3"/>
        <v>OK</v>
      </c>
    </row>
    <row r="36" spans="1:14">
      <c r="A36">
        <f>'Input 2 - Transactions'!A38</f>
        <v>0</v>
      </c>
      <c r="B36">
        <f>'Input 2 - Transactions'!B38</f>
        <v>0</v>
      </c>
      <c r="C36">
        <f>'Input 2 - Transactions'!C38</f>
        <v>0</v>
      </c>
      <c r="D36">
        <f>'Input 2 - Transactions'!D38</f>
        <v>0</v>
      </c>
      <c r="E36">
        <f>'Input 2 - Transactions'!E38</f>
        <v>0</v>
      </c>
      <c r="F36" s="29">
        <f>'Input 2 - Transactions'!F38</f>
        <v>0</v>
      </c>
      <c r="G36" s="29">
        <f>'Input 2 - Transactions'!G38</f>
        <v>0</v>
      </c>
      <c r="H36" t="e">
        <f>_xlfn.XLOOKUP(A36,'DB - Identities'!U:U,'DB - Identities'!B:B)</f>
        <v>#N/A</v>
      </c>
      <c r="I36" t="e">
        <f>_xlfn.XLOOKUP(H36,c_parties,'DB - Contracting Parties'!C:C)</f>
        <v>#N/A</v>
      </c>
      <c r="J36" t="e">
        <f>_xlfn.XLOOKUP(A36,'DB - Identities'!U:U,'DB - Identities'!Q:Q)</f>
        <v>#N/A</v>
      </c>
      <c r="K36" t="e">
        <f>_xlfn.XLOOKUP(D36,Static!J:J,Static!K:K)</f>
        <v>#N/A</v>
      </c>
      <c r="L36" t="e">
        <f>IF(I36="Bank",_xlfn.XLOOKUP(J36,'Pricing Sheet'!A:A,'Pricing Sheet'!B:B,'Pricing Sheet'!$B$6),IF(I36="Corporate",_xlfn.XLOOKUP(J36,'Pricing Sheet'!F:F,'Pricing Sheet'!G:G,'Pricing Sheet'!$G$6),0))</f>
        <v>#N/A</v>
      </c>
      <c r="M36" t="str">
        <f t="shared" si="2"/>
        <v>OK</v>
      </c>
      <c r="N36" t="str">
        <f t="shared" si="3"/>
        <v>OK</v>
      </c>
    </row>
    <row r="37" spans="1:14">
      <c r="A37">
        <f>'Input 2 - Transactions'!A39</f>
        <v>0</v>
      </c>
      <c r="B37">
        <f>'Input 2 - Transactions'!B39</f>
        <v>0</v>
      </c>
      <c r="C37">
        <f>'Input 2 - Transactions'!C39</f>
        <v>0</v>
      </c>
      <c r="D37">
        <f>'Input 2 - Transactions'!D39</f>
        <v>0</v>
      </c>
      <c r="E37">
        <f>'Input 2 - Transactions'!E39</f>
        <v>0</v>
      </c>
      <c r="F37" s="29">
        <f>'Input 2 - Transactions'!F39</f>
        <v>0</v>
      </c>
      <c r="G37" s="29">
        <f>'Input 2 - Transactions'!G39</f>
        <v>0</v>
      </c>
      <c r="H37" t="e">
        <f>_xlfn.XLOOKUP(A37,'DB - Identities'!U:U,'DB - Identities'!B:B)</f>
        <v>#N/A</v>
      </c>
      <c r="I37" t="e">
        <f>_xlfn.XLOOKUP(H37,c_parties,'DB - Contracting Parties'!C:C)</f>
        <v>#N/A</v>
      </c>
      <c r="J37" t="e">
        <f>_xlfn.XLOOKUP(A37,'DB - Identities'!U:U,'DB - Identities'!Q:Q)</f>
        <v>#N/A</v>
      </c>
      <c r="K37" t="e">
        <f>_xlfn.XLOOKUP(D37,Static!J:J,Static!K:K)</f>
        <v>#N/A</v>
      </c>
      <c r="L37" t="e">
        <f>IF(I37="Bank",_xlfn.XLOOKUP(J37,'Pricing Sheet'!A:A,'Pricing Sheet'!B:B,'Pricing Sheet'!$B$6),IF(I37="Corporate",_xlfn.XLOOKUP(J37,'Pricing Sheet'!F:F,'Pricing Sheet'!G:G,'Pricing Sheet'!$G$6),0))</f>
        <v>#N/A</v>
      </c>
      <c r="M37" t="str">
        <f t="shared" si="2"/>
        <v>OK</v>
      </c>
      <c r="N37" t="str">
        <f t="shared" si="3"/>
        <v>OK</v>
      </c>
    </row>
    <row r="38" spans="1:14">
      <c r="A38">
        <f>'Input 2 - Transactions'!A40</f>
        <v>0</v>
      </c>
      <c r="B38">
        <f>'Input 2 - Transactions'!B40</f>
        <v>0</v>
      </c>
      <c r="C38">
        <f>'Input 2 - Transactions'!C40</f>
        <v>0</v>
      </c>
      <c r="D38">
        <f>'Input 2 - Transactions'!D40</f>
        <v>0</v>
      </c>
      <c r="E38">
        <f>'Input 2 - Transactions'!E40</f>
        <v>0</v>
      </c>
      <c r="F38" s="29">
        <f>'Input 2 - Transactions'!F40</f>
        <v>0</v>
      </c>
      <c r="G38" s="29">
        <f>'Input 2 - Transactions'!G40</f>
        <v>0</v>
      </c>
      <c r="H38" t="e">
        <f>_xlfn.XLOOKUP(A38,'DB - Identities'!U:U,'DB - Identities'!B:B)</f>
        <v>#N/A</v>
      </c>
      <c r="I38" t="e">
        <f>_xlfn.XLOOKUP(H38,c_parties,'DB - Contracting Parties'!C:C)</f>
        <v>#N/A</v>
      </c>
      <c r="J38" t="e">
        <f>_xlfn.XLOOKUP(A38,'DB - Identities'!U:U,'DB - Identities'!Q:Q)</f>
        <v>#N/A</v>
      </c>
      <c r="K38" t="e">
        <f>_xlfn.XLOOKUP(D38,Static!J:J,Static!K:K)</f>
        <v>#N/A</v>
      </c>
      <c r="L38" t="e">
        <f>IF(I38="Bank",_xlfn.XLOOKUP(J38,'Pricing Sheet'!A:A,'Pricing Sheet'!B:B,'Pricing Sheet'!$B$6),IF(I38="Corporate",_xlfn.XLOOKUP(J38,'Pricing Sheet'!F:F,'Pricing Sheet'!G:G,'Pricing Sheet'!$G$6),0))</f>
        <v>#N/A</v>
      </c>
      <c r="M38" t="str">
        <f t="shared" si="2"/>
        <v>OK</v>
      </c>
      <c r="N38" t="str">
        <f t="shared" si="3"/>
        <v>OK</v>
      </c>
    </row>
    <row r="39" spans="1:14">
      <c r="A39">
        <f>'Input 2 - Transactions'!A41</f>
        <v>0</v>
      </c>
      <c r="B39">
        <f>'Input 2 - Transactions'!B41</f>
        <v>0</v>
      </c>
      <c r="C39">
        <f>'Input 2 - Transactions'!C41</f>
        <v>0</v>
      </c>
      <c r="D39">
        <f>'Input 2 - Transactions'!D41</f>
        <v>0</v>
      </c>
      <c r="E39">
        <f>'Input 2 - Transactions'!E41</f>
        <v>0</v>
      </c>
      <c r="F39" s="29">
        <f>'Input 2 - Transactions'!F41</f>
        <v>0</v>
      </c>
      <c r="G39" s="29">
        <f>'Input 2 - Transactions'!G41</f>
        <v>0</v>
      </c>
      <c r="H39" t="e">
        <f>_xlfn.XLOOKUP(A39,'DB - Identities'!U:U,'DB - Identities'!B:B)</f>
        <v>#N/A</v>
      </c>
      <c r="I39" t="e">
        <f>_xlfn.XLOOKUP(H39,c_parties,'DB - Contracting Parties'!C:C)</f>
        <v>#N/A</v>
      </c>
      <c r="J39" t="e">
        <f>_xlfn.XLOOKUP(A39,'DB - Identities'!U:U,'DB - Identities'!Q:Q)</f>
        <v>#N/A</v>
      </c>
      <c r="K39" t="e">
        <f>_xlfn.XLOOKUP(D39,Static!J:J,Static!K:K)</f>
        <v>#N/A</v>
      </c>
      <c r="L39" t="e">
        <f>IF(I39="Bank",_xlfn.XLOOKUP(J39,'Pricing Sheet'!A:A,'Pricing Sheet'!B:B,'Pricing Sheet'!$B$6),IF(I39="Corporate",_xlfn.XLOOKUP(J39,'Pricing Sheet'!F:F,'Pricing Sheet'!G:G,'Pricing Sheet'!$G$6),0))</f>
        <v>#N/A</v>
      </c>
      <c r="M39" t="str">
        <f t="shared" si="2"/>
        <v>OK</v>
      </c>
      <c r="N39" t="str">
        <f t="shared" si="3"/>
        <v>OK</v>
      </c>
    </row>
    <row r="40" spans="1:14">
      <c r="A40">
        <f>'Input 2 - Transactions'!A42</f>
        <v>0</v>
      </c>
      <c r="B40">
        <f>'Input 2 - Transactions'!B42</f>
        <v>0</v>
      </c>
      <c r="C40">
        <f>'Input 2 - Transactions'!C42</f>
        <v>0</v>
      </c>
      <c r="D40">
        <f>'Input 2 - Transactions'!D42</f>
        <v>0</v>
      </c>
      <c r="E40">
        <f>'Input 2 - Transactions'!E42</f>
        <v>0</v>
      </c>
      <c r="F40" s="29">
        <f>'Input 2 - Transactions'!F42</f>
        <v>0</v>
      </c>
      <c r="G40" s="29">
        <f>'Input 2 - Transactions'!G42</f>
        <v>0</v>
      </c>
      <c r="H40" t="e">
        <f>_xlfn.XLOOKUP(A40,'DB - Identities'!U:U,'DB - Identities'!B:B)</f>
        <v>#N/A</v>
      </c>
      <c r="I40" t="e">
        <f>_xlfn.XLOOKUP(H40,c_parties,'DB - Contracting Parties'!C:C)</f>
        <v>#N/A</v>
      </c>
      <c r="J40" t="e">
        <f>_xlfn.XLOOKUP(A40,'DB - Identities'!U:U,'DB - Identities'!Q:Q)</f>
        <v>#N/A</v>
      </c>
      <c r="K40" t="e">
        <f>_xlfn.XLOOKUP(D40,Static!J:J,Static!K:K)</f>
        <v>#N/A</v>
      </c>
      <c r="L40" t="e">
        <f>IF(I40="Bank",_xlfn.XLOOKUP(J40,'Pricing Sheet'!A:A,'Pricing Sheet'!B:B,'Pricing Sheet'!$B$6),IF(I40="Corporate",_xlfn.XLOOKUP(J40,'Pricing Sheet'!F:F,'Pricing Sheet'!G:G,'Pricing Sheet'!$G$6),0))</f>
        <v>#N/A</v>
      </c>
      <c r="M40" t="str">
        <f t="shared" si="2"/>
        <v>OK</v>
      </c>
      <c r="N40" t="str">
        <f t="shared" si="3"/>
        <v>OK</v>
      </c>
    </row>
    <row r="41" spans="1:14">
      <c r="A41">
        <f>'Input 2 - Transactions'!A43</f>
        <v>0</v>
      </c>
      <c r="B41">
        <f>'Input 2 - Transactions'!B43</f>
        <v>0</v>
      </c>
      <c r="C41">
        <f>'Input 2 - Transactions'!C43</f>
        <v>0</v>
      </c>
      <c r="D41">
        <f>'Input 2 - Transactions'!D43</f>
        <v>0</v>
      </c>
      <c r="E41">
        <f>'Input 2 - Transactions'!E43</f>
        <v>0</v>
      </c>
      <c r="F41" s="29">
        <f>'Input 2 - Transactions'!F43</f>
        <v>0</v>
      </c>
      <c r="G41" s="29">
        <f>'Input 2 - Transactions'!G43</f>
        <v>0</v>
      </c>
      <c r="H41" t="e">
        <f>_xlfn.XLOOKUP(A41,'DB - Identities'!U:U,'DB - Identities'!B:B)</f>
        <v>#N/A</v>
      </c>
      <c r="I41" t="e">
        <f>_xlfn.XLOOKUP(H41,c_parties,'DB - Contracting Parties'!C:C)</f>
        <v>#N/A</v>
      </c>
      <c r="J41" t="e">
        <f>_xlfn.XLOOKUP(A41,'DB - Identities'!U:U,'DB - Identities'!Q:Q)</f>
        <v>#N/A</v>
      </c>
      <c r="K41" t="e">
        <f>_xlfn.XLOOKUP(D41,Static!J:J,Static!K:K)</f>
        <v>#N/A</v>
      </c>
      <c r="L41" t="e">
        <f>IF(I41="Bank",_xlfn.XLOOKUP(J41,'Pricing Sheet'!A:A,'Pricing Sheet'!B:B,'Pricing Sheet'!$B$6),IF(I41="Corporate",_xlfn.XLOOKUP(J41,'Pricing Sheet'!F:F,'Pricing Sheet'!G:G,'Pricing Sheet'!$G$6),0))</f>
        <v>#N/A</v>
      </c>
      <c r="M41" t="str">
        <f t="shared" si="2"/>
        <v>OK</v>
      </c>
      <c r="N41" t="str">
        <f t="shared" si="3"/>
        <v>OK</v>
      </c>
    </row>
    <row r="42" spans="1:14">
      <c r="A42">
        <f>'Input 2 - Transactions'!A44</f>
        <v>0</v>
      </c>
      <c r="B42">
        <f>'Input 2 - Transactions'!B44</f>
        <v>0</v>
      </c>
      <c r="C42">
        <f>'Input 2 - Transactions'!C44</f>
        <v>0</v>
      </c>
      <c r="D42">
        <f>'Input 2 - Transactions'!D44</f>
        <v>0</v>
      </c>
      <c r="E42">
        <f>'Input 2 - Transactions'!E44</f>
        <v>0</v>
      </c>
      <c r="F42" s="29">
        <f>'Input 2 - Transactions'!F44</f>
        <v>0</v>
      </c>
      <c r="G42" s="29">
        <f>'Input 2 - Transactions'!G44</f>
        <v>0</v>
      </c>
      <c r="H42" t="e">
        <f>_xlfn.XLOOKUP(A42,'DB - Identities'!U:U,'DB - Identities'!B:B)</f>
        <v>#N/A</v>
      </c>
      <c r="I42" t="e">
        <f>_xlfn.XLOOKUP(H42,c_parties,'DB - Contracting Parties'!C:C)</f>
        <v>#N/A</v>
      </c>
      <c r="J42" t="e">
        <f>_xlfn.XLOOKUP(A42,'DB - Identities'!U:U,'DB - Identities'!Q:Q)</f>
        <v>#N/A</v>
      </c>
      <c r="K42" t="e">
        <f>_xlfn.XLOOKUP(D42,Static!J:J,Static!K:K)</f>
        <v>#N/A</v>
      </c>
      <c r="L42" t="e">
        <f>IF(I42="Bank",_xlfn.XLOOKUP(J42,'Pricing Sheet'!A:A,'Pricing Sheet'!B:B,'Pricing Sheet'!$B$6),IF(I42="Corporate",_xlfn.XLOOKUP(J42,'Pricing Sheet'!F:F,'Pricing Sheet'!G:G,'Pricing Sheet'!$G$6),0))</f>
        <v>#N/A</v>
      </c>
      <c r="M42" t="str">
        <f t="shared" si="2"/>
        <v>OK</v>
      </c>
      <c r="N42" t="str">
        <f t="shared" si="3"/>
        <v>OK</v>
      </c>
    </row>
    <row r="43" spans="1:14">
      <c r="A43">
        <f>'Input 2 - Transactions'!A45</f>
        <v>0</v>
      </c>
      <c r="B43">
        <f>'Input 2 - Transactions'!B45</f>
        <v>0</v>
      </c>
      <c r="C43">
        <f>'Input 2 - Transactions'!C45</f>
        <v>0</v>
      </c>
      <c r="D43">
        <f>'Input 2 - Transactions'!D45</f>
        <v>0</v>
      </c>
      <c r="E43">
        <f>'Input 2 - Transactions'!E45</f>
        <v>0</v>
      </c>
      <c r="F43" s="29">
        <f>'Input 2 - Transactions'!F45</f>
        <v>0</v>
      </c>
      <c r="G43" s="29">
        <f>'Input 2 - Transactions'!G45</f>
        <v>0</v>
      </c>
      <c r="H43" t="e">
        <f>_xlfn.XLOOKUP(A43,'DB - Identities'!U:U,'DB - Identities'!B:B)</f>
        <v>#N/A</v>
      </c>
      <c r="I43" t="e">
        <f>_xlfn.XLOOKUP(H43,c_parties,'DB - Contracting Parties'!C:C)</f>
        <v>#N/A</v>
      </c>
      <c r="J43" t="e">
        <f>_xlfn.XLOOKUP(A43,'DB - Identities'!U:U,'DB - Identities'!Q:Q)</f>
        <v>#N/A</v>
      </c>
      <c r="K43" t="e">
        <f>_xlfn.XLOOKUP(D43,Static!J:J,Static!K:K)</f>
        <v>#N/A</v>
      </c>
      <c r="L43" t="e">
        <f>IF(I43="Bank",_xlfn.XLOOKUP(J43,'Pricing Sheet'!A:A,'Pricing Sheet'!B:B,'Pricing Sheet'!$B$6),IF(I43="Corporate",_xlfn.XLOOKUP(J43,'Pricing Sheet'!F:F,'Pricing Sheet'!G:G,'Pricing Sheet'!$G$6),0))</f>
        <v>#N/A</v>
      </c>
      <c r="M43" t="str">
        <f t="shared" si="2"/>
        <v>OK</v>
      </c>
      <c r="N43" t="str">
        <f t="shared" si="3"/>
        <v>OK</v>
      </c>
    </row>
    <row r="44" spans="1:14">
      <c r="A44">
        <f>'Input 2 - Transactions'!A46</f>
        <v>0</v>
      </c>
      <c r="B44">
        <f>'Input 2 - Transactions'!B46</f>
        <v>0</v>
      </c>
      <c r="C44">
        <f>'Input 2 - Transactions'!C46</f>
        <v>0</v>
      </c>
      <c r="D44">
        <f>'Input 2 - Transactions'!D46</f>
        <v>0</v>
      </c>
      <c r="E44">
        <f>'Input 2 - Transactions'!E46</f>
        <v>0</v>
      </c>
      <c r="F44" s="29">
        <f>'Input 2 - Transactions'!F46</f>
        <v>0</v>
      </c>
      <c r="G44" s="29">
        <f>'Input 2 - Transactions'!G46</f>
        <v>0</v>
      </c>
      <c r="H44" t="e">
        <f>_xlfn.XLOOKUP(A44,'DB - Identities'!U:U,'DB - Identities'!B:B)</f>
        <v>#N/A</v>
      </c>
      <c r="I44" t="e">
        <f>_xlfn.XLOOKUP(H44,c_parties,'DB - Contracting Parties'!C:C)</f>
        <v>#N/A</v>
      </c>
      <c r="J44" t="e">
        <f>_xlfn.XLOOKUP(A44,'DB - Identities'!U:U,'DB - Identities'!Q:Q)</f>
        <v>#N/A</v>
      </c>
      <c r="K44" t="e">
        <f>_xlfn.XLOOKUP(D44,Static!J:J,Static!K:K)</f>
        <v>#N/A</v>
      </c>
      <c r="L44" t="e">
        <f>IF(I44="Bank",_xlfn.XLOOKUP(J44,'Pricing Sheet'!A:A,'Pricing Sheet'!B:B,'Pricing Sheet'!$B$6),IF(I44="Corporate",_xlfn.XLOOKUP(J44,'Pricing Sheet'!F:F,'Pricing Sheet'!G:G,'Pricing Sheet'!$G$6),0))</f>
        <v>#N/A</v>
      </c>
      <c r="M44" t="str">
        <f t="shared" si="2"/>
        <v>OK</v>
      </c>
      <c r="N44" t="str">
        <f t="shared" si="3"/>
        <v>OK</v>
      </c>
    </row>
    <row r="45" spans="1:14">
      <c r="A45">
        <f>'Input 2 - Transactions'!A47</f>
        <v>0</v>
      </c>
      <c r="B45">
        <f>'Input 2 - Transactions'!B47</f>
        <v>0</v>
      </c>
      <c r="C45">
        <f>'Input 2 - Transactions'!C47</f>
        <v>0</v>
      </c>
      <c r="D45">
        <f>'Input 2 - Transactions'!D47</f>
        <v>0</v>
      </c>
      <c r="E45">
        <f>'Input 2 - Transactions'!E47</f>
        <v>0</v>
      </c>
      <c r="F45" s="29">
        <f>'Input 2 - Transactions'!F47</f>
        <v>0</v>
      </c>
      <c r="G45" s="29">
        <f>'Input 2 - Transactions'!G47</f>
        <v>0</v>
      </c>
      <c r="H45" t="e">
        <f>_xlfn.XLOOKUP(A45,'DB - Identities'!U:U,'DB - Identities'!B:B)</f>
        <v>#N/A</v>
      </c>
      <c r="I45" t="e">
        <f>_xlfn.XLOOKUP(H45,c_parties,'DB - Contracting Parties'!C:C)</f>
        <v>#N/A</v>
      </c>
      <c r="J45" t="e">
        <f>_xlfn.XLOOKUP(A45,'DB - Identities'!U:U,'DB - Identities'!Q:Q)</f>
        <v>#N/A</v>
      </c>
      <c r="K45" t="e">
        <f>_xlfn.XLOOKUP(D45,Static!J:J,Static!K:K)</f>
        <v>#N/A</v>
      </c>
      <c r="L45" t="e">
        <f>IF(I45="Bank",_xlfn.XLOOKUP(J45,'Pricing Sheet'!A:A,'Pricing Sheet'!B:B,'Pricing Sheet'!$B$6),IF(I45="Corporate",_xlfn.XLOOKUP(J45,'Pricing Sheet'!F:F,'Pricing Sheet'!G:G,'Pricing Sheet'!$G$6),0))</f>
        <v>#N/A</v>
      </c>
      <c r="M45" t="str">
        <f t="shared" si="2"/>
        <v>OK</v>
      </c>
      <c r="N45" t="str">
        <f t="shared" si="3"/>
        <v>OK</v>
      </c>
    </row>
    <row r="46" spans="1:14">
      <c r="A46">
        <f>'Input 2 - Transactions'!A48</f>
        <v>0</v>
      </c>
      <c r="B46">
        <f>'Input 2 - Transactions'!B48</f>
        <v>0</v>
      </c>
      <c r="C46">
        <f>'Input 2 - Transactions'!C48</f>
        <v>0</v>
      </c>
      <c r="D46">
        <f>'Input 2 - Transactions'!D48</f>
        <v>0</v>
      </c>
      <c r="E46">
        <f>'Input 2 - Transactions'!E48</f>
        <v>0</v>
      </c>
      <c r="F46" s="29">
        <f>'Input 2 - Transactions'!F48</f>
        <v>0</v>
      </c>
      <c r="G46" s="29">
        <f>'Input 2 - Transactions'!G48</f>
        <v>0</v>
      </c>
      <c r="H46" t="e">
        <f>_xlfn.XLOOKUP(A46,'DB - Identities'!U:U,'DB - Identities'!B:B)</f>
        <v>#N/A</v>
      </c>
      <c r="I46" t="e">
        <f>_xlfn.XLOOKUP(H46,c_parties,'DB - Contracting Parties'!C:C)</f>
        <v>#N/A</v>
      </c>
      <c r="J46" t="e">
        <f>_xlfn.XLOOKUP(A46,'DB - Identities'!U:U,'DB - Identities'!Q:Q)</f>
        <v>#N/A</v>
      </c>
      <c r="K46" t="e">
        <f>_xlfn.XLOOKUP(D46,Static!J:J,Static!K:K)</f>
        <v>#N/A</v>
      </c>
      <c r="L46" t="e">
        <f>IF(I46="Bank",_xlfn.XLOOKUP(J46,'Pricing Sheet'!A:A,'Pricing Sheet'!B:B,'Pricing Sheet'!$B$6),IF(I46="Corporate",_xlfn.XLOOKUP(J46,'Pricing Sheet'!F:F,'Pricing Sheet'!G:G,'Pricing Sheet'!$G$6),0))</f>
        <v>#N/A</v>
      </c>
      <c r="M46" t="str">
        <f t="shared" si="2"/>
        <v>OK</v>
      </c>
      <c r="N46" t="str">
        <f t="shared" si="3"/>
        <v>OK</v>
      </c>
    </row>
    <row r="47" spans="1:14">
      <c r="A47">
        <f>'Input 2 - Transactions'!A49</f>
        <v>0</v>
      </c>
      <c r="B47">
        <f>'Input 2 - Transactions'!B49</f>
        <v>0</v>
      </c>
      <c r="C47">
        <f>'Input 2 - Transactions'!C49</f>
        <v>0</v>
      </c>
      <c r="D47">
        <f>'Input 2 - Transactions'!D49</f>
        <v>0</v>
      </c>
      <c r="E47">
        <f>'Input 2 - Transactions'!E49</f>
        <v>0</v>
      </c>
      <c r="F47" s="29">
        <f>'Input 2 - Transactions'!F49</f>
        <v>0</v>
      </c>
      <c r="G47" s="29">
        <f>'Input 2 - Transactions'!G49</f>
        <v>0</v>
      </c>
      <c r="H47" t="e">
        <f>_xlfn.XLOOKUP(A47,'DB - Identities'!U:U,'DB - Identities'!B:B)</f>
        <v>#N/A</v>
      </c>
      <c r="I47" t="e">
        <f>_xlfn.XLOOKUP(H47,c_parties,'DB - Contracting Parties'!C:C)</f>
        <v>#N/A</v>
      </c>
      <c r="J47" t="e">
        <f>_xlfn.XLOOKUP(A47,'DB - Identities'!U:U,'DB - Identities'!Q:Q)</f>
        <v>#N/A</v>
      </c>
      <c r="K47" t="e">
        <f>_xlfn.XLOOKUP(D47,Static!J:J,Static!K:K)</f>
        <v>#N/A</v>
      </c>
      <c r="L47" t="e">
        <f>IF(I47="Bank",_xlfn.XLOOKUP(J47,'Pricing Sheet'!A:A,'Pricing Sheet'!B:B,'Pricing Sheet'!$B$6),IF(I47="Corporate",_xlfn.XLOOKUP(J47,'Pricing Sheet'!F:F,'Pricing Sheet'!G:G,'Pricing Sheet'!$G$6),0))</f>
        <v>#N/A</v>
      </c>
      <c r="M47" t="str">
        <f t="shared" si="2"/>
        <v>OK</v>
      </c>
      <c r="N47" t="str">
        <f t="shared" si="3"/>
        <v>OK</v>
      </c>
    </row>
    <row r="48" spans="1:14">
      <c r="A48">
        <f>'Input 2 - Transactions'!A50</f>
        <v>0</v>
      </c>
      <c r="B48">
        <f>'Input 2 - Transactions'!B50</f>
        <v>0</v>
      </c>
      <c r="C48">
        <f>'Input 2 - Transactions'!C50</f>
        <v>0</v>
      </c>
      <c r="D48">
        <f>'Input 2 - Transactions'!D50</f>
        <v>0</v>
      </c>
      <c r="E48">
        <f>'Input 2 - Transactions'!E50</f>
        <v>0</v>
      </c>
      <c r="F48" s="29">
        <f>'Input 2 - Transactions'!F50</f>
        <v>0</v>
      </c>
      <c r="G48" s="29">
        <f>'Input 2 - Transactions'!G50</f>
        <v>0</v>
      </c>
      <c r="H48" t="e">
        <f>_xlfn.XLOOKUP(A48,'DB - Identities'!U:U,'DB - Identities'!B:B)</f>
        <v>#N/A</v>
      </c>
      <c r="I48" t="e">
        <f>_xlfn.XLOOKUP(H48,c_parties,'DB - Contracting Parties'!C:C)</f>
        <v>#N/A</v>
      </c>
      <c r="J48" t="e">
        <f>_xlfn.XLOOKUP(A48,'DB - Identities'!U:U,'DB - Identities'!Q:Q)</f>
        <v>#N/A</v>
      </c>
      <c r="K48" t="e">
        <f>_xlfn.XLOOKUP(D48,Static!J:J,Static!K:K)</f>
        <v>#N/A</v>
      </c>
      <c r="L48" t="e">
        <f>IF(I48="Bank",_xlfn.XLOOKUP(J48,'Pricing Sheet'!A:A,'Pricing Sheet'!B:B,'Pricing Sheet'!$B$6),IF(I48="Corporate",_xlfn.XLOOKUP(J48,'Pricing Sheet'!F:F,'Pricing Sheet'!G:G,'Pricing Sheet'!$G$6),0))</f>
        <v>#N/A</v>
      </c>
      <c r="M48" t="str">
        <f t="shared" si="2"/>
        <v>OK</v>
      </c>
      <c r="N48" t="str">
        <f t="shared" si="3"/>
        <v>OK</v>
      </c>
    </row>
    <row r="49" spans="1:14">
      <c r="A49">
        <f>'Input 2 - Transactions'!A51</f>
        <v>0</v>
      </c>
      <c r="B49">
        <f>'Input 2 - Transactions'!B51</f>
        <v>0</v>
      </c>
      <c r="C49">
        <f>'Input 2 - Transactions'!C51</f>
        <v>0</v>
      </c>
      <c r="D49">
        <f>'Input 2 - Transactions'!D51</f>
        <v>0</v>
      </c>
      <c r="E49">
        <f>'Input 2 - Transactions'!E51</f>
        <v>0</v>
      </c>
      <c r="F49" s="29">
        <f>'Input 2 - Transactions'!F51</f>
        <v>0</v>
      </c>
      <c r="G49" s="29">
        <f>'Input 2 - Transactions'!G51</f>
        <v>0</v>
      </c>
      <c r="H49" t="e">
        <f>_xlfn.XLOOKUP(A49,'DB - Identities'!U:U,'DB - Identities'!B:B)</f>
        <v>#N/A</v>
      </c>
      <c r="I49" t="e">
        <f>_xlfn.XLOOKUP(H49,c_parties,'DB - Contracting Parties'!C:C)</f>
        <v>#N/A</v>
      </c>
      <c r="J49" t="e">
        <f>_xlfn.XLOOKUP(A49,'DB - Identities'!U:U,'DB - Identities'!Q:Q)</f>
        <v>#N/A</v>
      </c>
      <c r="K49" t="e">
        <f>_xlfn.XLOOKUP(D49,Static!J:J,Static!K:K)</f>
        <v>#N/A</v>
      </c>
      <c r="L49" t="e">
        <f>IF(I49="Bank",_xlfn.XLOOKUP(J49,'Pricing Sheet'!A:A,'Pricing Sheet'!B:B,'Pricing Sheet'!$B$6),IF(I49="Corporate",_xlfn.XLOOKUP(J49,'Pricing Sheet'!F:F,'Pricing Sheet'!G:G,'Pricing Sheet'!$G$6),0))</f>
        <v>#N/A</v>
      </c>
      <c r="M49" t="str">
        <f t="shared" si="2"/>
        <v>OK</v>
      </c>
      <c r="N49" t="str">
        <f t="shared" si="3"/>
        <v>OK</v>
      </c>
    </row>
    <row r="50" spans="1:14">
      <c r="A50">
        <f>'Input 2 - Transactions'!A52</f>
        <v>0</v>
      </c>
      <c r="B50">
        <f>'Input 2 - Transactions'!B52</f>
        <v>0</v>
      </c>
      <c r="C50">
        <f>'Input 2 - Transactions'!C52</f>
        <v>0</v>
      </c>
      <c r="D50">
        <f>'Input 2 - Transactions'!D52</f>
        <v>0</v>
      </c>
      <c r="E50">
        <f>'Input 2 - Transactions'!E52</f>
        <v>0</v>
      </c>
      <c r="F50" s="29">
        <f>'Input 2 - Transactions'!F52</f>
        <v>0</v>
      </c>
      <c r="G50" s="29">
        <f>'Input 2 - Transactions'!G52</f>
        <v>0</v>
      </c>
      <c r="H50" t="e">
        <f>_xlfn.XLOOKUP(A50,'DB - Identities'!U:U,'DB - Identities'!B:B)</f>
        <v>#N/A</v>
      </c>
      <c r="I50" t="e">
        <f>_xlfn.XLOOKUP(H50,c_parties,'DB - Contracting Parties'!C:C)</f>
        <v>#N/A</v>
      </c>
      <c r="J50" t="e">
        <f>_xlfn.XLOOKUP(A50,'DB - Identities'!U:U,'DB - Identities'!Q:Q)</f>
        <v>#N/A</v>
      </c>
      <c r="K50" t="e">
        <f>_xlfn.XLOOKUP(D50,Static!J:J,Static!K:K)</f>
        <v>#N/A</v>
      </c>
      <c r="L50" t="e">
        <f>IF(I50="Bank",_xlfn.XLOOKUP(J50,'Pricing Sheet'!A:A,'Pricing Sheet'!B:B,'Pricing Sheet'!$B$6),IF(I50="Corporate",_xlfn.XLOOKUP(J50,'Pricing Sheet'!F:F,'Pricing Sheet'!G:G,'Pricing Sheet'!$G$6),0))</f>
        <v>#N/A</v>
      </c>
      <c r="M50" t="str">
        <f t="shared" si="2"/>
        <v>OK</v>
      </c>
      <c r="N50" t="str">
        <f t="shared" si="3"/>
        <v>OK</v>
      </c>
    </row>
    <row r="51" spans="1:14">
      <c r="A51">
        <f>'Input 2 - Transactions'!A53</f>
        <v>0</v>
      </c>
      <c r="B51">
        <f>'Input 2 - Transactions'!B53</f>
        <v>0</v>
      </c>
      <c r="C51">
        <f>'Input 2 - Transactions'!C53</f>
        <v>0</v>
      </c>
      <c r="D51">
        <f>'Input 2 - Transactions'!D53</f>
        <v>0</v>
      </c>
      <c r="E51">
        <f>'Input 2 - Transactions'!E53</f>
        <v>0</v>
      </c>
      <c r="F51" s="29">
        <f>'Input 2 - Transactions'!F53</f>
        <v>0</v>
      </c>
      <c r="G51" s="29">
        <f>'Input 2 - Transactions'!G53</f>
        <v>0</v>
      </c>
      <c r="H51" t="e">
        <f>_xlfn.XLOOKUP(A51,'DB - Identities'!U:U,'DB - Identities'!B:B)</f>
        <v>#N/A</v>
      </c>
      <c r="I51" t="e">
        <f>_xlfn.XLOOKUP(H51,c_parties,'DB - Contracting Parties'!C:C)</f>
        <v>#N/A</v>
      </c>
      <c r="J51" t="e">
        <f>_xlfn.XLOOKUP(A51,'DB - Identities'!U:U,'DB - Identities'!Q:Q)</f>
        <v>#N/A</v>
      </c>
      <c r="K51" t="e">
        <f>_xlfn.XLOOKUP(D51,Static!J:J,Static!K:K)</f>
        <v>#N/A</v>
      </c>
      <c r="L51" t="e">
        <f>IF(I51="Bank",_xlfn.XLOOKUP(J51,'Pricing Sheet'!A:A,'Pricing Sheet'!B:B,'Pricing Sheet'!$B$6),IF(I51="Corporate",_xlfn.XLOOKUP(J51,'Pricing Sheet'!F:F,'Pricing Sheet'!G:G,'Pricing Sheet'!$G$6),0))</f>
        <v>#N/A</v>
      </c>
      <c r="M51" t="str">
        <f t="shared" si="2"/>
        <v>OK</v>
      </c>
      <c r="N51" t="str">
        <f t="shared" si="3"/>
        <v>OK</v>
      </c>
    </row>
    <row r="52" spans="1:14">
      <c r="A52">
        <f>'Input 2 - Transactions'!A54</f>
        <v>0</v>
      </c>
      <c r="B52">
        <f>'Input 2 - Transactions'!B54</f>
        <v>0</v>
      </c>
      <c r="C52">
        <f>'Input 2 - Transactions'!C54</f>
        <v>0</v>
      </c>
      <c r="D52">
        <f>'Input 2 - Transactions'!D54</f>
        <v>0</v>
      </c>
      <c r="E52">
        <f>'Input 2 - Transactions'!E54</f>
        <v>0</v>
      </c>
      <c r="F52" s="29">
        <f>'Input 2 - Transactions'!F54</f>
        <v>0</v>
      </c>
      <c r="G52" s="29">
        <f>'Input 2 - Transactions'!G54</f>
        <v>0</v>
      </c>
      <c r="H52" t="e">
        <f>_xlfn.XLOOKUP(A52,'DB - Identities'!U:U,'DB - Identities'!B:B)</f>
        <v>#N/A</v>
      </c>
      <c r="I52" t="e">
        <f>_xlfn.XLOOKUP(H52,c_parties,'DB - Contracting Parties'!C:C)</f>
        <v>#N/A</v>
      </c>
      <c r="J52" t="e">
        <f>_xlfn.XLOOKUP(A52,'DB - Identities'!U:U,'DB - Identities'!Q:Q)</f>
        <v>#N/A</v>
      </c>
      <c r="K52" t="e">
        <f>_xlfn.XLOOKUP(D52,Static!J:J,Static!K:K)</f>
        <v>#N/A</v>
      </c>
      <c r="L52" t="e">
        <f>IF(I52="Bank",_xlfn.XLOOKUP(J52,'Pricing Sheet'!A:A,'Pricing Sheet'!B:B,'Pricing Sheet'!$B$6),IF(I52="Corporate",_xlfn.XLOOKUP(J52,'Pricing Sheet'!F:F,'Pricing Sheet'!G:G,'Pricing Sheet'!$G$6),0))</f>
        <v>#N/A</v>
      </c>
      <c r="M52" t="str">
        <f t="shared" si="2"/>
        <v>OK</v>
      </c>
      <c r="N52" t="str">
        <f t="shared" si="3"/>
        <v>OK</v>
      </c>
    </row>
    <row r="53" spans="1:14">
      <c r="A53">
        <f>'Input 2 - Transactions'!A55</f>
        <v>0</v>
      </c>
      <c r="B53">
        <f>'Input 2 - Transactions'!B55</f>
        <v>0</v>
      </c>
      <c r="C53">
        <f>'Input 2 - Transactions'!C55</f>
        <v>0</v>
      </c>
      <c r="D53">
        <f>'Input 2 - Transactions'!D55</f>
        <v>0</v>
      </c>
      <c r="E53">
        <f>'Input 2 - Transactions'!E55</f>
        <v>0</v>
      </c>
      <c r="F53" s="29">
        <f>'Input 2 - Transactions'!F55</f>
        <v>0</v>
      </c>
      <c r="G53" s="29">
        <f>'Input 2 - Transactions'!G55</f>
        <v>0</v>
      </c>
      <c r="H53" t="e">
        <f>_xlfn.XLOOKUP(A53,'DB - Identities'!U:U,'DB - Identities'!B:B)</f>
        <v>#N/A</v>
      </c>
      <c r="I53" t="e">
        <f>_xlfn.XLOOKUP(H53,c_parties,'DB - Contracting Parties'!C:C)</f>
        <v>#N/A</v>
      </c>
      <c r="J53" t="e">
        <f>_xlfn.XLOOKUP(A53,'DB - Identities'!U:U,'DB - Identities'!Q:Q)</f>
        <v>#N/A</v>
      </c>
      <c r="K53" t="e">
        <f>_xlfn.XLOOKUP(D53,Static!J:J,Static!K:K)</f>
        <v>#N/A</v>
      </c>
      <c r="L53" t="e">
        <f>IF(I53="Bank",_xlfn.XLOOKUP(J53,'Pricing Sheet'!A:A,'Pricing Sheet'!B:B,'Pricing Sheet'!$B$6),IF(I53="Corporate",_xlfn.XLOOKUP(J53,'Pricing Sheet'!F:F,'Pricing Sheet'!G:G,'Pricing Sheet'!$G$6),0))</f>
        <v>#N/A</v>
      </c>
      <c r="M53" t="str">
        <f t="shared" si="2"/>
        <v>OK</v>
      </c>
      <c r="N53" t="str">
        <f t="shared" si="3"/>
        <v>OK</v>
      </c>
    </row>
    <row r="54" spans="1:14">
      <c r="A54">
        <f>'Input 2 - Transactions'!A56</f>
        <v>0</v>
      </c>
      <c r="B54">
        <f>'Input 2 - Transactions'!B56</f>
        <v>0</v>
      </c>
      <c r="C54">
        <f>'Input 2 - Transactions'!C56</f>
        <v>0</v>
      </c>
      <c r="D54">
        <f>'Input 2 - Transactions'!D56</f>
        <v>0</v>
      </c>
      <c r="E54">
        <f>'Input 2 - Transactions'!E56</f>
        <v>0</v>
      </c>
      <c r="F54" s="29">
        <f>'Input 2 - Transactions'!F56</f>
        <v>0</v>
      </c>
      <c r="G54" s="29">
        <f>'Input 2 - Transactions'!G56</f>
        <v>0</v>
      </c>
      <c r="H54" t="e">
        <f>_xlfn.XLOOKUP(A54,'DB - Identities'!U:U,'DB - Identities'!B:B)</f>
        <v>#N/A</v>
      </c>
      <c r="I54" t="e">
        <f>_xlfn.XLOOKUP(H54,c_parties,'DB - Contracting Parties'!C:C)</f>
        <v>#N/A</v>
      </c>
      <c r="J54" t="e">
        <f>_xlfn.XLOOKUP(A54,'DB - Identities'!U:U,'DB - Identities'!Q:Q)</f>
        <v>#N/A</v>
      </c>
      <c r="K54" t="e">
        <f>_xlfn.XLOOKUP(D54,Static!J:J,Static!K:K)</f>
        <v>#N/A</v>
      </c>
      <c r="L54" t="e">
        <f>IF(I54="Bank",_xlfn.XLOOKUP(J54,'Pricing Sheet'!A:A,'Pricing Sheet'!B:B,'Pricing Sheet'!$B$6),IF(I54="Corporate",_xlfn.XLOOKUP(J54,'Pricing Sheet'!F:F,'Pricing Sheet'!G:G,'Pricing Sheet'!$G$6),0))</f>
        <v>#N/A</v>
      </c>
      <c r="M54" t="str">
        <f t="shared" si="2"/>
        <v>OK</v>
      </c>
      <c r="N54" t="str">
        <f t="shared" si="3"/>
        <v>OK</v>
      </c>
    </row>
    <row r="55" spans="1:14">
      <c r="A55">
        <f>'Input 2 - Transactions'!A57</f>
        <v>0</v>
      </c>
      <c r="B55">
        <f>'Input 2 - Transactions'!B57</f>
        <v>0</v>
      </c>
      <c r="C55">
        <f>'Input 2 - Transactions'!C57</f>
        <v>0</v>
      </c>
      <c r="D55">
        <f>'Input 2 - Transactions'!D57</f>
        <v>0</v>
      </c>
      <c r="E55">
        <f>'Input 2 - Transactions'!E57</f>
        <v>0</v>
      </c>
      <c r="F55" s="29">
        <f>'Input 2 - Transactions'!F57</f>
        <v>0</v>
      </c>
      <c r="G55" s="29">
        <f>'Input 2 - Transactions'!G57</f>
        <v>0</v>
      </c>
      <c r="H55" t="e">
        <f>_xlfn.XLOOKUP(A55,'DB - Identities'!U:U,'DB - Identities'!B:B)</f>
        <v>#N/A</v>
      </c>
      <c r="I55" t="e">
        <f>_xlfn.XLOOKUP(H55,c_parties,'DB - Contracting Parties'!C:C)</f>
        <v>#N/A</v>
      </c>
      <c r="J55" t="e">
        <f>_xlfn.XLOOKUP(A55,'DB - Identities'!U:U,'DB - Identities'!Q:Q)</f>
        <v>#N/A</v>
      </c>
      <c r="K55" t="e">
        <f>_xlfn.XLOOKUP(D55,Static!J:J,Static!K:K)</f>
        <v>#N/A</v>
      </c>
      <c r="L55" t="e">
        <f>IF(I55="Bank",_xlfn.XLOOKUP(J55,'Pricing Sheet'!A:A,'Pricing Sheet'!B:B,'Pricing Sheet'!$B$6),IF(I55="Corporate",_xlfn.XLOOKUP(J55,'Pricing Sheet'!F:F,'Pricing Sheet'!G:G,'Pricing Sheet'!$G$6),0))</f>
        <v>#N/A</v>
      </c>
      <c r="M55" t="str">
        <f t="shared" si="2"/>
        <v>OK</v>
      </c>
      <c r="N55" t="str">
        <f t="shared" si="3"/>
        <v>OK</v>
      </c>
    </row>
    <row r="56" spans="1:14">
      <c r="A56">
        <f>'Input 2 - Transactions'!A58</f>
        <v>0</v>
      </c>
      <c r="B56">
        <f>'Input 2 - Transactions'!B58</f>
        <v>0</v>
      </c>
      <c r="C56">
        <f>'Input 2 - Transactions'!C58</f>
        <v>0</v>
      </c>
      <c r="D56">
        <f>'Input 2 - Transactions'!D58</f>
        <v>0</v>
      </c>
      <c r="E56">
        <f>'Input 2 - Transactions'!E58</f>
        <v>0</v>
      </c>
      <c r="F56" s="29">
        <f>'Input 2 - Transactions'!F58</f>
        <v>0</v>
      </c>
      <c r="G56" s="29">
        <f>'Input 2 - Transactions'!G58</f>
        <v>0</v>
      </c>
      <c r="H56" t="e">
        <f>_xlfn.XLOOKUP(A56,'DB - Identities'!U:U,'DB - Identities'!B:B)</f>
        <v>#N/A</v>
      </c>
      <c r="I56" t="e">
        <f>_xlfn.XLOOKUP(H56,c_parties,'DB - Contracting Parties'!C:C)</f>
        <v>#N/A</v>
      </c>
      <c r="J56" t="e">
        <f>_xlfn.XLOOKUP(A56,'DB - Identities'!U:U,'DB - Identities'!Q:Q)</f>
        <v>#N/A</v>
      </c>
      <c r="K56" t="e">
        <f>_xlfn.XLOOKUP(D56,Static!J:J,Static!K:K)</f>
        <v>#N/A</v>
      </c>
      <c r="L56" t="e">
        <f>IF(I56="Bank",_xlfn.XLOOKUP(J56,'Pricing Sheet'!A:A,'Pricing Sheet'!B:B,'Pricing Sheet'!$B$6),IF(I56="Corporate",_xlfn.XLOOKUP(J56,'Pricing Sheet'!F:F,'Pricing Sheet'!G:G,'Pricing Sheet'!$G$6),0))</f>
        <v>#N/A</v>
      </c>
      <c r="M56" t="str">
        <f t="shared" si="2"/>
        <v>OK</v>
      </c>
      <c r="N56" t="str">
        <f t="shared" si="3"/>
        <v>OK</v>
      </c>
    </row>
    <row r="57" spans="1:14">
      <c r="A57">
        <f>'Input 2 - Transactions'!A59</f>
        <v>0</v>
      </c>
      <c r="B57">
        <f>'Input 2 - Transactions'!B59</f>
        <v>0</v>
      </c>
      <c r="C57">
        <f>'Input 2 - Transactions'!C59</f>
        <v>0</v>
      </c>
      <c r="D57">
        <f>'Input 2 - Transactions'!D59</f>
        <v>0</v>
      </c>
      <c r="E57">
        <f>'Input 2 - Transactions'!E59</f>
        <v>0</v>
      </c>
      <c r="F57" s="29">
        <f>'Input 2 - Transactions'!F59</f>
        <v>0</v>
      </c>
      <c r="G57" s="29">
        <f>'Input 2 - Transactions'!G59</f>
        <v>0</v>
      </c>
      <c r="H57" t="e">
        <f>_xlfn.XLOOKUP(A57,'DB - Identities'!U:U,'DB - Identities'!B:B)</f>
        <v>#N/A</v>
      </c>
      <c r="I57" t="e">
        <f>_xlfn.XLOOKUP(H57,c_parties,'DB - Contracting Parties'!C:C)</f>
        <v>#N/A</v>
      </c>
      <c r="J57" t="e">
        <f>_xlfn.XLOOKUP(A57,'DB - Identities'!U:U,'DB - Identities'!Q:Q)</f>
        <v>#N/A</v>
      </c>
      <c r="K57" t="e">
        <f>_xlfn.XLOOKUP(D57,Static!J:J,Static!K:K)</f>
        <v>#N/A</v>
      </c>
      <c r="L57" t="e">
        <f>IF(I57="Bank",_xlfn.XLOOKUP(J57,'Pricing Sheet'!A:A,'Pricing Sheet'!B:B,'Pricing Sheet'!$B$6),IF(I57="Corporate",_xlfn.XLOOKUP(J57,'Pricing Sheet'!F:F,'Pricing Sheet'!G:G,'Pricing Sheet'!$G$6),0))</f>
        <v>#N/A</v>
      </c>
      <c r="M57" t="str">
        <f t="shared" si="2"/>
        <v>OK</v>
      </c>
      <c r="N57" t="str">
        <f t="shared" si="3"/>
        <v>OK</v>
      </c>
    </row>
    <row r="58" spans="1:14">
      <c r="A58">
        <f>'Input 2 - Transactions'!A60</f>
        <v>0</v>
      </c>
      <c r="B58">
        <f>'Input 2 - Transactions'!B60</f>
        <v>0</v>
      </c>
      <c r="C58">
        <f>'Input 2 - Transactions'!C60</f>
        <v>0</v>
      </c>
      <c r="D58">
        <f>'Input 2 - Transactions'!D60</f>
        <v>0</v>
      </c>
      <c r="E58">
        <f>'Input 2 - Transactions'!E60</f>
        <v>0</v>
      </c>
      <c r="F58" s="29">
        <f>'Input 2 - Transactions'!F60</f>
        <v>0</v>
      </c>
      <c r="G58" s="29">
        <f>'Input 2 - Transactions'!G60</f>
        <v>0</v>
      </c>
      <c r="H58" t="e">
        <f>_xlfn.XLOOKUP(A58,'DB - Identities'!U:U,'DB - Identities'!B:B)</f>
        <v>#N/A</v>
      </c>
      <c r="I58" t="e">
        <f>_xlfn.XLOOKUP(H58,c_parties,'DB - Contracting Parties'!C:C)</f>
        <v>#N/A</v>
      </c>
      <c r="J58" t="e">
        <f>_xlfn.XLOOKUP(A58,'DB - Identities'!U:U,'DB - Identities'!Q:Q)</f>
        <v>#N/A</v>
      </c>
      <c r="K58" t="e">
        <f>_xlfn.XLOOKUP(D58,Static!J:J,Static!K:K)</f>
        <v>#N/A</v>
      </c>
      <c r="L58" t="e">
        <f>IF(I58="Bank",_xlfn.XLOOKUP(J58,'Pricing Sheet'!A:A,'Pricing Sheet'!B:B,'Pricing Sheet'!$B$6),IF(I58="Corporate",_xlfn.XLOOKUP(J58,'Pricing Sheet'!F:F,'Pricing Sheet'!G:G,'Pricing Sheet'!$G$6),0))</f>
        <v>#N/A</v>
      </c>
      <c r="M58" t="str">
        <f t="shared" si="2"/>
        <v>OK</v>
      </c>
      <c r="N58" t="str">
        <f t="shared" si="3"/>
        <v>OK</v>
      </c>
    </row>
    <row r="59" spans="1:14">
      <c r="A59">
        <f>'Input 2 - Transactions'!A61</f>
        <v>0</v>
      </c>
      <c r="B59">
        <f>'Input 2 - Transactions'!B61</f>
        <v>0</v>
      </c>
      <c r="C59">
        <f>'Input 2 - Transactions'!C61</f>
        <v>0</v>
      </c>
      <c r="D59">
        <f>'Input 2 - Transactions'!D61</f>
        <v>0</v>
      </c>
      <c r="E59">
        <f>'Input 2 - Transactions'!E61</f>
        <v>0</v>
      </c>
      <c r="F59" s="29">
        <f>'Input 2 - Transactions'!F61</f>
        <v>0</v>
      </c>
      <c r="G59" s="29">
        <f>'Input 2 - Transactions'!G61</f>
        <v>0</v>
      </c>
      <c r="H59" t="e">
        <f>_xlfn.XLOOKUP(A59,'DB - Identities'!U:U,'DB - Identities'!B:B)</f>
        <v>#N/A</v>
      </c>
      <c r="I59" t="e">
        <f>_xlfn.XLOOKUP(H59,c_parties,'DB - Contracting Parties'!C:C)</f>
        <v>#N/A</v>
      </c>
      <c r="J59" t="e">
        <f>_xlfn.XLOOKUP(A59,'DB - Identities'!U:U,'DB - Identities'!Q:Q)</f>
        <v>#N/A</v>
      </c>
      <c r="K59" t="e">
        <f>_xlfn.XLOOKUP(D59,Static!J:J,Static!K:K)</f>
        <v>#N/A</v>
      </c>
      <c r="L59" t="e">
        <f>IF(I59="Bank",_xlfn.XLOOKUP(J59,'Pricing Sheet'!A:A,'Pricing Sheet'!B:B,'Pricing Sheet'!$B$6),IF(I59="Corporate",_xlfn.XLOOKUP(J59,'Pricing Sheet'!F:F,'Pricing Sheet'!G:G,'Pricing Sheet'!$G$6),0))</f>
        <v>#N/A</v>
      </c>
      <c r="M59" t="str">
        <f t="shared" si="2"/>
        <v>OK</v>
      </c>
      <c r="N59" t="str">
        <f t="shared" si="3"/>
        <v>OK</v>
      </c>
    </row>
    <row r="60" spans="1:14">
      <c r="A60">
        <f>'Input 2 - Transactions'!A62</f>
        <v>0</v>
      </c>
      <c r="B60">
        <f>'Input 2 - Transactions'!B62</f>
        <v>0</v>
      </c>
      <c r="C60">
        <f>'Input 2 - Transactions'!C62</f>
        <v>0</v>
      </c>
      <c r="D60">
        <f>'Input 2 - Transactions'!D62</f>
        <v>0</v>
      </c>
      <c r="E60">
        <f>'Input 2 - Transactions'!E62</f>
        <v>0</v>
      </c>
      <c r="F60" s="29">
        <f>'Input 2 - Transactions'!F62</f>
        <v>0</v>
      </c>
      <c r="G60" s="29">
        <f>'Input 2 - Transactions'!G62</f>
        <v>0</v>
      </c>
      <c r="H60" t="e">
        <f>_xlfn.XLOOKUP(A60,'DB - Identities'!U:U,'DB - Identities'!B:B)</f>
        <v>#N/A</v>
      </c>
      <c r="I60" t="e">
        <f>_xlfn.XLOOKUP(H60,c_parties,'DB - Contracting Parties'!C:C)</f>
        <v>#N/A</v>
      </c>
      <c r="J60" t="e">
        <f>_xlfn.XLOOKUP(A60,'DB - Identities'!U:U,'DB - Identities'!Q:Q)</f>
        <v>#N/A</v>
      </c>
      <c r="K60" t="e">
        <f>_xlfn.XLOOKUP(D60,Static!J:J,Static!K:K)</f>
        <v>#N/A</v>
      </c>
      <c r="L60" t="e">
        <f>IF(I60="Bank",_xlfn.XLOOKUP(J60,'Pricing Sheet'!A:A,'Pricing Sheet'!B:B,'Pricing Sheet'!$B$6),IF(I60="Corporate",_xlfn.XLOOKUP(J60,'Pricing Sheet'!F:F,'Pricing Sheet'!G:G,'Pricing Sheet'!$G$6),0))</f>
        <v>#N/A</v>
      </c>
      <c r="M60" t="str">
        <f t="shared" si="2"/>
        <v>OK</v>
      </c>
      <c r="N60" t="str">
        <f t="shared" si="3"/>
        <v>OK</v>
      </c>
    </row>
    <row r="61" spans="1:14">
      <c r="A61">
        <f>'Input 2 - Transactions'!A63</f>
        <v>0</v>
      </c>
      <c r="B61">
        <f>'Input 2 - Transactions'!B63</f>
        <v>0</v>
      </c>
      <c r="C61">
        <f>'Input 2 - Transactions'!C63</f>
        <v>0</v>
      </c>
      <c r="D61">
        <f>'Input 2 - Transactions'!D63</f>
        <v>0</v>
      </c>
      <c r="E61">
        <f>'Input 2 - Transactions'!E63</f>
        <v>0</v>
      </c>
      <c r="F61" s="29">
        <f>'Input 2 - Transactions'!F63</f>
        <v>0</v>
      </c>
      <c r="G61" s="29">
        <f>'Input 2 - Transactions'!G63</f>
        <v>0</v>
      </c>
      <c r="H61" t="e">
        <f>_xlfn.XLOOKUP(A61,'DB - Identities'!U:U,'DB - Identities'!B:B)</f>
        <v>#N/A</v>
      </c>
      <c r="I61" t="e">
        <f>_xlfn.XLOOKUP(H61,c_parties,'DB - Contracting Parties'!C:C)</f>
        <v>#N/A</v>
      </c>
      <c r="J61" t="e">
        <f>_xlfn.XLOOKUP(A61,'DB - Identities'!U:U,'DB - Identities'!Q:Q)</f>
        <v>#N/A</v>
      </c>
      <c r="K61" t="e">
        <f>_xlfn.XLOOKUP(D61,Static!J:J,Static!K:K)</f>
        <v>#N/A</v>
      </c>
      <c r="L61" t="e">
        <f>IF(I61="Bank",_xlfn.XLOOKUP(J61,'Pricing Sheet'!A:A,'Pricing Sheet'!B:B,'Pricing Sheet'!$B$6),IF(I61="Corporate",_xlfn.XLOOKUP(J61,'Pricing Sheet'!F:F,'Pricing Sheet'!G:G,'Pricing Sheet'!$G$6),0))</f>
        <v>#N/A</v>
      </c>
      <c r="M61" t="str">
        <f t="shared" si="2"/>
        <v>OK</v>
      </c>
      <c r="N61" t="str">
        <f t="shared" si="3"/>
        <v>OK</v>
      </c>
    </row>
    <row r="62" spans="1:14">
      <c r="A62">
        <f>'Input 2 - Transactions'!A64</f>
        <v>0</v>
      </c>
      <c r="B62">
        <f>'Input 2 - Transactions'!B64</f>
        <v>0</v>
      </c>
      <c r="C62">
        <f>'Input 2 - Transactions'!C64</f>
        <v>0</v>
      </c>
      <c r="D62">
        <f>'Input 2 - Transactions'!D64</f>
        <v>0</v>
      </c>
      <c r="E62">
        <f>'Input 2 - Transactions'!E64</f>
        <v>0</v>
      </c>
      <c r="F62" s="29">
        <f>'Input 2 - Transactions'!F64</f>
        <v>0</v>
      </c>
      <c r="G62" s="29">
        <f>'Input 2 - Transactions'!G64</f>
        <v>0</v>
      </c>
      <c r="H62" t="e">
        <f>_xlfn.XLOOKUP(A62,'DB - Identities'!U:U,'DB - Identities'!B:B)</f>
        <v>#N/A</v>
      </c>
      <c r="I62" t="e">
        <f>_xlfn.XLOOKUP(H62,c_parties,'DB - Contracting Parties'!C:C)</f>
        <v>#N/A</v>
      </c>
      <c r="J62" t="e">
        <f>_xlfn.XLOOKUP(A62,'DB - Identities'!U:U,'DB - Identities'!Q:Q)</f>
        <v>#N/A</v>
      </c>
      <c r="K62" t="e">
        <f>_xlfn.XLOOKUP(D62,Static!J:J,Static!K:K)</f>
        <v>#N/A</v>
      </c>
      <c r="L62" t="e">
        <f>IF(I62="Bank",_xlfn.XLOOKUP(J62,'Pricing Sheet'!A:A,'Pricing Sheet'!B:B,'Pricing Sheet'!$B$6),IF(I62="Corporate",_xlfn.XLOOKUP(J62,'Pricing Sheet'!F:F,'Pricing Sheet'!G:G,'Pricing Sheet'!$G$6),0))</f>
        <v>#N/A</v>
      </c>
      <c r="M62" t="str">
        <f t="shared" si="2"/>
        <v>OK</v>
      </c>
      <c r="N62" t="str">
        <f t="shared" si="3"/>
        <v>OK</v>
      </c>
    </row>
    <row r="63" spans="1:14">
      <c r="A63">
        <f>'Input 2 - Transactions'!A65</f>
        <v>0</v>
      </c>
      <c r="B63">
        <f>'Input 2 - Transactions'!B65</f>
        <v>0</v>
      </c>
      <c r="C63">
        <f>'Input 2 - Transactions'!C65</f>
        <v>0</v>
      </c>
      <c r="D63">
        <f>'Input 2 - Transactions'!D65</f>
        <v>0</v>
      </c>
      <c r="E63">
        <f>'Input 2 - Transactions'!E65</f>
        <v>0</v>
      </c>
      <c r="F63" s="29">
        <f>'Input 2 - Transactions'!F65</f>
        <v>0</v>
      </c>
      <c r="G63" s="29">
        <f>'Input 2 - Transactions'!G65</f>
        <v>0</v>
      </c>
      <c r="H63" t="e">
        <f>_xlfn.XLOOKUP(A63,'DB - Identities'!U:U,'DB - Identities'!B:B)</f>
        <v>#N/A</v>
      </c>
      <c r="I63" t="e">
        <f>_xlfn.XLOOKUP(H63,c_parties,'DB - Contracting Parties'!C:C)</f>
        <v>#N/A</v>
      </c>
      <c r="J63" t="e">
        <f>_xlfn.XLOOKUP(A63,'DB - Identities'!U:U,'DB - Identities'!Q:Q)</f>
        <v>#N/A</v>
      </c>
      <c r="K63" t="e">
        <f>_xlfn.XLOOKUP(D63,Static!J:J,Static!K:K)</f>
        <v>#N/A</v>
      </c>
      <c r="L63" t="e">
        <f>IF(I63="Bank",_xlfn.XLOOKUP(J63,'Pricing Sheet'!A:A,'Pricing Sheet'!B:B,'Pricing Sheet'!$B$6),IF(I63="Corporate",_xlfn.XLOOKUP(J63,'Pricing Sheet'!F:F,'Pricing Sheet'!G:G,'Pricing Sheet'!$G$6),0))</f>
        <v>#N/A</v>
      </c>
      <c r="M63" t="str">
        <f t="shared" si="2"/>
        <v>OK</v>
      </c>
      <c r="N63" t="str">
        <f t="shared" si="3"/>
        <v>OK</v>
      </c>
    </row>
    <row r="64" spans="1:14">
      <c r="A64">
        <f>'Input 2 - Transactions'!A66</f>
        <v>0</v>
      </c>
      <c r="B64">
        <f>'Input 2 - Transactions'!B66</f>
        <v>0</v>
      </c>
      <c r="C64">
        <f>'Input 2 - Transactions'!C66</f>
        <v>0</v>
      </c>
      <c r="D64">
        <f>'Input 2 - Transactions'!D66</f>
        <v>0</v>
      </c>
      <c r="E64">
        <f>'Input 2 - Transactions'!E66</f>
        <v>0</v>
      </c>
      <c r="F64" s="29">
        <f>'Input 2 - Transactions'!F66</f>
        <v>0</v>
      </c>
      <c r="G64" s="29">
        <f>'Input 2 - Transactions'!G66</f>
        <v>0</v>
      </c>
      <c r="H64" t="e">
        <f>_xlfn.XLOOKUP(A64,'DB - Identities'!U:U,'DB - Identities'!B:B)</f>
        <v>#N/A</v>
      </c>
      <c r="I64" t="e">
        <f>_xlfn.XLOOKUP(H64,c_parties,'DB - Contracting Parties'!C:C)</f>
        <v>#N/A</v>
      </c>
      <c r="J64" t="e">
        <f>_xlfn.XLOOKUP(A64,'DB - Identities'!U:U,'DB - Identities'!Q:Q)</f>
        <v>#N/A</v>
      </c>
      <c r="K64" t="e">
        <f>_xlfn.XLOOKUP(D64,Static!J:J,Static!K:K)</f>
        <v>#N/A</v>
      </c>
      <c r="L64" t="e">
        <f>IF(I64="Bank",_xlfn.XLOOKUP(J64,'Pricing Sheet'!A:A,'Pricing Sheet'!B:B,'Pricing Sheet'!$B$6),IF(I64="Corporate",_xlfn.XLOOKUP(J64,'Pricing Sheet'!F:F,'Pricing Sheet'!G:G,'Pricing Sheet'!$G$6),0))</f>
        <v>#N/A</v>
      </c>
      <c r="M64" t="str">
        <f t="shared" si="2"/>
        <v>OK</v>
      </c>
      <c r="N64" t="str">
        <f t="shared" si="3"/>
        <v>OK</v>
      </c>
    </row>
    <row r="65" spans="1:14">
      <c r="A65">
        <f>'Input 2 - Transactions'!A67</f>
        <v>0</v>
      </c>
      <c r="B65">
        <f>'Input 2 - Transactions'!B67</f>
        <v>0</v>
      </c>
      <c r="C65">
        <f>'Input 2 - Transactions'!C67</f>
        <v>0</v>
      </c>
      <c r="D65">
        <f>'Input 2 - Transactions'!D67</f>
        <v>0</v>
      </c>
      <c r="E65">
        <f>'Input 2 - Transactions'!E67</f>
        <v>0</v>
      </c>
      <c r="F65" s="29">
        <f>'Input 2 - Transactions'!F67</f>
        <v>0</v>
      </c>
      <c r="G65" s="29">
        <f>'Input 2 - Transactions'!G67</f>
        <v>0</v>
      </c>
      <c r="H65" t="e">
        <f>_xlfn.XLOOKUP(A65,'DB - Identities'!U:U,'DB - Identities'!B:B)</f>
        <v>#N/A</v>
      </c>
      <c r="I65" t="e">
        <f>_xlfn.XLOOKUP(H65,c_parties,'DB - Contracting Parties'!C:C)</f>
        <v>#N/A</v>
      </c>
      <c r="J65" t="e">
        <f>_xlfn.XLOOKUP(A65,'DB - Identities'!U:U,'DB - Identities'!Q:Q)</f>
        <v>#N/A</v>
      </c>
      <c r="K65" t="e">
        <f>_xlfn.XLOOKUP(D65,Static!J:J,Static!K:K)</f>
        <v>#N/A</v>
      </c>
      <c r="L65" t="e">
        <f>IF(I65="Bank",_xlfn.XLOOKUP(J65,'Pricing Sheet'!A:A,'Pricing Sheet'!B:B,'Pricing Sheet'!$B$6),IF(I65="Corporate",_xlfn.XLOOKUP(J65,'Pricing Sheet'!F:F,'Pricing Sheet'!G:G,'Pricing Sheet'!$G$6),0))</f>
        <v>#N/A</v>
      </c>
      <c r="M65" t="str">
        <f t="shared" ref="M65:M128" si="4">IF(AND(A65&lt;&gt;0,ISNA(H65)),"ERROR", "OK")</f>
        <v>OK</v>
      </c>
      <c r="N65" t="str">
        <f t="shared" ref="N65:N128" si="5">IF(AND(A65&lt;&gt;0,ISNA(J65)),"ERROR", "OK")</f>
        <v>OK</v>
      </c>
    </row>
    <row r="66" spans="1:14">
      <c r="A66">
        <f>'Input 2 - Transactions'!A68</f>
        <v>0</v>
      </c>
      <c r="B66">
        <f>'Input 2 - Transactions'!B68</f>
        <v>0</v>
      </c>
      <c r="C66">
        <f>'Input 2 - Transactions'!C68</f>
        <v>0</v>
      </c>
      <c r="D66">
        <f>'Input 2 - Transactions'!D68</f>
        <v>0</v>
      </c>
      <c r="E66">
        <f>'Input 2 - Transactions'!E68</f>
        <v>0</v>
      </c>
      <c r="F66" s="29">
        <f>'Input 2 - Transactions'!F68</f>
        <v>0</v>
      </c>
      <c r="G66" s="29">
        <f>'Input 2 - Transactions'!G68</f>
        <v>0</v>
      </c>
      <c r="H66" t="e">
        <f>_xlfn.XLOOKUP(A66,'DB - Identities'!U:U,'DB - Identities'!B:B)</f>
        <v>#N/A</v>
      </c>
      <c r="I66" t="e">
        <f>_xlfn.XLOOKUP(H66,c_parties,'DB - Contracting Parties'!C:C)</f>
        <v>#N/A</v>
      </c>
      <c r="J66" t="e">
        <f>_xlfn.XLOOKUP(A66,'DB - Identities'!U:U,'DB - Identities'!Q:Q)</f>
        <v>#N/A</v>
      </c>
      <c r="K66" t="e">
        <f>_xlfn.XLOOKUP(D66,Static!J:J,Static!K:K)</f>
        <v>#N/A</v>
      </c>
      <c r="L66" t="e">
        <f>IF(I66="Bank",_xlfn.XLOOKUP(J66,'Pricing Sheet'!A:A,'Pricing Sheet'!B:B,'Pricing Sheet'!$B$6),IF(I66="Corporate",_xlfn.XLOOKUP(J66,'Pricing Sheet'!F:F,'Pricing Sheet'!G:G,'Pricing Sheet'!$G$6),0))</f>
        <v>#N/A</v>
      </c>
      <c r="M66" t="str">
        <f t="shared" si="4"/>
        <v>OK</v>
      </c>
      <c r="N66" t="str">
        <f t="shared" si="5"/>
        <v>OK</v>
      </c>
    </row>
    <row r="67" spans="1:14">
      <c r="A67">
        <f>'Input 2 - Transactions'!A69</f>
        <v>0</v>
      </c>
      <c r="B67">
        <f>'Input 2 - Transactions'!B69</f>
        <v>0</v>
      </c>
      <c r="C67">
        <f>'Input 2 - Transactions'!C69</f>
        <v>0</v>
      </c>
      <c r="D67">
        <f>'Input 2 - Transactions'!D69</f>
        <v>0</v>
      </c>
      <c r="E67">
        <f>'Input 2 - Transactions'!E69</f>
        <v>0</v>
      </c>
      <c r="F67" s="29">
        <f>'Input 2 - Transactions'!F69</f>
        <v>0</v>
      </c>
      <c r="G67" s="29">
        <f>'Input 2 - Transactions'!G69</f>
        <v>0</v>
      </c>
      <c r="H67" t="e">
        <f>_xlfn.XLOOKUP(A67,'DB - Identities'!U:U,'DB - Identities'!B:B)</f>
        <v>#N/A</v>
      </c>
      <c r="I67" t="e">
        <f>_xlfn.XLOOKUP(H67,c_parties,'DB - Contracting Parties'!C:C)</f>
        <v>#N/A</v>
      </c>
      <c r="J67" t="e">
        <f>_xlfn.XLOOKUP(A67,'DB - Identities'!U:U,'DB - Identities'!Q:Q)</f>
        <v>#N/A</v>
      </c>
      <c r="K67" t="e">
        <f>_xlfn.XLOOKUP(D67,Static!J:J,Static!K:K)</f>
        <v>#N/A</v>
      </c>
      <c r="L67" t="e">
        <f>IF(I67="Bank",_xlfn.XLOOKUP(J67,'Pricing Sheet'!A:A,'Pricing Sheet'!B:B,'Pricing Sheet'!$B$6),IF(I67="Corporate",_xlfn.XLOOKUP(J67,'Pricing Sheet'!F:F,'Pricing Sheet'!G:G,'Pricing Sheet'!$G$6),0))</f>
        <v>#N/A</v>
      </c>
      <c r="M67" t="str">
        <f t="shared" si="4"/>
        <v>OK</v>
      </c>
      <c r="N67" t="str">
        <f t="shared" si="5"/>
        <v>OK</v>
      </c>
    </row>
    <row r="68" spans="1:14">
      <c r="A68">
        <f>'Input 2 - Transactions'!A70</f>
        <v>0</v>
      </c>
      <c r="B68">
        <f>'Input 2 - Transactions'!B70</f>
        <v>0</v>
      </c>
      <c r="C68">
        <f>'Input 2 - Transactions'!C70</f>
        <v>0</v>
      </c>
      <c r="D68">
        <f>'Input 2 - Transactions'!D70</f>
        <v>0</v>
      </c>
      <c r="E68">
        <f>'Input 2 - Transactions'!E70</f>
        <v>0</v>
      </c>
      <c r="F68" s="29">
        <f>'Input 2 - Transactions'!F70</f>
        <v>0</v>
      </c>
      <c r="G68" s="29">
        <f>'Input 2 - Transactions'!G70</f>
        <v>0</v>
      </c>
      <c r="H68" t="e">
        <f>_xlfn.XLOOKUP(A68,'DB - Identities'!U:U,'DB - Identities'!B:B)</f>
        <v>#N/A</v>
      </c>
      <c r="I68" t="e">
        <f>_xlfn.XLOOKUP(H68,c_parties,'DB - Contracting Parties'!C:C)</f>
        <v>#N/A</v>
      </c>
      <c r="J68" t="e">
        <f>_xlfn.XLOOKUP(A68,'DB - Identities'!U:U,'DB - Identities'!Q:Q)</f>
        <v>#N/A</v>
      </c>
      <c r="K68" t="e">
        <f>_xlfn.XLOOKUP(D68,Static!J:J,Static!K:K)</f>
        <v>#N/A</v>
      </c>
      <c r="L68" t="e">
        <f>IF(I68="Bank",_xlfn.XLOOKUP(J68,'Pricing Sheet'!A:A,'Pricing Sheet'!B:B,'Pricing Sheet'!$B$6),IF(I68="Corporate",_xlfn.XLOOKUP(J68,'Pricing Sheet'!F:F,'Pricing Sheet'!G:G,'Pricing Sheet'!$G$6),0))</f>
        <v>#N/A</v>
      </c>
      <c r="M68" t="str">
        <f t="shared" si="4"/>
        <v>OK</v>
      </c>
      <c r="N68" t="str">
        <f t="shared" si="5"/>
        <v>OK</v>
      </c>
    </row>
    <row r="69" spans="1:14">
      <c r="A69">
        <f>'Input 2 - Transactions'!A71</f>
        <v>0</v>
      </c>
      <c r="B69">
        <f>'Input 2 - Transactions'!B71</f>
        <v>0</v>
      </c>
      <c r="C69">
        <f>'Input 2 - Transactions'!C71</f>
        <v>0</v>
      </c>
      <c r="D69">
        <f>'Input 2 - Transactions'!D71</f>
        <v>0</v>
      </c>
      <c r="E69">
        <f>'Input 2 - Transactions'!E71</f>
        <v>0</v>
      </c>
      <c r="F69" s="29">
        <f>'Input 2 - Transactions'!F71</f>
        <v>0</v>
      </c>
      <c r="G69" s="29">
        <f>'Input 2 - Transactions'!G71</f>
        <v>0</v>
      </c>
      <c r="H69" t="e">
        <f>_xlfn.XLOOKUP(A69,'DB - Identities'!U:U,'DB - Identities'!B:B)</f>
        <v>#N/A</v>
      </c>
      <c r="I69" t="e">
        <f>_xlfn.XLOOKUP(H69,c_parties,'DB - Contracting Parties'!C:C)</f>
        <v>#N/A</v>
      </c>
      <c r="J69" t="e">
        <f>_xlfn.XLOOKUP(A69,'DB - Identities'!U:U,'DB - Identities'!Q:Q)</f>
        <v>#N/A</v>
      </c>
      <c r="K69" t="e">
        <f>_xlfn.XLOOKUP(D69,Static!J:J,Static!K:K)</f>
        <v>#N/A</v>
      </c>
      <c r="L69" t="e">
        <f>IF(I69="Bank",_xlfn.XLOOKUP(J69,'Pricing Sheet'!A:A,'Pricing Sheet'!B:B,'Pricing Sheet'!$B$6),IF(I69="Corporate",_xlfn.XLOOKUP(J69,'Pricing Sheet'!F:F,'Pricing Sheet'!G:G,'Pricing Sheet'!$G$6),0))</f>
        <v>#N/A</v>
      </c>
      <c r="M69" t="str">
        <f t="shared" si="4"/>
        <v>OK</v>
      </c>
      <c r="N69" t="str">
        <f t="shared" si="5"/>
        <v>OK</v>
      </c>
    </row>
    <row r="70" spans="1:14">
      <c r="A70">
        <f>'Input 2 - Transactions'!A72</f>
        <v>0</v>
      </c>
      <c r="B70">
        <f>'Input 2 - Transactions'!B72</f>
        <v>0</v>
      </c>
      <c r="C70">
        <f>'Input 2 - Transactions'!C72</f>
        <v>0</v>
      </c>
      <c r="D70">
        <f>'Input 2 - Transactions'!D72</f>
        <v>0</v>
      </c>
      <c r="E70">
        <f>'Input 2 - Transactions'!E72</f>
        <v>0</v>
      </c>
      <c r="F70" s="29">
        <f>'Input 2 - Transactions'!F72</f>
        <v>0</v>
      </c>
      <c r="G70" s="29">
        <f>'Input 2 - Transactions'!G72</f>
        <v>0</v>
      </c>
      <c r="H70" t="e">
        <f>_xlfn.XLOOKUP(A70,'DB - Identities'!U:U,'DB - Identities'!B:B)</f>
        <v>#N/A</v>
      </c>
      <c r="I70" t="e">
        <f>_xlfn.XLOOKUP(H70,c_parties,'DB - Contracting Parties'!C:C)</f>
        <v>#N/A</v>
      </c>
      <c r="J70" t="e">
        <f>_xlfn.XLOOKUP(A70,'DB - Identities'!U:U,'DB - Identities'!Q:Q)</f>
        <v>#N/A</v>
      </c>
      <c r="K70" t="e">
        <f>_xlfn.XLOOKUP(D70,Static!J:J,Static!K:K)</f>
        <v>#N/A</v>
      </c>
      <c r="L70" t="e">
        <f>IF(I70="Bank",_xlfn.XLOOKUP(J70,'Pricing Sheet'!A:A,'Pricing Sheet'!B:B,'Pricing Sheet'!$B$6),IF(I70="Corporate",_xlfn.XLOOKUP(J70,'Pricing Sheet'!F:F,'Pricing Sheet'!G:G,'Pricing Sheet'!$G$6),0))</f>
        <v>#N/A</v>
      </c>
      <c r="M70" t="str">
        <f t="shared" si="4"/>
        <v>OK</v>
      </c>
      <c r="N70" t="str">
        <f t="shared" si="5"/>
        <v>OK</v>
      </c>
    </row>
    <row r="71" spans="1:14">
      <c r="A71">
        <f>'Input 2 - Transactions'!A73</f>
        <v>0</v>
      </c>
      <c r="B71">
        <f>'Input 2 - Transactions'!B73</f>
        <v>0</v>
      </c>
      <c r="C71">
        <f>'Input 2 - Transactions'!C73</f>
        <v>0</v>
      </c>
      <c r="D71">
        <f>'Input 2 - Transactions'!D73</f>
        <v>0</v>
      </c>
      <c r="E71">
        <f>'Input 2 - Transactions'!E73</f>
        <v>0</v>
      </c>
      <c r="F71" s="29">
        <f>'Input 2 - Transactions'!F73</f>
        <v>0</v>
      </c>
      <c r="G71" s="29">
        <f>'Input 2 - Transactions'!G73</f>
        <v>0</v>
      </c>
      <c r="H71" t="e">
        <f>_xlfn.XLOOKUP(A71,'DB - Identities'!U:U,'DB - Identities'!B:B)</f>
        <v>#N/A</v>
      </c>
      <c r="I71" t="e">
        <f>_xlfn.XLOOKUP(H71,c_parties,'DB - Contracting Parties'!C:C)</f>
        <v>#N/A</v>
      </c>
      <c r="J71" t="e">
        <f>_xlfn.XLOOKUP(A71,'DB - Identities'!U:U,'DB - Identities'!Q:Q)</f>
        <v>#N/A</v>
      </c>
      <c r="K71" t="e">
        <f>_xlfn.XLOOKUP(D71,Static!J:J,Static!K:K)</f>
        <v>#N/A</v>
      </c>
      <c r="L71" t="e">
        <f>IF(I71="Bank",_xlfn.XLOOKUP(J71,'Pricing Sheet'!A:A,'Pricing Sheet'!B:B,'Pricing Sheet'!$B$6),IF(I71="Corporate",_xlfn.XLOOKUP(J71,'Pricing Sheet'!F:F,'Pricing Sheet'!G:G,'Pricing Sheet'!$G$6),0))</f>
        <v>#N/A</v>
      </c>
      <c r="M71" t="str">
        <f t="shared" si="4"/>
        <v>OK</v>
      </c>
      <c r="N71" t="str">
        <f t="shared" si="5"/>
        <v>OK</v>
      </c>
    </row>
    <row r="72" spans="1:14">
      <c r="A72">
        <f>'Input 2 - Transactions'!A74</f>
        <v>0</v>
      </c>
      <c r="B72">
        <f>'Input 2 - Transactions'!B74</f>
        <v>0</v>
      </c>
      <c r="C72">
        <f>'Input 2 - Transactions'!C74</f>
        <v>0</v>
      </c>
      <c r="D72">
        <f>'Input 2 - Transactions'!D74</f>
        <v>0</v>
      </c>
      <c r="E72">
        <f>'Input 2 - Transactions'!E74</f>
        <v>0</v>
      </c>
      <c r="F72" s="29">
        <f>'Input 2 - Transactions'!F74</f>
        <v>0</v>
      </c>
      <c r="G72" s="29">
        <f>'Input 2 - Transactions'!G74</f>
        <v>0</v>
      </c>
      <c r="H72" t="e">
        <f>_xlfn.XLOOKUP(A72,'DB - Identities'!U:U,'DB - Identities'!B:B)</f>
        <v>#N/A</v>
      </c>
      <c r="I72" t="e">
        <f>_xlfn.XLOOKUP(H72,c_parties,'DB - Contracting Parties'!C:C)</f>
        <v>#N/A</v>
      </c>
      <c r="J72" t="e">
        <f>_xlfn.XLOOKUP(A72,'DB - Identities'!U:U,'DB - Identities'!Q:Q)</f>
        <v>#N/A</v>
      </c>
      <c r="K72" t="e">
        <f>_xlfn.XLOOKUP(D72,Static!J:J,Static!K:K)</f>
        <v>#N/A</v>
      </c>
      <c r="L72" t="e">
        <f>IF(I72="Bank",_xlfn.XLOOKUP(J72,'Pricing Sheet'!A:A,'Pricing Sheet'!B:B,'Pricing Sheet'!$B$6),IF(I72="Corporate",_xlfn.XLOOKUP(J72,'Pricing Sheet'!F:F,'Pricing Sheet'!G:G,'Pricing Sheet'!$G$6),0))</f>
        <v>#N/A</v>
      </c>
      <c r="M72" t="str">
        <f t="shared" si="4"/>
        <v>OK</v>
      </c>
      <c r="N72" t="str">
        <f t="shared" si="5"/>
        <v>OK</v>
      </c>
    </row>
    <row r="73" spans="1:14">
      <c r="A73">
        <f>'Input 2 - Transactions'!A75</f>
        <v>0</v>
      </c>
      <c r="B73">
        <f>'Input 2 - Transactions'!B75</f>
        <v>0</v>
      </c>
      <c r="C73">
        <f>'Input 2 - Transactions'!C75</f>
        <v>0</v>
      </c>
      <c r="D73">
        <f>'Input 2 - Transactions'!D75</f>
        <v>0</v>
      </c>
      <c r="E73">
        <f>'Input 2 - Transactions'!E75</f>
        <v>0</v>
      </c>
      <c r="F73" s="29">
        <f>'Input 2 - Transactions'!F75</f>
        <v>0</v>
      </c>
      <c r="G73" s="29">
        <f>'Input 2 - Transactions'!G75</f>
        <v>0</v>
      </c>
      <c r="H73" t="e">
        <f>_xlfn.XLOOKUP(A73,'DB - Identities'!U:U,'DB - Identities'!B:B)</f>
        <v>#N/A</v>
      </c>
      <c r="I73" t="e">
        <f>_xlfn.XLOOKUP(H73,c_parties,'DB - Contracting Parties'!C:C)</f>
        <v>#N/A</v>
      </c>
      <c r="J73" t="e">
        <f>_xlfn.XLOOKUP(A73,'DB - Identities'!U:U,'DB - Identities'!Q:Q)</f>
        <v>#N/A</v>
      </c>
      <c r="K73" t="e">
        <f>_xlfn.XLOOKUP(D73,Static!J:J,Static!K:K)</f>
        <v>#N/A</v>
      </c>
      <c r="L73" t="e">
        <f>IF(I73="Bank",_xlfn.XLOOKUP(J73,'Pricing Sheet'!A:A,'Pricing Sheet'!B:B,'Pricing Sheet'!$B$6),IF(I73="Corporate",_xlfn.XLOOKUP(J73,'Pricing Sheet'!F:F,'Pricing Sheet'!G:G,'Pricing Sheet'!$G$6),0))</f>
        <v>#N/A</v>
      </c>
      <c r="M73" t="str">
        <f t="shared" si="4"/>
        <v>OK</v>
      </c>
      <c r="N73" t="str">
        <f t="shared" si="5"/>
        <v>OK</v>
      </c>
    </row>
    <row r="74" spans="1:14">
      <c r="A74">
        <f>'Input 2 - Transactions'!A76</f>
        <v>0</v>
      </c>
      <c r="B74">
        <f>'Input 2 - Transactions'!B76</f>
        <v>0</v>
      </c>
      <c r="C74">
        <f>'Input 2 - Transactions'!C76</f>
        <v>0</v>
      </c>
      <c r="D74">
        <f>'Input 2 - Transactions'!D76</f>
        <v>0</v>
      </c>
      <c r="E74">
        <f>'Input 2 - Transactions'!E76</f>
        <v>0</v>
      </c>
      <c r="F74" s="29">
        <f>'Input 2 - Transactions'!F76</f>
        <v>0</v>
      </c>
      <c r="G74" s="29">
        <f>'Input 2 - Transactions'!G76</f>
        <v>0</v>
      </c>
      <c r="H74" t="e">
        <f>_xlfn.XLOOKUP(A74,'DB - Identities'!U:U,'DB - Identities'!B:B)</f>
        <v>#N/A</v>
      </c>
      <c r="I74" t="e">
        <f>_xlfn.XLOOKUP(H74,c_parties,'DB - Contracting Parties'!C:C)</f>
        <v>#N/A</v>
      </c>
      <c r="J74" t="e">
        <f>_xlfn.XLOOKUP(A74,'DB - Identities'!U:U,'DB - Identities'!Q:Q)</f>
        <v>#N/A</v>
      </c>
      <c r="K74" t="e">
        <f>_xlfn.XLOOKUP(D74,Static!J:J,Static!K:K)</f>
        <v>#N/A</v>
      </c>
      <c r="L74" t="e">
        <f>IF(I74="Bank",_xlfn.XLOOKUP(J74,'Pricing Sheet'!A:A,'Pricing Sheet'!B:B,'Pricing Sheet'!$B$6),IF(I74="Corporate",_xlfn.XLOOKUP(J74,'Pricing Sheet'!F:F,'Pricing Sheet'!G:G,'Pricing Sheet'!$G$6),0))</f>
        <v>#N/A</v>
      </c>
      <c r="M74" t="str">
        <f t="shared" si="4"/>
        <v>OK</v>
      </c>
      <c r="N74" t="str">
        <f t="shared" si="5"/>
        <v>OK</v>
      </c>
    </row>
    <row r="75" spans="1:14">
      <c r="A75">
        <f>'Input 2 - Transactions'!A77</f>
        <v>0</v>
      </c>
      <c r="B75">
        <f>'Input 2 - Transactions'!B77</f>
        <v>0</v>
      </c>
      <c r="C75">
        <f>'Input 2 - Transactions'!C77</f>
        <v>0</v>
      </c>
      <c r="D75">
        <f>'Input 2 - Transactions'!D77</f>
        <v>0</v>
      </c>
      <c r="E75">
        <f>'Input 2 - Transactions'!E77</f>
        <v>0</v>
      </c>
      <c r="F75" s="29">
        <f>'Input 2 - Transactions'!F77</f>
        <v>0</v>
      </c>
      <c r="G75" s="29">
        <f>'Input 2 - Transactions'!G77</f>
        <v>0</v>
      </c>
      <c r="H75" t="e">
        <f>_xlfn.XLOOKUP(A75,'DB - Identities'!U:U,'DB - Identities'!B:B)</f>
        <v>#N/A</v>
      </c>
      <c r="I75" t="e">
        <f>_xlfn.XLOOKUP(H75,c_parties,'DB - Contracting Parties'!C:C)</f>
        <v>#N/A</v>
      </c>
      <c r="J75" t="e">
        <f>_xlfn.XLOOKUP(A75,'DB - Identities'!U:U,'DB - Identities'!Q:Q)</f>
        <v>#N/A</v>
      </c>
      <c r="K75" t="e">
        <f>_xlfn.XLOOKUP(D75,Static!J:J,Static!K:K)</f>
        <v>#N/A</v>
      </c>
      <c r="L75" t="e">
        <f>IF(I75="Bank",_xlfn.XLOOKUP(J75,'Pricing Sheet'!A:A,'Pricing Sheet'!B:B,'Pricing Sheet'!$B$6),IF(I75="Corporate",_xlfn.XLOOKUP(J75,'Pricing Sheet'!F:F,'Pricing Sheet'!G:G,'Pricing Sheet'!$G$6),0))</f>
        <v>#N/A</v>
      </c>
      <c r="M75" t="str">
        <f t="shared" si="4"/>
        <v>OK</v>
      </c>
      <c r="N75" t="str">
        <f t="shared" si="5"/>
        <v>OK</v>
      </c>
    </row>
    <row r="76" spans="1:14">
      <c r="A76">
        <f>'Input 2 - Transactions'!A78</f>
        <v>0</v>
      </c>
      <c r="B76">
        <f>'Input 2 - Transactions'!B78</f>
        <v>0</v>
      </c>
      <c r="C76">
        <f>'Input 2 - Transactions'!C78</f>
        <v>0</v>
      </c>
      <c r="D76">
        <f>'Input 2 - Transactions'!D78</f>
        <v>0</v>
      </c>
      <c r="E76">
        <f>'Input 2 - Transactions'!E78</f>
        <v>0</v>
      </c>
      <c r="F76" s="29">
        <f>'Input 2 - Transactions'!F78</f>
        <v>0</v>
      </c>
      <c r="G76" s="29">
        <f>'Input 2 - Transactions'!G78</f>
        <v>0</v>
      </c>
      <c r="H76" t="e">
        <f>_xlfn.XLOOKUP(A76,'DB - Identities'!U:U,'DB - Identities'!B:B)</f>
        <v>#N/A</v>
      </c>
      <c r="I76" t="e">
        <f>_xlfn.XLOOKUP(H76,c_parties,'DB - Contracting Parties'!C:C)</f>
        <v>#N/A</v>
      </c>
      <c r="J76" t="e">
        <f>_xlfn.XLOOKUP(A76,'DB - Identities'!U:U,'DB - Identities'!Q:Q)</f>
        <v>#N/A</v>
      </c>
      <c r="K76" t="e">
        <f>_xlfn.XLOOKUP(D76,Static!J:J,Static!K:K)</f>
        <v>#N/A</v>
      </c>
      <c r="L76" t="e">
        <f>IF(I76="Bank",_xlfn.XLOOKUP(J76,'Pricing Sheet'!A:A,'Pricing Sheet'!B:B,'Pricing Sheet'!$B$6),IF(I76="Corporate",_xlfn.XLOOKUP(J76,'Pricing Sheet'!F:F,'Pricing Sheet'!G:G,'Pricing Sheet'!$G$6),0))</f>
        <v>#N/A</v>
      </c>
      <c r="M76" t="str">
        <f t="shared" si="4"/>
        <v>OK</v>
      </c>
      <c r="N76" t="str">
        <f t="shared" si="5"/>
        <v>OK</v>
      </c>
    </row>
    <row r="77" spans="1:14">
      <c r="A77">
        <f>'Input 2 - Transactions'!A79</f>
        <v>0</v>
      </c>
      <c r="B77">
        <f>'Input 2 - Transactions'!B79</f>
        <v>0</v>
      </c>
      <c r="C77">
        <f>'Input 2 - Transactions'!C79</f>
        <v>0</v>
      </c>
      <c r="D77">
        <f>'Input 2 - Transactions'!D79</f>
        <v>0</v>
      </c>
      <c r="E77">
        <f>'Input 2 - Transactions'!E79</f>
        <v>0</v>
      </c>
      <c r="F77" s="29">
        <f>'Input 2 - Transactions'!F79</f>
        <v>0</v>
      </c>
      <c r="G77" s="29">
        <f>'Input 2 - Transactions'!G79</f>
        <v>0</v>
      </c>
      <c r="H77" t="e">
        <f>_xlfn.XLOOKUP(A77,'DB - Identities'!U:U,'DB - Identities'!B:B)</f>
        <v>#N/A</v>
      </c>
      <c r="I77" t="e">
        <f>_xlfn.XLOOKUP(H77,c_parties,'DB - Contracting Parties'!C:C)</f>
        <v>#N/A</v>
      </c>
      <c r="J77" t="e">
        <f>_xlfn.XLOOKUP(A77,'DB - Identities'!U:U,'DB - Identities'!Q:Q)</f>
        <v>#N/A</v>
      </c>
      <c r="K77" t="e">
        <f>_xlfn.XLOOKUP(D77,Static!J:J,Static!K:K)</f>
        <v>#N/A</v>
      </c>
      <c r="L77" t="e">
        <f>IF(I77="Bank",_xlfn.XLOOKUP(J77,'Pricing Sheet'!A:A,'Pricing Sheet'!B:B,'Pricing Sheet'!$B$6),IF(I77="Corporate",_xlfn.XLOOKUP(J77,'Pricing Sheet'!F:F,'Pricing Sheet'!G:G,'Pricing Sheet'!$G$6),0))</f>
        <v>#N/A</v>
      </c>
      <c r="M77" t="str">
        <f t="shared" si="4"/>
        <v>OK</v>
      </c>
      <c r="N77" t="str">
        <f t="shared" si="5"/>
        <v>OK</v>
      </c>
    </row>
    <row r="78" spans="1:14">
      <c r="A78">
        <f>'Input 2 - Transactions'!A80</f>
        <v>0</v>
      </c>
      <c r="B78">
        <f>'Input 2 - Transactions'!B80</f>
        <v>0</v>
      </c>
      <c r="C78">
        <f>'Input 2 - Transactions'!C80</f>
        <v>0</v>
      </c>
      <c r="D78">
        <f>'Input 2 - Transactions'!D80</f>
        <v>0</v>
      </c>
      <c r="E78">
        <f>'Input 2 - Transactions'!E80</f>
        <v>0</v>
      </c>
      <c r="F78" s="29">
        <f>'Input 2 - Transactions'!F80</f>
        <v>0</v>
      </c>
      <c r="G78" s="29">
        <f>'Input 2 - Transactions'!G80</f>
        <v>0</v>
      </c>
      <c r="H78" t="e">
        <f>_xlfn.XLOOKUP(A78,'DB - Identities'!U:U,'DB - Identities'!B:B)</f>
        <v>#N/A</v>
      </c>
      <c r="I78" t="e">
        <f>_xlfn.XLOOKUP(H78,c_parties,'DB - Contracting Parties'!C:C)</f>
        <v>#N/A</v>
      </c>
      <c r="J78" t="e">
        <f>_xlfn.XLOOKUP(A78,'DB - Identities'!U:U,'DB - Identities'!Q:Q)</f>
        <v>#N/A</v>
      </c>
      <c r="K78" t="e">
        <f>_xlfn.XLOOKUP(D78,Static!J:J,Static!K:K)</f>
        <v>#N/A</v>
      </c>
      <c r="L78" t="e">
        <f>IF(I78="Bank",_xlfn.XLOOKUP(J78,'Pricing Sheet'!A:A,'Pricing Sheet'!B:B,'Pricing Sheet'!$B$6),IF(I78="Corporate",_xlfn.XLOOKUP(J78,'Pricing Sheet'!F:F,'Pricing Sheet'!G:G,'Pricing Sheet'!$G$6),0))</f>
        <v>#N/A</v>
      </c>
      <c r="M78" t="str">
        <f t="shared" si="4"/>
        <v>OK</v>
      </c>
      <c r="N78" t="str">
        <f t="shared" si="5"/>
        <v>OK</v>
      </c>
    </row>
    <row r="79" spans="1:14">
      <c r="A79">
        <f>'Input 2 - Transactions'!A81</f>
        <v>0</v>
      </c>
      <c r="B79">
        <f>'Input 2 - Transactions'!B81</f>
        <v>0</v>
      </c>
      <c r="C79">
        <f>'Input 2 - Transactions'!C81</f>
        <v>0</v>
      </c>
      <c r="D79">
        <f>'Input 2 - Transactions'!D81</f>
        <v>0</v>
      </c>
      <c r="E79">
        <f>'Input 2 - Transactions'!E81</f>
        <v>0</v>
      </c>
      <c r="F79" s="29">
        <f>'Input 2 - Transactions'!F81</f>
        <v>0</v>
      </c>
      <c r="G79" s="29">
        <f>'Input 2 - Transactions'!G81</f>
        <v>0</v>
      </c>
      <c r="H79" t="e">
        <f>_xlfn.XLOOKUP(A79,'DB - Identities'!U:U,'DB - Identities'!B:B)</f>
        <v>#N/A</v>
      </c>
      <c r="I79" t="e">
        <f>_xlfn.XLOOKUP(H79,c_parties,'DB - Contracting Parties'!C:C)</f>
        <v>#N/A</v>
      </c>
      <c r="J79" t="e">
        <f>_xlfn.XLOOKUP(A79,'DB - Identities'!U:U,'DB - Identities'!Q:Q)</f>
        <v>#N/A</v>
      </c>
      <c r="K79" t="e">
        <f>_xlfn.XLOOKUP(D79,Static!J:J,Static!K:K)</f>
        <v>#N/A</v>
      </c>
      <c r="L79" t="e">
        <f>IF(I79="Bank",_xlfn.XLOOKUP(J79,'Pricing Sheet'!A:A,'Pricing Sheet'!B:B,'Pricing Sheet'!$B$6),IF(I79="Corporate",_xlfn.XLOOKUP(J79,'Pricing Sheet'!F:F,'Pricing Sheet'!G:G,'Pricing Sheet'!$G$6),0))</f>
        <v>#N/A</v>
      </c>
      <c r="M79" t="str">
        <f t="shared" si="4"/>
        <v>OK</v>
      </c>
      <c r="N79" t="str">
        <f t="shared" si="5"/>
        <v>OK</v>
      </c>
    </row>
    <row r="80" spans="1:14">
      <c r="A80">
        <f>'Input 2 - Transactions'!A82</f>
        <v>0</v>
      </c>
      <c r="B80">
        <f>'Input 2 - Transactions'!B82</f>
        <v>0</v>
      </c>
      <c r="C80">
        <f>'Input 2 - Transactions'!C82</f>
        <v>0</v>
      </c>
      <c r="D80">
        <f>'Input 2 - Transactions'!D82</f>
        <v>0</v>
      </c>
      <c r="E80">
        <f>'Input 2 - Transactions'!E82</f>
        <v>0</v>
      </c>
      <c r="F80" s="29">
        <f>'Input 2 - Transactions'!F82</f>
        <v>0</v>
      </c>
      <c r="G80" s="29">
        <f>'Input 2 - Transactions'!G82</f>
        <v>0</v>
      </c>
      <c r="H80" t="e">
        <f>_xlfn.XLOOKUP(A80,'DB - Identities'!U:U,'DB - Identities'!B:B)</f>
        <v>#N/A</v>
      </c>
      <c r="I80" t="e">
        <f>_xlfn.XLOOKUP(H80,c_parties,'DB - Contracting Parties'!C:C)</f>
        <v>#N/A</v>
      </c>
      <c r="J80" t="e">
        <f>_xlfn.XLOOKUP(A80,'DB - Identities'!U:U,'DB - Identities'!Q:Q)</f>
        <v>#N/A</v>
      </c>
      <c r="K80" t="e">
        <f>_xlfn.XLOOKUP(D80,Static!J:J,Static!K:K)</f>
        <v>#N/A</v>
      </c>
      <c r="L80" t="e">
        <f>IF(I80="Bank",_xlfn.XLOOKUP(J80,'Pricing Sheet'!A:A,'Pricing Sheet'!B:B,'Pricing Sheet'!$B$6),IF(I80="Corporate",_xlfn.XLOOKUP(J80,'Pricing Sheet'!F:F,'Pricing Sheet'!G:G,'Pricing Sheet'!$G$6),0))</f>
        <v>#N/A</v>
      </c>
      <c r="M80" t="str">
        <f t="shared" si="4"/>
        <v>OK</v>
      </c>
      <c r="N80" t="str">
        <f t="shared" si="5"/>
        <v>OK</v>
      </c>
    </row>
    <row r="81" spans="1:14">
      <c r="A81">
        <f>'Input 2 - Transactions'!A83</f>
        <v>0</v>
      </c>
      <c r="B81">
        <f>'Input 2 - Transactions'!B83</f>
        <v>0</v>
      </c>
      <c r="C81">
        <f>'Input 2 - Transactions'!C83</f>
        <v>0</v>
      </c>
      <c r="D81">
        <f>'Input 2 - Transactions'!D83</f>
        <v>0</v>
      </c>
      <c r="E81">
        <f>'Input 2 - Transactions'!E83</f>
        <v>0</v>
      </c>
      <c r="F81" s="29">
        <f>'Input 2 - Transactions'!F83</f>
        <v>0</v>
      </c>
      <c r="G81" s="29">
        <f>'Input 2 - Transactions'!G83</f>
        <v>0</v>
      </c>
      <c r="H81" t="e">
        <f>_xlfn.XLOOKUP(A81,'DB - Identities'!U:U,'DB - Identities'!B:B)</f>
        <v>#N/A</v>
      </c>
      <c r="I81" t="e">
        <f>_xlfn.XLOOKUP(H81,c_parties,'DB - Contracting Parties'!C:C)</f>
        <v>#N/A</v>
      </c>
      <c r="J81" t="e">
        <f>_xlfn.XLOOKUP(A81,'DB - Identities'!U:U,'DB - Identities'!Q:Q)</f>
        <v>#N/A</v>
      </c>
      <c r="K81" t="e">
        <f>_xlfn.XLOOKUP(D81,Static!J:J,Static!K:K)</f>
        <v>#N/A</v>
      </c>
      <c r="L81" t="e">
        <f>IF(I81="Bank",_xlfn.XLOOKUP(J81,'Pricing Sheet'!A:A,'Pricing Sheet'!B:B,'Pricing Sheet'!$B$6),IF(I81="Corporate",_xlfn.XLOOKUP(J81,'Pricing Sheet'!F:F,'Pricing Sheet'!G:G,'Pricing Sheet'!$G$6),0))</f>
        <v>#N/A</v>
      </c>
      <c r="M81" t="str">
        <f t="shared" si="4"/>
        <v>OK</v>
      </c>
      <c r="N81" t="str">
        <f t="shared" si="5"/>
        <v>OK</v>
      </c>
    </row>
    <row r="82" spans="1:14">
      <c r="A82">
        <f>'Input 2 - Transactions'!A84</f>
        <v>0</v>
      </c>
      <c r="B82">
        <f>'Input 2 - Transactions'!B84</f>
        <v>0</v>
      </c>
      <c r="C82">
        <f>'Input 2 - Transactions'!C84</f>
        <v>0</v>
      </c>
      <c r="D82">
        <f>'Input 2 - Transactions'!D84</f>
        <v>0</v>
      </c>
      <c r="E82">
        <f>'Input 2 - Transactions'!E84</f>
        <v>0</v>
      </c>
      <c r="F82" s="29">
        <f>'Input 2 - Transactions'!F84</f>
        <v>0</v>
      </c>
      <c r="G82" s="29">
        <f>'Input 2 - Transactions'!G84</f>
        <v>0</v>
      </c>
      <c r="H82" t="e">
        <f>_xlfn.XLOOKUP(A82,'DB - Identities'!U:U,'DB - Identities'!B:B)</f>
        <v>#N/A</v>
      </c>
      <c r="I82" t="e">
        <f>_xlfn.XLOOKUP(H82,c_parties,'DB - Contracting Parties'!C:C)</f>
        <v>#N/A</v>
      </c>
      <c r="J82" t="e">
        <f>_xlfn.XLOOKUP(A82,'DB - Identities'!U:U,'DB - Identities'!Q:Q)</f>
        <v>#N/A</v>
      </c>
      <c r="K82" t="e">
        <f>_xlfn.XLOOKUP(D82,Static!J:J,Static!K:K)</f>
        <v>#N/A</v>
      </c>
      <c r="L82" t="e">
        <f>IF(I82="Bank",_xlfn.XLOOKUP(J82,'Pricing Sheet'!A:A,'Pricing Sheet'!B:B,'Pricing Sheet'!$B$6),IF(I82="Corporate",_xlfn.XLOOKUP(J82,'Pricing Sheet'!F:F,'Pricing Sheet'!G:G,'Pricing Sheet'!$G$6),0))</f>
        <v>#N/A</v>
      </c>
      <c r="M82" t="str">
        <f t="shared" si="4"/>
        <v>OK</v>
      </c>
      <c r="N82" t="str">
        <f t="shared" si="5"/>
        <v>OK</v>
      </c>
    </row>
    <row r="83" spans="1:14">
      <c r="A83">
        <f>'Input 2 - Transactions'!A85</f>
        <v>0</v>
      </c>
      <c r="B83">
        <f>'Input 2 - Transactions'!B85</f>
        <v>0</v>
      </c>
      <c r="C83">
        <f>'Input 2 - Transactions'!C85</f>
        <v>0</v>
      </c>
      <c r="D83">
        <f>'Input 2 - Transactions'!D85</f>
        <v>0</v>
      </c>
      <c r="E83">
        <f>'Input 2 - Transactions'!E85</f>
        <v>0</v>
      </c>
      <c r="F83" s="29">
        <f>'Input 2 - Transactions'!F85</f>
        <v>0</v>
      </c>
      <c r="G83" s="29">
        <f>'Input 2 - Transactions'!G85</f>
        <v>0</v>
      </c>
      <c r="H83" t="e">
        <f>_xlfn.XLOOKUP(A83,'DB - Identities'!U:U,'DB - Identities'!B:B)</f>
        <v>#N/A</v>
      </c>
      <c r="I83" t="e">
        <f>_xlfn.XLOOKUP(H83,c_parties,'DB - Contracting Parties'!C:C)</f>
        <v>#N/A</v>
      </c>
      <c r="J83" t="e">
        <f>_xlfn.XLOOKUP(A83,'DB - Identities'!U:U,'DB - Identities'!Q:Q)</f>
        <v>#N/A</v>
      </c>
      <c r="K83" t="e">
        <f>_xlfn.XLOOKUP(D83,Static!J:J,Static!K:K)</f>
        <v>#N/A</v>
      </c>
      <c r="L83" t="e">
        <f>IF(I83="Bank",_xlfn.XLOOKUP(J83,'Pricing Sheet'!A:A,'Pricing Sheet'!B:B,'Pricing Sheet'!$B$6),IF(I83="Corporate",_xlfn.XLOOKUP(J83,'Pricing Sheet'!F:F,'Pricing Sheet'!G:G,'Pricing Sheet'!$G$6),0))</f>
        <v>#N/A</v>
      </c>
      <c r="M83" t="str">
        <f t="shared" si="4"/>
        <v>OK</v>
      </c>
      <c r="N83" t="str">
        <f t="shared" si="5"/>
        <v>OK</v>
      </c>
    </row>
    <row r="84" spans="1:14">
      <c r="A84">
        <f>'Input 2 - Transactions'!A86</f>
        <v>0</v>
      </c>
      <c r="B84">
        <f>'Input 2 - Transactions'!B86</f>
        <v>0</v>
      </c>
      <c r="C84">
        <f>'Input 2 - Transactions'!C86</f>
        <v>0</v>
      </c>
      <c r="D84">
        <f>'Input 2 - Transactions'!D86</f>
        <v>0</v>
      </c>
      <c r="E84">
        <f>'Input 2 - Transactions'!E86</f>
        <v>0</v>
      </c>
      <c r="F84" s="29">
        <f>'Input 2 - Transactions'!F86</f>
        <v>0</v>
      </c>
      <c r="G84" s="29">
        <f>'Input 2 - Transactions'!G86</f>
        <v>0</v>
      </c>
      <c r="H84" t="e">
        <f>_xlfn.XLOOKUP(A84,'DB - Identities'!U:U,'DB - Identities'!B:B)</f>
        <v>#N/A</v>
      </c>
      <c r="I84" t="e">
        <f>_xlfn.XLOOKUP(H84,c_parties,'DB - Contracting Parties'!C:C)</f>
        <v>#N/A</v>
      </c>
      <c r="J84" t="e">
        <f>_xlfn.XLOOKUP(A84,'DB - Identities'!U:U,'DB - Identities'!Q:Q)</f>
        <v>#N/A</v>
      </c>
      <c r="K84" t="e">
        <f>_xlfn.XLOOKUP(D84,Static!J:J,Static!K:K)</f>
        <v>#N/A</v>
      </c>
      <c r="L84" t="e">
        <f>IF(I84="Bank",_xlfn.XLOOKUP(J84,'Pricing Sheet'!A:A,'Pricing Sheet'!B:B,'Pricing Sheet'!$B$6),IF(I84="Corporate",_xlfn.XLOOKUP(J84,'Pricing Sheet'!F:F,'Pricing Sheet'!G:G,'Pricing Sheet'!$G$6),0))</f>
        <v>#N/A</v>
      </c>
      <c r="M84" t="str">
        <f t="shared" si="4"/>
        <v>OK</v>
      </c>
      <c r="N84" t="str">
        <f t="shared" si="5"/>
        <v>OK</v>
      </c>
    </row>
    <row r="85" spans="1:14">
      <c r="A85">
        <f>'Input 2 - Transactions'!A87</f>
        <v>0</v>
      </c>
      <c r="B85">
        <f>'Input 2 - Transactions'!B87</f>
        <v>0</v>
      </c>
      <c r="C85">
        <f>'Input 2 - Transactions'!C87</f>
        <v>0</v>
      </c>
      <c r="D85">
        <f>'Input 2 - Transactions'!D87</f>
        <v>0</v>
      </c>
      <c r="E85">
        <f>'Input 2 - Transactions'!E87</f>
        <v>0</v>
      </c>
      <c r="F85" s="29">
        <f>'Input 2 - Transactions'!F87</f>
        <v>0</v>
      </c>
      <c r="G85" s="29">
        <f>'Input 2 - Transactions'!G87</f>
        <v>0</v>
      </c>
      <c r="H85" t="e">
        <f>_xlfn.XLOOKUP(A85,'DB - Identities'!U:U,'DB - Identities'!B:B)</f>
        <v>#N/A</v>
      </c>
      <c r="I85" t="e">
        <f>_xlfn.XLOOKUP(H85,c_parties,'DB - Contracting Parties'!C:C)</f>
        <v>#N/A</v>
      </c>
      <c r="J85" t="e">
        <f>_xlfn.XLOOKUP(A85,'DB - Identities'!U:U,'DB - Identities'!Q:Q)</f>
        <v>#N/A</v>
      </c>
      <c r="K85" t="e">
        <f>_xlfn.XLOOKUP(D85,Static!J:J,Static!K:K)</f>
        <v>#N/A</v>
      </c>
      <c r="L85" t="e">
        <f>IF(I85="Bank",_xlfn.XLOOKUP(J85,'Pricing Sheet'!A:A,'Pricing Sheet'!B:B,'Pricing Sheet'!$B$6),IF(I85="Corporate",_xlfn.XLOOKUP(J85,'Pricing Sheet'!F:F,'Pricing Sheet'!G:G,'Pricing Sheet'!$G$6),0))</f>
        <v>#N/A</v>
      </c>
      <c r="M85" t="str">
        <f t="shared" si="4"/>
        <v>OK</v>
      </c>
      <c r="N85" t="str">
        <f t="shared" si="5"/>
        <v>OK</v>
      </c>
    </row>
    <row r="86" spans="1:14">
      <c r="A86">
        <f>'Input 2 - Transactions'!A88</f>
        <v>0</v>
      </c>
      <c r="B86">
        <f>'Input 2 - Transactions'!B88</f>
        <v>0</v>
      </c>
      <c r="C86">
        <f>'Input 2 - Transactions'!C88</f>
        <v>0</v>
      </c>
      <c r="D86">
        <f>'Input 2 - Transactions'!D88</f>
        <v>0</v>
      </c>
      <c r="E86">
        <f>'Input 2 - Transactions'!E88</f>
        <v>0</v>
      </c>
      <c r="F86" s="29">
        <f>'Input 2 - Transactions'!F88</f>
        <v>0</v>
      </c>
      <c r="G86" s="29">
        <f>'Input 2 - Transactions'!G88</f>
        <v>0</v>
      </c>
      <c r="H86" t="e">
        <f>_xlfn.XLOOKUP(A86,'DB - Identities'!U:U,'DB - Identities'!B:B)</f>
        <v>#N/A</v>
      </c>
      <c r="I86" t="e">
        <f>_xlfn.XLOOKUP(H86,c_parties,'DB - Contracting Parties'!C:C)</f>
        <v>#N/A</v>
      </c>
      <c r="J86" t="e">
        <f>_xlfn.XLOOKUP(A86,'DB - Identities'!U:U,'DB - Identities'!Q:Q)</f>
        <v>#N/A</v>
      </c>
      <c r="K86" t="e">
        <f>_xlfn.XLOOKUP(D86,Static!J:J,Static!K:K)</f>
        <v>#N/A</v>
      </c>
      <c r="L86" t="e">
        <f>IF(I86="Bank",_xlfn.XLOOKUP(J86,'Pricing Sheet'!A:A,'Pricing Sheet'!B:B,'Pricing Sheet'!$B$6),IF(I86="Corporate",_xlfn.XLOOKUP(J86,'Pricing Sheet'!F:F,'Pricing Sheet'!G:G,'Pricing Sheet'!$G$6),0))</f>
        <v>#N/A</v>
      </c>
      <c r="M86" t="str">
        <f t="shared" si="4"/>
        <v>OK</v>
      </c>
      <c r="N86" t="str">
        <f t="shared" si="5"/>
        <v>OK</v>
      </c>
    </row>
    <row r="87" spans="1:14">
      <c r="A87">
        <f>'Input 2 - Transactions'!A89</f>
        <v>0</v>
      </c>
      <c r="B87">
        <f>'Input 2 - Transactions'!B89</f>
        <v>0</v>
      </c>
      <c r="C87">
        <f>'Input 2 - Transactions'!C89</f>
        <v>0</v>
      </c>
      <c r="D87">
        <f>'Input 2 - Transactions'!D89</f>
        <v>0</v>
      </c>
      <c r="E87">
        <f>'Input 2 - Transactions'!E89</f>
        <v>0</v>
      </c>
      <c r="F87" s="29">
        <f>'Input 2 - Transactions'!F89</f>
        <v>0</v>
      </c>
      <c r="G87" s="29">
        <f>'Input 2 - Transactions'!G89</f>
        <v>0</v>
      </c>
      <c r="H87" t="e">
        <f>_xlfn.XLOOKUP(A87,'DB - Identities'!U:U,'DB - Identities'!B:B)</f>
        <v>#N/A</v>
      </c>
      <c r="I87" t="e">
        <f>_xlfn.XLOOKUP(H87,c_parties,'DB - Contracting Parties'!C:C)</f>
        <v>#N/A</v>
      </c>
      <c r="J87" t="e">
        <f>_xlfn.XLOOKUP(A87,'DB - Identities'!U:U,'DB - Identities'!Q:Q)</f>
        <v>#N/A</v>
      </c>
      <c r="K87" t="e">
        <f>_xlfn.XLOOKUP(D87,Static!J:J,Static!K:K)</f>
        <v>#N/A</v>
      </c>
      <c r="L87" t="e">
        <f>IF(I87="Bank",_xlfn.XLOOKUP(J87,'Pricing Sheet'!A:A,'Pricing Sheet'!B:B,'Pricing Sheet'!$B$6),IF(I87="Corporate",_xlfn.XLOOKUP(J87,'Pricing Sheet'!F:F,'Pricing Sheet'!G:G,'Pricing Sheet'!$G$6),0))</f>
        <v>#N/A</v>
      </c>
      <c r="M87" t="str">
        <f t="shared" si="4"/>
        <v>OK</v>
      </c>
      <c r="N87" t="str">
        <f t="shared" si="5"/>
        <v>OK</v>
      </c>
    </row>
    <row r="88" spans="1:14">
      <c r="A88">
        <f>'Input 2 - Transactions'!A90</f>
        <v>0</v>
      </c>
      <c r="B88">
        <f>'Input 2 - Transactions'!B90</f>
        <v>0</v>
      </c>
      <c r="C88">
        <f>'Input 2 - Transactions'!C90</f>
        <v>0</v>
      </c>
      <c r="D88">
        <f>'Input 2 - Transactions'!D90</f>
        <v>0</v>
      </c>
      <c r="E88">
        <f>'Input 2 - Transactions'!E90</f>
        <v>0</v>
      </c>
      <c r="F88" s="29">
        <f>'Input 2 - Transactions'!F90</f>
        <v>0</v>
      </c>
      <c r="G88" s="29">
        <f>'Input 2 - Transactions'!G90</f>
        <v>0</v>
      </c>
      <c r="H88" t="e">
        <f>_xlfn.XLOOKUP(A88,'DB - Identities'!U:U,'DB - Identities'!B:B)</f>
        <v>#N/A</v>
      </c>
      <c r="I88" t="e">
        <f>_xlfn.XLOOKUP(H88,c_parties,'DB - Contracting Parties'!C:C)</f>
        <v>#N/A</v>
      </c>
      <c r="J88" t="e">
        <f>_xlfn.XLOOKUP(A88,'DB - Identities'!U:U,'DB - Identities'!Q:Q)</f>
        <v>#N/A</v>
      </c>
      <c r="K88" t="e">
        <f>_xlfn.XLOOKUP(D88,Static!J:J,Static!K:K)</f>
        <v>#N/A</v>
      </c>
      <c r="L88" t="e">
        <f>IF(I88="Bank",_xlfn.XLOOKUP(J88,'Pricing Sheet'!A:A,'Pricing Sheet'!B:B,'Pricing Sheet'!$B$6),IF(I88="Corporate",_xlfn.XLOOKUP(J88,'Pricing Sheet'!F:F,'Pricing Sheet'!G:G,'Pricing Sheet'!$G$6),0))</f>
        <v>#N/A</v>
      </c>
      <c r="M88" t="str">
        <f t="shared" si="4"/>
        <v>OK</v>
      </c>
      <c r="N88" t="str">
        <f t="shared" si="5"/>
        <v>OK</v>
      </c>
    </row>
    <row r="89" spans="1:14">
      <c r="A89">
        <f>'Input 2 - Transactions'!A91</f>
        <v>0</v>
      </c>
      <c r="B89">
        <f>'Input 2 - Transactions'!B91</f>
        <v>0</v>
      </c>
      <c r="C89">
        <f>'Input 2 - Transactions'!C91</f>
        <v>0</v>
      </c>
      <c r="D89">
        <f>'Input 2 - Transactions'!D91</f>
        <v>0</v>
      </c>
      <c r="E89">
        <f>'Input 2 - Transactions'!E91</f>
        <v>0</v>
      </c>
      <c r="F89" s="29">
        <f>'Input 2 - Transactions'!F91</f>
        <v>0</v>
      </c>
      <c r="G89" s="29">
        <f>'Input 2 - Transactions'!G91</f>
        <v>0</v>
      </c>
      <c r="H89" t="e">
        <f>_xlfn.XLOOKUP(A89,'DB - Identities'!U:U,'DB - Identities'!B:B)</f>
        <v>#N/A</v>
      </c>
      <c r="I89" t="e">
        <f>_xlfn.XLOOKUP(H89,c_parties,'DB - Contracting Parties'!C:C)</f>
        <v>#N/A</v>
      </c>
      <c r="J89" t="e">
        <f>_xlfn.XLOOKUP(A89,'DB - Identities'!U:U,'DB - Identities'!Q:Q)</f>
        <v>#N/A</v>
      </c>
      <c r="K89" t="e">
        <f>_xlfn.XLOOKUP(D89,Static!J:J,Static!K:K)</f>
        <v>#N/A</v>
      </c>
      <c r="L89" t="e">
        <f>IF(I89="Bank",_xlfn.XLOOKUP(J89,'Pricing Sheet'!A:A,'Pricing Sheet'!B:B,'Pricing Sheet'!$B$6),IF(I89="Corporate",_xlfn.XLOOKUP(J89,'Pricing Sheet'!F:F,'Pricing Sheet'!G:G,'Pricing Sheet'!$G$6),0))</f>
        <v>#N/A</v>
      </c>
      <c r="M89" t="str">
        <f t="shared" si="4"/>
        <v>OK</v>
      </c>
      <c r="N89" t="str">
        <f t="shared" si="5"/>
        <v>OK</v>
      </c>
    </row>
    <row r="90" spans="1:14">
      <c r="A90">
        <f>'Input 2 - Transactions'!A92</f>
        <v>0</v>
      </c>
      <c r="B90">
        <f>'Input 2 - Transactions'!B92</f>
        <v>0</v>
      </c>
      <c r="C90">
        <f>'Input 2 - Transactions'!C92</f>
        <v>0</v>
      </c>
      <c r="D90">
        <f>'Input 2 - Transactions'!D92</f>
        <v>0</v>
      </c>
      <c r="E90">
        <f>'Input 2 - Transactions'!E92</f>
        <v>0</v>
      </c>
      <c r="F90" s="29">
        <f>'Input 2 - Transactions'!F92</f>
        <v>0</v>
      </c>
      <c r="G90" s="29">
        <f>'Input 2 - Transactions'!G92</f>
        <v>0</v>
      </c>
      <c r="H90" t="e">
        <f>_xlfn.XLOOKUP(A90,'DB - Identities'!U:U,'DB - Identities'!B:B)</f>
        <v>#N/A</v>
      </c>
      <c r="I90" t="e">
        <f>_xlfn.XLOOKUP(H90,c_parties,'DB - Contracting Parties'!C:C)</f>
        <v>#N/A</v>
      </c>
      <c r="J90" t="e">
        <f>_xlfn.XLOOKUP(A90,'DB - Identities'!U:U,'DB - Identities'!Q:Q)</f>
        <v>#N/A</v>
      </c>
      <c r="K90" t="e">
        <f>_xlfn.XLOOKUP(D90,Static!J:J,Static!K:K)</f>
        <v>#N/A</v>
      </c>
      <c r="L90" t="e">
        <f>IF(I90="Bank",_xlfn.XLOOKUP(J90,'Pricing Sheet'!A:A,'Pricing Sheet'!B:B,'Pricing Sheet'!$B$6),IF(I90="Corporate",_xlfn.XLOOKUP(J90,'Pricing Sheet'!F:F,'Pricing Sheet'!G:G,'Pricing Sheet'!$G$6),0))</f>
        <v>#N/A</v>
      </c>
      <c r="M90" t="str">
        <f t="shared" si="4"/>
        <v>OK</v>
      </c>
      <c r="N90" t="str">
        <f t="shared" si="5"/>
        <v>OK</v>
      </c>
    </row>
    <row r="91" spans="1:14">
      <c r="A91">
        <f>'Input 2 - Transactions'!A93</f>
        <v>0</v>
      </c>
      <c r="B91">
        <f>'Input 2 - Transactions'!B93</f>
        <v>0</v>
      </c>
      <c r="C91">
        <f>'Input 2 - Transactions'!C93</f>
        <v>0</v>
      </c>
      <c r="D91">
        <f>'Input 2 - Transactions'!D93</f>
        <v>0</v>
      </c>
      <c r="E91">
        <f>'Input 2 - Transactions'!E93</f>
        <v>0</v>
      </c>
      <c r="F91" s="29">
        <f>'Input 2 - Transactions'!F93</f>
        <v>0</v>
      </c>
      <c r="G91" s="29">
        <f>'Input 2 - Transactions'!G93</f>
        <v>0</v>
      </c>
      <c r="H91" t="e">
        <f>_xlfn.XLOOKUP(A91,'DB - Identities'!U:U,'DB - Identities'!B:B)</f>
        <v>#N/A</v>
      </c>
      <c r="I91" t="e">
        <f>_xlfn.XLOOKUP(H91,c_parties,'DB - Contracting Parties'!C:C)</f>
        <v>#N/A</v>
      </c>
      <c r="J91" t="e">
        <f>_xlfn.XLOOKUP(A91,'DB - Identities'!U:U,'DB - Identities'!Q:Q)</f>
        <v>#N/A</v>
      </c>
      <c r="K91" t="e">
        <f>_xlfn.XLOOKUP(D91,Static!J:J,Static!K:K)</f>
        <v>#N/A</v>
      </c>
      <c r="L91" t="e">
        <f>IF(I91="Bank",_xlfn.XLOOKUP(J91,'Pricing Sheet'!A:A,'Pricing Sheet'!B:B,'Pricing Sheet'!$B$6),IF(I91="Corporate",_xlfn.XLOOKUP(J91,'Pricing Sheet'!F:F,'Pricing Sheet'!G:G,'Pricing Sheet'!$G$6),0))</f>
        <v>#N/A</v>
      </c>
      <c r="M91" t="str">
        <f t="shared" si="4"/>
        <v>OK</v>
      </c>
      <c r="N91" t="str">
        <f t="shared" si="5"/>
        <v>OK</v>
      </c>
    </row>
    <row r="92" spans="1:14">
      <c r="A92">
        <f>'Input 2 - Transactions'!A94</f>
        <v>0</v>
      </c>
      <c r="B92">
        <f>'Input 2 - Transactions'!B94</f>
        <v>0</v>
      </c>
      <c r="C92">
        <f>'Input 2 - Transactions'!C94</f>
        <v>0</v>
      </c>
      <c r="D92">
        <f>'Input 2 - Transactions'!D94</f>
        <v>0</v>
      </c>
      <c r="E92">
        <f>'Input 2 - Transactions'!E94</f>
        <v>0</v>
      </c>
      <c r="F92" s="29">
        <f>'Input 2 - Transactions'!F94</f>
        <v>0</v>
      </c>
      <c r="G92" s="29">
        <f>'Input 2 - Transactions'!G94</f>
        <v>0</v>
      </c>
      <c r="H92" t="e">
        <f>_xlfn.XLOOKUP(A92,'DB - Identities'!U:U,'DB - Identities'!B:B)</f>
        <v>#N/A</v>
      </c>
      <c r="I92" t="e">
        <f>_xlfn.XLOOKUP(H92,c_parties,'DB - Contracting Parties'!C:C)</f>
        <v>#N/A</v>
      </c>
      <c r="J92" t="e">
        <f>_xlfn.XLOOKUP(A92,'DB - Identities'!U:U,'DB - Identities'!Q:Q)</f>
        <v>#N/A</v>
      </c>
      <c r="K92" t="e">
        <f>_xlfn.XLOOKUP(D92,Static!J:J,Static!K:K)</f>
        <v>#N/A</v>
      </c>
      <c r="L92" t="e">
        <f>IF(I92="Bank",_xlfn.XLOOKUP(J92,'Pricing Sheet'!A:A,'Pricing Sheet'!B:B,'Pricing Sheet'!$B$6),IF(I92="Corporate",_xlfn.XLOOKUP(J92,'Pricing Sheet'!F:F,'Pricing Sheet'!G:G,'Pricing Sheet'!$G$6),0))</f>
        <v>#N/A</v>
      </c>
      <c r="M92" t="str">
        <f t="shared" si="4"/>
        <v>OK</v>
      </c>
      <c r="N92" t="str">
        <f t="shared" si="5"/>
        <v>OK</v>
      </c>
    </row>
    <row r="93" spans="1:14">
      <c r="A93">
        <f>'Input 2 - Transactions'!A95</f>
        <v>0</v>
      </c>
      <c r="B93">
        <f>'Input 2 - Transactions'!B95</f>
        <v>0</v>
      </c>
      <c r="C93">
        <f>'Input 2 - Transactions'!C95</f>
        <v>0</v>
      </c>
      <c r="D93">
        <f>'Input 2 - Transactions'!D95</f>
        <v>0</v>
      </c>
      <c r="E93">
        <f>'Input 2 - Transactions'!E95</f>
        <v>0</v>
      </c>
      <c r="F93" s="29">
        <f>'Input 2 - Transactions'!F95</f>
        <v>0</v>
      </c>
      <c r="G93" s="29">
        <f>'Input 2 - Transactions'!G95</f>
        <v>0</v>
      </c>
      <c r="H93" t="e">
        <f>_xlfn.XLOOKUP(A93,'DB - Identities'!U:U,'DB - Identities'!B:B)</f>
        <v>#N/A</v>
      </c>
      <c r="I93" t="e">
        <f>_xlfn.XLOOKUP(H93,c_parties,'DB - Contracting Parties'!C:C)</f>
        <v>#N/A</v>
      </c>
      <c r="J93" t="e">
        <f>_xlfn.XLOOKUP(A93,'DB - Identities'!U:U,'DB - Identities'!Q:Q)</f>
        <v>#N/A</v>
      </c>
      <c r="K93" t="e">
        <f>_xlfn.XLOOKUP(D93,Static!J:J,Static!K:K)</f>
        <v>#N/A</v>
      </c>
      <c r="L93" t="e">
        <f>IF(I93="Bank",_xlfn.XLOOKUP(J93,'Pricing Sheet'!A:A,'Pricing Sheet'!B:B,'Pricing Sheet'!$B$6),IF(I93="Corporate",_xlfn.XLOOKUP(J93,'Pricing Sheet'!F:F,'Pricing Sheet'!G:G,'Pricing Sheet'!$G$6),0))</f>
        <v>#N/A</v>
      </c>
      <c r="M93" t="str">
        <f t="shared" si="4"/>
        <v>OK</v>
      </c>
      <c r="N93" t="str">
        <f t="shared" si="5"/>
        <v>OK</v>
      </c>
    </row>
    <row r="94" spans="1:14">
      <c r="A94">
        <f>'Input 2 - Transactions'!A96</f>
        <v>0</v>
      </c>
      <c r="B94">
        <f>'Input 2 - Transactions'!B96</f>
        <v>0</v>
      </c>
      <c r="C94">
        <f>'Input 2 - Transactions'!C96</f>
        <v>0</v>
      </c>
      <c r="D94">
        <f>'Input 2 - Transactions'!D96</f>
        <v>0</v>
      </c>
      <c r="E94">
        <f>'Input 2 - Transactions'!E96</f>
        <v>0</v>
      </c>
      <c r="F94" s="29">
        <f>'Input 2 - Transactions'!F96</f>
        <v>0</v>
      </c>
      <c r="G94" s="29">
        <f>'Input 2 - Transactions'!G96</f>
        <v>0</v>
      </c>
      <c r="H94" t="e">
        <f>_xlfn.XLOOKUP(A94,'DB - Identities'!U:U,'DB - Identities'!B:B)</f>
        <v>#N/A</v>
      </c>
      <c r="I94" t="e">
        <f>_xlfn.XLOOKUP(H94,c_parties,'DB - Contracting Parties'!C:C)</f>
        <v>#N/A</v>
      </c>
      <c r="J94" t="e">
        <f>_xlfn.XLOOKUP(A94,'DB - Identities'!U:U,'DB - Identities'!Q:Q)</f>
        <v>#N/A</v>
      </c>
      <c r="K94" t="e">
        <f>_xlfn.XLOOKUP(D94,Static!J:J,Static!K:K)</f>
        <v>#N/A</v>
      </c>
      <c r="L94" t="e">
        <f>IF(I94="Bank",_xlfn.XLOOKUP(J94,'Pricing Sheet'!A:A,'Pricing Sheet'!B:B,'Pricing Sheet'!$B$6),IF(I94="Corporate",_xlfn.XLOOKUP(J94,'Pricing Sheet'!F:F,'Pricing Sheet'!G:G,'Pricing Sheet'!$G$6),0))</f>
        <v>#N/A</v>
      </c>
      <c r="M94" t="str">
        <f t="shared" si="4"/>
        <v>OK</v>
      </c>
      <c r="N94" t="str">
        <f t="shared" si="5"/>
        <v>OK</v>
      </c>
    </row>
    <row r="95" spans="1:14">
      <c r="A95">
        <f>'Input 2 - Transactions'!A97</f>
        <v>0</v>
      </c>
      <c r="B95">
        <f>'Input 2 - Transactions'!B97</f>
        <v>0</v>
      </c>
      <c r="C95">
        <f>'Input 2 - Transactions'!C97</f>
        <v>0</v>
      </c>
      <c r="D95">
        <f>'Input 2 - Transactions'!D97</f>
        <v>0</v>
      </c>
      <c r="E95">
        <f>'Input 2 - Transactions'!E97</f>
        <v>0</v>
      </c>
      <c r="F95" s="29">
        <f>'Input 2 - Transactions'!F97</f>
        <v>0</v>
      </c>
      <c r="G95" s="29">
        <f>'Input 2 - Transactions'!G97</f>
        <v>0</v>
      </c>
      <c r="H95" t="e">
        <f>_xlfn.XLOOKUP(A95,'DB - Identities'!U:U,'DB - Identities'!B:B)</f>
        <v>#N/A</v>
      </c>
      <c r="I95" t="e">
        <f>_xlfn.XLOOKUP(H95,c_parties,'DB - Contracting Parties'!C:C)</f>
        <v>#N/A</v>
      </c>
      <c r="J95" t="e">
        <f>_xlfn.XLOOKUP(A95,'DB - Identities'!U:U,'DB - Identities'!Q:Q)</f>
        <v>#N/A</v>
      </c>
      <c r="K95" t="e">
        <f>_xlfn.XLOOKUP(D95,Static!J:J,Static!K:K)</f>
        <v>#N/A</v>
      </c>
      <c r="L95" t="e">
        <f>IF(I95="Bank",_xlfn.XLOOKUP(J95,'Pricing Sheet'!A:A,'Pricing Sheet'!B:B,'Pricing Sheet'!$B$6),IF(I95="Corporate",_xlfn.XLOOKUP(J95,'Pricing Sheet'!F:F,'Pricing Sheet'!G:G,'Pricing Sheet'!$G$6),0))</f>
        <v>#N/A</v>
      </c>
      <c r="M95" t="str">
        <f t="shared" si="4"/>
        <v>OK</v>
      </c>
      <c r="N95" t="str">
        <f t="shared" si="5"/>
        <v>OK</v>
      </c>
    </row>
    <row r="96" spans="1:14">
      <c r="A96">
        <f>'Input 2 - Transactions'!A98</f>
        <v>0</v>
      </c>
      <c r="B96">
        <f>'Input 2 - Transactions'!B98</f>
        <v>0</v>
      </c>
      <c r="C96">
        <f>'Input 2 - Transactions'!C98</f>
        <v>0</v>
      </c>
      <c r="D96">
        <f>'Input 2 - Transactions'!D98</f>
        <v>0</v>
      </c>
      <c r="E96">
        <f>'Input 2 - Transactions'!E98</f>
        <v>0</v>
      </c>
      <c r="F96" s="29">
        <f>'Input 2 - Transactions'!F98</f>
        <v>0</v>
      </c>
      <c r="G96" s="29">
        <f>'Input 2 - Transactions'!G98</f>
        <v>0</v>
      </c>
      <c r="H96" t="e">
        <f>_xlfn.XLOOKUP(A96,'DB - Identities'!U:U,'DB - Identities'!B:B)</f>
        <v>#N/A</v>
      </c>
      <c r="I96" t="e">
        <f>_xlfn.XLOOKUP(H96,c_parties,'DB - Contracting Parties'!C:C)</f>
        <v>#N/A</v>
      </c>
      <c r="J96" t="e">
        <f>_xlfn.XLOOKUP(A96,'DB - Identities'!U:U,'DB - Identities'!Q:Q)</f>
        <v>#N/A</v>
      </c>
      <c r="K96" t="e">
        <f>_xlfn.XLOOKUP(D96,Static!J:J,Static!K:K)</f>
        <v>#N/A</v>
      </c>
      <c r="L96" t="e">
        <f>IF(I96="Bank",_xlfn.XLOOKUP(J96,'Pricing Sheet'!A:A,'Pricing Sheet'!B:B,'Pricing Sheet'!$B$6),IF(I96="Corporate",_xlfn.XLOOKUP(J96,'Pricing Sheet'!F:F,'Pricing Sheet'!G:G,'Pricing Sheet'!$G$6),0))</f>
        <v>#N/A</v>
      </c>
      <c r="M96" t="str">
        <f t="shared" si="4"/>
        <v>OK</v>
      </c>
      <c r="N96" t="str">
        <f t="shared" si="5"/>
        <v>OK</v>
      </c>
    </row>
    <row r="97" spans="1:14">
      <c r="A97">
        <f>'Input 2 - Transactions'!A99</f>
        <v>0</v>
      </c>
      <c r="B97">
        <f>'Input 2 - Transactions'!B99</f>
        <v>0</v>
      </c>
      <c r="C97">
        <f>'Input 2 - Transactions'!C99</f>
        <v>0</v>
      </c>
      <c r="D97">
        <f>'Input 2 - Transactions'!D99</f>
        <v>0</v>
      </c>
      <c r="E97">
        <f>'Input 2 - Transactions'!E99</f>
        <v>0</v>
      </c>
      <c r="F97" s="29">
        <f>'Input 2 - Transactions'!F99</f>
        <v>0</v>
      </c>
      <c r="G97" s="29">
        <f>'Input 2 - Transactions'!G99</f>
        <v>0</v>
      </c>
      <c r="H97" t="e">
        <f>_xlfn.XLOOKUP(A97,'DB - Identities'!U:U,'DB - Identities'!B:B)</f>
        <v>#N/A</v>
      </c>
      <c r="I97" t="e">
        <f>_xlfn.XLOOKUP(H97,c_parties,'DB - Contracting Parties'!C:C)</f>
        <v>#N/A</v>
      </c>
      <c r="J97" t="e">
        <f>_xlfn.XLOOKUP(A97,'DB - Identities'!U:U,'DB - Identities'!Q:Q)</f>
        <v>#N/A</v>
      </c>
      <c r="K97" t="e">
        <f>_xlfn.XLOOKUP(D97,Static!J:J,Static!K:K)</f>
        <v>#N/A</v>
      </c>
      <c r="L97" t="e">
        <f>IF(I97="Bank",_xlfn.XLOOKUP(J97,'Pricing Sheet'!A:A,'Pricing Sheet'!B:B,'Pricing Sheet'!$B$6),IF(I97="Corporate",_xlfn.XLOOKUP(J97,'Pricing Sheet'!F:F,'Pricing Sheet'!G:G,'Pricing Sheet'!$G$6),0))</f>
        <v>#N/A</v>
      </c>
      <c r="M97" t="str">
        <f t="shared" si="4"/>
        <v>OK</v>
      </c>
      <c r="N97" t="str">
        <f t="shared" si="5"/>
        <v>OK</v>
      </c>
    </row>
    <row r="98" spans="1:14">
      <c r="A98">
        <f>'Input 2 - Transactions'!A100</f>
        <v>0</v>
      </c>
      <c r="B98">
        <f>'Input 2 - Transactions'!B100</f>
        <v>0</v>
      </c>
      <c r="C98">
        <f>'Input 2 - Transactions'!C100</f>
        <v>0</v>
      </c>
      <c r="D98">
        <f>'Input 2 - Transactions'!D100</f>
        <v>0</v>
      </c>
      <c r="E98">
        <f>'Input 2 - Transactions'!E100</f>
        <v>0</v>
      </c>
      <c r="F98" s="29">
        <f>'Input 2 - Transactions'!F100</f>
        <v>0</v>
      </c>
      <c r="G98" s="29">
        <f>'Input 2 - Transactions'!G100</f>
        <v>0</v>
      </c>
      <c r="H98" t="e">
        <f>_xlfn.XLOOKUP(A98,'DB - Identities'!U:U,'DB - Identities'!B:B)</f>
        <v>#N/A</v>
      </c>
      <c r="I98" t="e">
        <f>_xlfn.XLOOKUP(H98,c_parties,'DB - Contracting Parties'!C:C)</f>
        <v>#N/A</v>
      </c>
      <c r="J98" t="e">
        <f>_xlfn.XLOOKUP(A98,'DB - Identities'!U:U,'DB - Identities'!Q:Q)</f>
        <v>#N/A</v>
      </c>
      <c r="K98" t="e">
        <f>_xlfn.XLOOKUP(D98,Static!J:J,Static!K:K)</f>
        <v>#N/A</v>
      </c>
      <c r="L98" t="e">
        <f>IF(I98="Bank",_xlfn.XLOOKUP(J98,'Pricing Sheet'!A:A,'Pricing Sheet'!B:B,'Pricing Sheet'!$B$6),IF(I98="Corporate",_xlfn.XLOOKUP(J98,'Pricing Sheet'!F:F,'Pricing Sheet'!G:G,'Pricing Sheet'!$G$6),0))</f>
        <v>#N/A</v>
      </c>
      <c r="M98" t="str">
        <f t="shared" si="4"/>
        <v>OK</v>
      </c>
      <c r="N98" t="str">
        <f t="shared" si="5"/>
        <v>OK</v>
      </c>
    </row>
    <row r="99" spans="1:14">
      <c r="A99">
        <f>'Input 2 - Transactions'!A101</f>
        <v>0</v>
      </c>
      <c r="B99">
        <f>'Input 2 - Transactions'!B101</f>
        <v>0</v>
      </c>
      <c r="C99">
        <f>'Input 2 - Transactions'!C101</f>
        <v>0</v>
      </c>
      <c r="D99">
        <f>'Input 2 - Transactions'!D101</f>
        <v>0</v>
      </c>
      <c r="E99">
        <f>'Input 2 - Transactions'!E101</f>
        <v>0</v>
      </c>
      <c r="F99" s="29">
        <f>'Input 2 - Transactions'!F101</f>
        <v>0</v>
      </c>
      <c r="G99" s="29">
        <f>'Input 2 - Transactions'!G101</f>
        <v>0</v>
      </c>
      <c r="H99" t="e">
        <f>_xlfn.XLOOKUP(A99,'DB - Identities'!U:U,'DB - Identities'!B:B)</f>
        <v>#N/A</v>
      </c>
      <c r="I99" t="e">
        <f>_xlfn.XLOOKUP(H99,c_parties,'DB - Contracting Parties'!C:C)</f>
        <v>#N/A</v>
      </c>
      <c r="J99" t="e">
        <f>_xlfn.XLOOKUP(A99,'DB - Identities'!U:U,'DB - Identities'!Q:Q)</f>
        <v>#N/A</v>
      </c>
      <c r="K99" t="e">
        <f>_xlfn.XLOOKUP(D99,Static!J:J,Static!K:K)</f>
        <v>#N/A</v>
      </c>
      <c r="L99" t="e">
        <f>IF(I99="Bank",_xlfn.XLOOKUP(J99,'Pricing Sheet'!A:A,'Pricing Sheet'!B:B,'Pricing Sheet'!$B$6),IF(I99="Corporate",_xlfn.XLOOKUP(J99,'Pricing Sheet'!F:F,'Pricing Sheet'!G:G,'Pricing Sheet'!$G$6),0))</f>
        <v>#N/A</v>
      </c>
      <c r="M99" t="str">
        <f t="shared" si="4"/>
        <v>OK</v>
      </c>
      <c r="N99" t="str">
        <f t="shared" si="5"/>
        <v>OK</v>
      </c>
    </row>
    <row r="100" spans="1:14">
      <c r="A100">
        <f>'Input 2 - Transactions'!A102</f>
        <v>0</v>
      </c>
      <c r="B100">
        <f>'Input 2 - Transactions'!B102</f>
        <v>0</v>
      </c>
      <c r="C100">
        <f>'Input 2 - Transactions'!C102</f>
        <v>0</v>
      </c>
      <c r="D100">
        <f>'Input 2 - Transactions'!D102</f>
        <v>0</v>
      </c>
      <c r="E100">
        <f>'Input 2 - Transactions'!E102</f>
        <v>0</v>
      </c>
      <c r="F100" s="29">
        <f>'Input 2 - Transactions'!F102</f>
        <v>0</v>
      </c>
      <c r="G100" s="29">
        <f>'Input 2 - Transactions'!G102</f>
        <v>0</v>
      </c>
      <c r="H100" t="e">
        <f>_xlfn.XLOOKUP(A100,'DB - Identities'!U:U,'DB - Identities'!B:B)</f>
        <v>#N/A</v>
      </c>
      <c r="I100" t="e">
        <f>_xlfn.XLOOKUP(H100,c_parties,'DB - Contracting Parties'!C:C)</f>
        <v>#N/A</v>
      </c>
      <c r="J100" t="e">
        <f>_xlfn.XLOOKUP(A100,'DB - Identities'!U:U,'DB - Identities'!Q:Q)</f>
        <v>#N/A</v>
      </c>
      <c r="K100" t="e">
        <f>_xlfn.XLOOKUP(D100,Static!J:J,Static!K:K)</f>
        <v>#N/A</v>
      </c>
      <c r="L100" t="e">
        <f>IF(I100="Bank",_xlfn.XLOOKUP(J100,'Pricing Sheet'!A:A,'Pricing Sheet'!B:B,'Pricing Sheet'!$B$6),IF(I100="Corporate",_xlfn.XLOOKUP(J100,'Pricing Sheet'!F:F,'Pricing Sheet'!G:G,'Pricing Sheet'!$G$6),0))</f>
        <v>#N/A</v>
      </c>
      <c r="M100" t="str">
        <f t="shared" si="4"/>
        <v>OK</v>
      </c>
      <c r="N100" t="str">
        <f t="shared" si="5"/>
        <v>OK</v>
      </c>
    </row>
    <row r="101" spans="1:14">
      <c r="A101">
        <f>'Input 2 - Transactions'!A103</f>
        <v>0</v>
      </c>
      <c r="B101">
        <f>'Input 2 - Transactions'!B103</f>
        <v>0</v>
      </c>
      <c r="C101">
        <f>'Input 2 - Transactions'!C103</f>
        <v>0</v>
      </c>
      <c r="D101">
        <f>'Input 2 - Transactions'!D103</f>
        <v>0</v>
      </c>
      <c r="E101">
        <f>'Input 2 - Transactions'!E103</f>
        <v>0</v>
      </c>
      <c r="F101" s="29">
        <f>'Input 2 - Transactions'!F103</f>
        <v>0</v>
      </c>
      <c r="G101" s="29">
        <f>'Input 2 - Transactions'!G103</f>
        <v>0</v>
      </c>
      <c r="H101" t="e">
        <f>_xlfn.XLOOKUP(A101,'DB - Identities'!U:U,'DB - Identities'!B:B)</f>
        <v>#N/A</v>
      </c>
      <c r="I101" t="e">
        <f>_xlfn.XLOOKUP(H101,c_parties,'DB - Contracting Parties'!C:C)</f>
        <v>#N/A</v>
      </c>
      <c r="J101" t="e">
        <f>_xlfn.XLOOKUP(A101,'DB - Identities'!U:U,'DB - Identities'!Q:Q)</f>
        <v>#N/A</v>
      </c>
      <c r="K101" t="e">
        <f>_xlfn.XLOOKUP(D101,Static!J:J,Static!K:K)</f>
        <v>#N/A</v>
      </c>
      <c r="L101" t="e">
        <f>IF(I101="Bank",_xlfn.XLOOKUP(J101,'Pricing Sheet'!A:A,'Pricing Sheet'!B:B,'Pricing Sheet'!$B$6),IF(I101="Corporate",_xlfn.XLOOKUP(J101,'Pricing Sheet'!F:F,'Pricing Sheet'!G:G,'Pricing Sheet'!$G$6),0))</f>
        <v>#N/A</v>
      </c>
      <c r="M101" t="str">
        <f t="shared" si="4"/>
        <v>OK</v>
      </c>
      <c r="N101" t="str">
        <f t="shared" si="5"/>
        <v>OK</v>
      </c>
    </row>
    <row r="102" spans="1:14">
      <c r="A102">
        <f>'Input 2 - Transactions'!A104</f>
        <v>0</v>
      </c>
      <c r="B102">
        <f>'Input 2 - Transactions'!B104</f>
        <v>0</v>
      </c>
      <c r="C102">
        <f>'Input 2 - Transactions'!C104</f>
        <v>0</v>
      </c>
      <c r="D102">
        <f>'Input 2 - Transactions'!D104</f>
        <v>0</v>
      </c>
      <c r="E102">
        <f>'Input 2 - Transactions'!E104</f>
        <v>0</v>
      </c>
      <c r="F102" s="29">
        <f>'Input 2 - Transactions'!F104</f>
        <v>0</v>
      </c>
      <c r="G102" s="29">
        <f>'Input 2 - Transactions'!G104</f>
        <v>0</v>
      </c>
      <c r="H102" t="e">
        <f>_xlfn.XLOOKUP(A102,'DB - Identities'!U:U,'DB - Identities'!B:B)</f>
        <v>#N/A</v>
      </c>
      <c r="I102" t="e">
        <f>_xlfn.XLOOKUP(H102,c_parties,'DB - Contracting Parties'!C:C)</f>
        <v>#N/A</v>
      </c>
      <c r="J102" t="e">
        <f>_xlfn.XLOOKUP(A102,'DB - Identities'!U:U,'DB - Identities'!Q:Q)</f>
        <v>#N/A</v>
      </c>
      <c r="K102" t="e">
        <f>_xlfn.XLOOKUP(D102,Static!J:J,Static!K:K)</f>
        <v>#N/A</v>
      </c>
      <c r="L102" t="e">
        <f>IF(I102="Bank",_xlfn.XLOOKUP(J102,'Pricing Sheet'!A:A,'Pricing Sheet'!B:B,'Pricing Sheet'!$B$6),IF(I102="Corporate",_xlfn.XLOOKUP(J102,'Pricing Sheet'!F:F,'Pricing Sheet'!G:G,'Pricing Sheet'!$G$6),0))</f>
        <v>#N/A</v>
      </c>
      <c r="M102" t="str">
        <f t="shared" si="4"/>
        <v>OK</v>
      </c>
      <c r="N102" t="str">
        <f t="shared" si="5"/>
        <v>OK</v>
      </c>
    </row>
    <row r="103" spans="1:14">
      <c r="A103">
        <f>'Input 2 - Transactions'!A105</f>
        <v>0</v>
      </c>
      <c r="B103">
        <f>'Input 2 - Transactions'!B105</f>
        <v>0</v>
      </c>
      <c r="C103">
        <f>'Input 2 - Transactions'!C105</f>
        <v>0</v>
      </c>
      <c r="D103">
        <f>'Input 2 - Transactions'!D105</f>
        <v>0</v>
      </c>
      <c r="E103">
        <f>'Input 2 - Transactions'!E105</f>
        <v>0</v>
      </c>
      <c r="F103" s="29">
        <f>'Input 2 - Transactions'!F105</f>
        <v>0</v>
      </c>
      <c r="G103" s="29">
        <f>'Input 2 - Transactions'!G105</f>
        <v>0</v>
      </c>
      <c r="H103" t="e">
        <f>_xlfn.XLOOKUP(A103,'DB - Identities'!U:U,'DB - Identities'!B:B)</f>
        <v>#N/A</v>
      </c>
      <c r="I103" t="e">
        <f>_xlfn.XLOOKUP(H103,c_parties,'DB - Contracting Parties'!C:C)</f>
        <v>#N/A</v>
      </c>
      <c r="J103" t="e">
        <f>_xlfn.XLOOKUP(A103,'DB - Identities'!U:U,'DB - Identities'!Q:Q)</f>
        <v>#N/A</v>
      </c>
      <c r="K103" t="e">
        <f>_xlfn.XLOOKUP(D103,Static!J:J,Static!K:K)</f>
        <v>#N/A</v>
      </c>
      <c r="L103" t="e">
        <f>IF(I103="Bank",_xlfn.XLOOKUP(J103,'Pricing Sheet'!A:A,'Pricing Sheet'!B:B,'Pricing Sheet'!$B$6),IF(I103="Corporate",_xlfn.XLOOKUP(J103,'Pricing Sheet'!F:F,'Pricing Sheet'!G:G,'Pricing Sheet'!$G$6),0))</f>
        <v>#N/A</v>
      </c>
      <c r="M103" t="str">
        <f t="shared" si="4"/>
        <v>OK</v>
      </c>
      <c r="N103" t="str">
        <f t="shared" si="5"/>
        <v>OK</v>
      </c>
    </row>
    <row r="104" spans="1:14">
      <c r="A104">
        <f>'Input 2 - Transactions'!A106</f>
        <v>0</v>
      </c>
      <c r="B104">
        <f>'Input 2 - Transactions'!B106</f>
        <v>0</v>
      </c>
      <c r="C104">
        <f>'Input 2 - Transactions'!C106</f>
        <v>0</v>
      </c>
      <c r="D104">
        <f>'Input 2 - Transactions'!D106</f>
        <v>0</v>
      </c>
      <c r="E104">
        <f>'Input 2 - Transactions'!E106</f>
        <v>0</v>
      </c>
      <c r="F104" s="29">
        <f>'Input 2 - Transactions'!F106</f>
        <v>0</v>
      </c>
      <c r="G104" s="29">
        <f>'Input 2 - Transactions'!G106</f>
        <v>0</v>
      </c>
      <c r="H104" t="e">
        <f>_xlfn.XLOOKUP(A104,'DB - Identities'!U:U,'DB - Identities'!B:B)</f>
        <v>#N/A</v>
      </c>
      <c r="I104" t="e">
        <f>_xlfn.XLOOKUP(H104,c_parties,'DB - Contracting Parties'!C:C)</f>
        <v>#N/A</v>
      </c>
      <c r="J104" t="e">
        <f>_xlfn.XLOOKUP(A104,'DB - Identities'!U:U,'DB - Identities'!Q:Q)</f>
        <v>#N/A</v>
      </c>
      <c r="K104" t="e">
        <f>_xlfn.XLOOKUP(D104,Static!J:J,Static!K:K)</f>
        <v>#N/A</v>
      </c>
      <c r="L104" t="e">
        <f>IF(I104="Bank",_xlfn.XLOOKUP(J104,'Pricing Sheet'!A:A,'Pricing Sheet'!B:B,'Pricing Sheet'!$B$6),IF(I104="Corporate",_xlfn.XLOOKUP(J104,'Pricing Sheet'!F:F,'Pricing Sheet'!G:G,'Pricing Sheet'!$G$6),0))</f>
        <v>#N/A</v>
      </c>
      <c r="M104" t="str">
        <f t="shared" si="4"/>
        <v>OK</v>
      </c>
      <c r="N104" t="str">
        <f t="shared" si="5"/>
        <v>OK</v>
      </c>
    </row>
    <row r="105" spans="1:14">
      <c r="A105">
        <f>'Input 2 - Transactions'!A107</f>
        <v>0</v>
      </c>
      <c r="B105">
        <f>'Input 2 - Transactions'!B107</f>
        <v>0</v>
      </c>
      <c r="C105">
        <f>'Input 2 - Transactions'!C107</f>
        <v>0</v>
      </c>
      <c r="D105">
        <f>'Input 2 - Transactions'!D107</f>
        <v>0</v>
      </c>
      <c r="E105">
        <f>'Input 2 - Transactions'!E107</f>
        <v>0</v>
      </c>
      <c r="F105" s="29">
        <f>'Input 2 - Transactions'!F107</f>
        <v>0</v>
      </c>
      <c r="G105" s="29">
        <f>'Input 2 - Transactions'!G107</f>
        <v>0</v>
      </c>
      <c r="H105" t="e">
        <f>_xlfn.XLOOKUP(A105,'DB - Identities'!U:U,'DB - Identities'!B:B)</f>
        <v>#N/A</v>
      </c>
      <c r="I105" t="e">
        <f>_xlfn.XLOOKUP(H105,c_parties,'DB - Contracting Parties'!C:C)</f>
        <v>#N/A</v>
      </c>
      <c r="J105" t="e">
        <f>_xlfn.XLOOKUP(A105,'DB - Identities'!U:U,'DB - Identities'!Q:Q)</f>
        <v>#N/A</v>
      </c>
      <c r="K105" t="e">
        <f>_xlfn.XLOOKUP(D105,Static!J:J,Static!K:K)</f>
        <v>#N/A</v>
      </c>
      <c r="L105" t="e">
        <f>IF(I105="Bank",_xlfn.XLOOKUP(J105,'Pricing Sheet'!A:A,'Pricing Sheet'!B:B,'Pricing Sheet'!$B$6),IF(I105="Corporate",_xlfn.XLOOKUP(J105,'Pricing Sheet'!F:F,'Pricing Sheet'!G:G,'Pricing Sheet'!$G$6),0))</f>
        <v>#N/A</v>
      </c>
      <c r="M105" t="str">
        <f t="shared" si="4"/>
        <v>OK</v>
      </c>
      <c r="N105" t="str">
        <f t="shared" si="5"/>
        <v>OK</v>
      </c>
    </row>
    <row r="106" spans="1:14">
      <c r="A106">
        <f>'Input 2 - Transactions'!A108</f>
        <v>0</v>
      </c>
      <c r="B106">
        <f>'Input 2 - Transactions'!B108</f>
        <v>0</v>
      </c>
      <c r="C106">
        <f>'Input 2 - Transactions'!C108</f>
        <v>0</v>
      </c>
      <c r="D106">
        <f>'Input 2 - Transactions'!D108</f>
        <v>0</v>
      </c>
      <c r="E106">
        <f>'Input 2 - Transactions'!E108</f>
        <v>0</v>
      </c>
      <c r="F106" s="29">
        <f>'Input 2 - Transactions'!F108</f>
        <v>0</v>
      </c>
      <c r="G106" s="29">
        <f>'Input 2 - Transactions'!G108</f>
        <v>0</v>
      </c>
      <c r="H106" t="e">
        <f>_xlfn.XLOOKUP(A106,'DB - Identities'!U:U,'DB - Identities'!B:B)</f>
        <v>#N/A</v>
      </c>
      <c r="I106" t="e">
        <f>_xlfn.XLOOKUP(H106,c_parties,'DB - Contracting Parties'!C:C)</f>
        <v>#N/A</v>
      </c>
      <c r="J106" t="e">
        <f>_xlfn.XLOOKUP(A106,'DB - Identities'!U:U,'DB - Identities'!Q:Q)</f>
        <v>#N/A</v>
      </c>
      <c r="K106" t="e">
        <f>_xlfn.XLOOKUP(D106,Static!J:J,Static!K:K)</f>
        <v>#N/A</v>
      </c>
      <c r="L106" t="e">
        <f>IF(I106="Bank",_xlfn.XLOOKUP(J106,'Pricing Sheet'!A:A,'Pricing Sheet'!B:B,'Pricing Sheet'!$B$6),IF(I106="Corporate",_xlfn.XLOOKUP(J106,'Pricing Sheet'!F:F,'Pricing Sheet'!G:G,'Pricing Sheet'!$G$6),0))</f>
        <v>#N/A</v>
      </c>
      <c r="M106" t="str">
        <f t="shared" si="4"/>
        <v>OK</v>
      </c>
      <c r="N106" t="str">
        <f t="shared" si="5"/>
        <v>OK</v>
      </c>
    </row>
    <row r="107" spans="1:14">
      <c r="A107">
        <f>'Input 2 - Transactions'!A109</f>
        <v>0</v>
      </c>
      <c r="B107">
        <f>'Input 2 - Transactions'!B109</f>
        <v>0</v>
      </c>
      <c r="C107">
        <f>'Input 2 - Transactions'!C109</f>
        <v>0</v>
      </c>
      <c r="D107">
        <f>'Input 2 - Transactions'!D109</f>
        <v>0</v>
      </c>
      <c r="E107">
        <f>'Input 2 - Transactions'!E109</f>
        <v>0</v>
      </c>
      <c r="F107" s="29">
        <f>'Input 2 - Transactions'!F109</f>
        <v>0</v>
      </c>
      <c r="G107" s="29">
        <f>'Input 2 - Transactions'!G109</f>
        <v>0</v>
      </c>
      <c r="H107" t="e">
        <f>_xlfn.XLOOKUP(A107,'DB - Identities'!U:U,'DB - Identities'!B:B)</f>
        <v>#N/A</v>
      </c>
      <c r="I107" t="e">
        <f>_xlfn.XLOOKUP(H107,c_parties,'DB - Contracting Parties'!C:C)</f>
        <v>#N/A</v>
      </c>
      <c r="J107" t="e">
        <f>_xlfn.XLOOKUP(A107,'DB - Identities'!U:U,'DB - Identities'!Q:Q)</f>
        <v>#N/A</v>
      </c>
      <c r="K107" t="e">
        <f>_xlfn.XLOOKUP(D107,Static!J:J,Static!K:K)</f>
        <v>#N/A</v>
      </c>
      <c r="L107" t="e">
        <f>IF(I107="Bank",_xlfn.XLOOKUP(J107,'Pricing Sheet'!A:A,'Pricing Sheet'!B:B,'Pricing Sheet'!$B$6),IF(I107="Corporate",_xlfn.XLOOKUP(J107,'Pricing Sheet'!F:F,'Pricing Sheet'!G:G,'Pricing Sheet'!$G$6),0))</f>
        <v>#N/A</v>
      </c>
      <c r="M107" t="str">
        <f t="shared" si="4"/>
        <v>OK</v>
      </c>
      <c r="N107" t="str">
        <f t="shared" si="5"/>
        <v>OK</v>
      </c>
    </row>
    <row r="108" spans="1:14">
      <c r="A108">
        <f>'Input 2 - Transactions'!A110</f>
        <v>0</v>
      </c>
      <c r="B108">
        <f>'Input 2 - Transactions'!B110</f>
        <v>0</v>
      </c>
      <c r="C108">
        <f>'Input 2 - Transactions'!C110</f>
        <v>0</v>
      </c>
      <c r="D108">
        <f>'Input 2 - Transactions'!D110</f>
        <v>0</v>
      </c>
      <c r="E108">
        <f>'Input 2 - Transactions'!E110</f>
        <v>0</v>
      </c>
      <c r="F108" s="29">
        <f>'Input 2 - Transactions'!F110</f>
        <v>0</v>
      </c>
      <c r="G108" s="29">
        <f>'Input 2 - Transactions'!G110</f>
        <v>0</v>
      </c>
      <c r="H108" t="e">
        <f>_xlfn.XLOOKUP(A108,'DB - Identities'!U:U,'DB - Identities'!B:B)</f>
        <v>#N/A</v>
      </c>
      <c r="I108" t="e">
        <f>_xlfn.XLOOKUP(H108,c_parties,'DB - Contracting Parties'!C:C)</f>
        <v>#N/A</v>
      </c>
      <c r="J108" t="e">
        <f>_xlfn.XLOOKUP(A108,'DB - Identities'!U:U,'DB - Identities'!Q:Q)</f>
        <v>#N/A</v>
      </c>
      <c r="K108" t="e">
        <f>_xlfn.XLOOKUP(D108,Static!J:J,Static!K:K)</f>
        <v>#N/A</v>
      </c>
      <c r="L108" t="e">
        <f>IF(I108="Bank",_xlfn.XLOOKUP(J108,'Pricing Sheet'!A:A,'Pricing Sheet'!B:B,'Pricing Sheet'!$B$6),IF(I108="Corporate",_xlfn.XLOOKUP(J108,'Pricing Sheet'!F:F,'Pricing Sheet'!G:G,'Pricing Sheet'!$G$6),0))</f>
        <v>#N/A</v>
      </c>
      <c r="M108" t="str">
        <f t="shared" si="4"/>
        <v>OK</v>
      </c>
      <c r="N108" t="str">
        <f t="shared" si="5"/>
        <v>OK</v>
      </c>
    </row>
    <row r="109" spans="1:14">
      <c r="A109">
        <f>'Input 2 - Transactions'!A111</f>
        <v>0</v>
      </c>
      <c r="B109">
        <f>'Input 2 - Transactions'!B111</f>
        <v>0</v>
      </c>
      <c r="C109">
        <f>'Input 2 - Transactions'!C111</f>
        <v>0</v>
      </c>
      <c r="D109">
        <f>'Input 2 - Transactions'!D111</f>
        <v>0</v>
      </c>
      <c r="E109">
        <f>'Input 2 - Transactions'!E111</f>
        <v>0</v>
      </c>
      <c r="F109" s="29">
        <f>'Input 2 - Transactions'!F111</f>
        <v>0</v>
      </c>
      <c r="G109" s="29">
        <f>'Input 2 - Transactions'!G111</f>
        <v>0</v>
      </c>
      <c r="H109" t="e">
        <f>_xlfn.XLOOKUP(A109,'DB - Identities'!U:U,'DB - Identities'!B:B)</f>
        <v>#N/A</v>
      </c>
      <c r="I109" t="e">
        <f>_xlfn.XLOOKUP(H109,c_parties,'DB - Contracting Parties'!C:C)</f>
        <v>#N/A</v>
      </c>
      <c r="J109" t="e">
        <f>_xlfn.XLOOKUP(A109,'DB - Identities'!U:U,'DB - Identities'!Q:Q)</f>
        <v>#N/A</v>
      </c>
      <c r="K109" t="e">
        <f>_xlfn.XLOOKUP(D109,Static!J:J,Static!K:K)</f>
        <v>#N/A</v>
      </c>
      <c r="L109" t="e">
        <f>IF(I109="Bank",_xlfn.XLOOKUP(J109,'Pricing Sheet'!A:A,'Pricing Sheet'!B:B,'Pricing Sheet'!$B$6),IF(I109="Corporate",_xlfn.XLOOKUP(J109,'Pricing Sheet'!F:F,'Pricing Sheet'!G:G,'Pricing Sheet'!$G$6),0))</f>
        <v>#N/A</v>
      </c>
      <c r="M109" t="str">
        <f t="shared" si="4"/>
        <v>OK</v>
      </c>
      <c r="N109" t="str">
        <f t="shared" si="5"/>
        <v>OK</v>
      </c>
    </row>
    <row r="110" spans="1:14">
      <c r="A110">
        <f>'Input 2 - Transactions'!A112</f>
        <v>0</v>
      </c>
      <c r="B110">
        <f>'Input 2 - Transactions'!B112</f>
        <v>0</v>
      </c>
      <c r="C110">
        <f>'Input 2 - Transactions'!C112</f>
        <v>0</v>
      </c>
      <c r="D110">
        <f>'Input 2 - Transactions'!D112</f>
        <v>0</v>
      </c>
      <c r="E110">
        <f>'Input 2 - Transactions'!E112</f>
        <v>0</v>
      </c>
      <c r="F110" s="29">
        <f>'Input 2 - Transactions'!F112</f>
        <v>0</v>
      </c>
      <c r="G110" s="29">
        <f>'Input 2 - Transactions'!G112</f>
        <v>0</v>
      </c>
      <c r="H110" t="e">
        <f>_xlfn.XLOOKUP(A110,'DB - Identities'!U:U,'DB - Identities'!B:B)</f>
        <v>#N/A</v>
      </c>
      <c r="I110" t="e">
        <f>_xlfn.XLOOKUP(H110,c_parties,'DB - Contracting Parties'!C:C)</f>
        <v>#N/A</v>
      </c>
      <c r="J110" t="e">
        <f>_xlfn.XLOOKUP(A110,'DB - Identities'!U:U,'DB - Identities'!Q:Q)</f>
        <v>#N/A</v>
      </c>
      <c r="K110" t="e">
        <f>_xlfn.XLOOKUP(D110,Static!J:J,Static!K:K)</f>
        <v>#N/A</v>
      </c>
      <c r="L110" t="e">
        <f>IF(I110="Bank",_xlfn.XLOOKUP(J110,'Pricing Sheet'!A:A,'Pricing Sheet'!B:B,'Pricing Sheet'!$B$6),IF(I110="Corporate",_xlfn.XLOOKUP(J110,'Pricing Sheet'!F:F,'Pricing Sheet'!G:G,'Pricing Sheet'!$G$6),0))</f>
        <v>#N/A</v>
      </c>
      <c r="M110" t="str">
        <f t="shared" si="4"/>
        <v>OK</v>
      </c>
      <c r="N110" t="str">
        <f t="shared" si="5"/>
        <v>OK</v>
      </c>
    </row>
    <row r="111" spans="1:14">
      <c r="A111">
        <f>'Input 2 - Transactions'!A113</f>
        <v>0</v>
      </c>
      <c r="B111">
        <f>'Input 2 - Transactions'!B113</f>
        <v>0</v>
      </c>
      <c r="C111">
        <f>'Input 2 - Transactions'!C113</f>
        <v>0</v>
      </c>
      <c r="D111">
        <f>'Input 2 - Transactions'!D113</f>
        <v>0</v>
      </c>
      <c r="E111">
        <f>'Input 2 - Transactions'!E113</f>
        <v>0</v>
      </c>
      <c r="F111" s="29">
        <f>'Input 2 - Transactions'!F113</f>
        <v>0</v>
      </c>
      <c r="G111" s="29">
        <f>'Input 2 - Transactions'!G113</f>
        <v>0</v>
      </c>
      <c r="H111" t="e">
        <f>_xlfn.XLOOKUP(A111,'DB - Identities'!U:U,'DB - Identities'!B:B)</f>
        <v>#N/A</v>
      </c>
      <c r="I111" t="e">
        <f>_xlfn.XLOOKUP(H111,c_parties,'DB - Contracting Parties'!C:C)</f>
        <v>#N/A</v>
      </c>
      <c r="J111" t="e">
        <f>_xlfn.XLOOKUP(A111,'DB - Identities'!U:U,'DB - Identities'!Q:Q)</f>
        <v>#N/A</v>
      </c>
      <c r="K111" t="e">
        <f>_xlfn.XLOOKUP(D111,Static!J:J,Static!K:K)</f>
        <v>#N/A</v>
      </c>
      <c r="L111" t="e">
        <f>IF(I111="Bank",_xlfn.XLOOKUP(J111,'Pricing Sheet'!A:A,'Pricing Sheet'!B:B,'Pricing Sheet'!$B$6),IF(I111="Corporate",_xlfn.XLOOKUP(J111,'Pricing Sheet'!F:F,'Pricing Sheet'!G:G,'Pricing Sheet'!$G$6),0))</f>
        <v>#N/A</v>
      </c>
      <c r="M111" t="str">
        <f t="shared" si="4"/>
        <v>OK</v>
      </c>
      <c r="N111" t="str">
        <f t="shared" si="5"/>
        <v>OK</v>
      </c>
    </row>
    <row r="112" spans="1:14">
      <c r="A112">
        <f>'Input 2 - Transactions'!A114</f>
        <v>0</v>
      </c>
      <c r="B112">
        <f>'Input 2 - Transactions'!B114</f>
        <v>0</v>
      </c>
      <c r="C112">
        <f>'Input 2 - Transactions'!C114</f>
        <v>0</v>
      </c>
      <c r="D112">
        <f>'Input 2 - Transactions'!D114</f>
        <v>0</v>
      </c>
      <c r="E112">
        <f>'Input 2 - Transactions'!E114</f>
        <v>0</v>
      </c>
      <c r="F112" s="29">
        <f>'Input 2 - Transactions'!F114</f>
        <v>0</v>
      </c>
      <c r="G112" s="29">
        <f>'Input 2 - Transactions'!G114</f>
        <v>0</v>
      </c>
      <c r="H112" t="e">
        <f>_xlfn.XLOOKUP(A112,'DB - Identities'!U:U,'DB - Identities'!B:B)</f>
        <v>#N/A</v>
      </c>
      <c r="I112" t="e">
        <f>_xlfn.XLOOKUP(H112,c_parties,'DB - Contracting Parties'!C:C)</f>
        <v>#N/A</v>
      </c>
      <c r="J112" t="e">
        <f>_xlfn.XLOOKUP(A112,'DB - Identities'!U:U,'DB - Identities'!Q:Q)</f>
        <v>#N/A</v>
      </c>
      <c r="K112" t="e">
        <f>_xlfn.XLOOKUP(D112,Static!J:J,Static!K:K)</f>
        <v>#N/A</v>
      </c>
      <c r="L112" t="e">
        <f>IF(I112="Bank",_xlfn.XLOOKUP(J112,'Pricing Sheet'!A:A,'Pricing Sheet'!B:B,'Pricing Sheet'!$B$6),IF(I112="Corporate",_xlfn.XLOOKUP(J112,'Pricing Sheet'!F:F,'Pricing Sheet'!G:G,'Pricing Sheet'!$G$6),0))</f>
        <v>#N/A</v>
      </c>
      <c r="M112" t="str">
        <f t="shared" si="4"/>
        <v>OK</v>
      </c>
      <c r="N112" t="str">
        <f t="shared" si="5"/>
        <v>OK</v>
      </c>
    </row>
    <row r="113" spans="1:14">
      <c r="A113">
        <f>'Input 2 - Transactions'!A115</f>
        <v>0</v>
      </c>
      <c r="B113">
        <f>'Input 2 - Transactions'!B115</f>
        <v>0</v>
      </c>
      <c r="C113">
        <f>'Input 2 - Transactions'!C115</f>
        <v>0</v>
      </c>
      <c r="D113">
        <f>'Input 2 - Transactions'!D115</f>
        <v>0</v>
      </c>
      <c r="E113">
        <f>'Input 2 - Transactions'!E115</f>
        <v>0</v>
      </c>
      <c r="F113" s="29">
        <f>'Input 2 - Transactions'!F115</f>
        <v>0</v>
      </c>
      <c r="G113" s="29">
        <f>'Input 2 - Transactions'!G115</f>
        <v>0</v>
      </c>
      <c r="H113" t="e">
        <f>_xlfn.XLOOKUP(A113,'DB - Identities'!U:U,'DB - Identities'!B:B)</f>
        <v>#N/A</v>
      </c>
      <c r="I113" t="e">
        <f>_xlfn.XLOOKUP(H113,c_parties,'DB - Contracting Parties'!C:C)</f>
        <v>#N/A</v>
      </c>
      <c r="J113" t="e">
        <f>_xlfn.XLOOKUP(A113,'DB - Identities'!U:U,'DB - Identities'!Q:Q)</f>
        <v>#N/A</v>
      </c>
      <c r="K113" t="e">
        <f>_xlfn.XLOOKUP(D113,Static!J:J,Static!K:K)</f>
        <v>#N/A</v>
      </c>
      <c r="L113" t="e">
        <f>IF(I113="Bank",_xlfn.XLOOKUP(J113,'Pricing Sheet'!A:A,'Pricing Sheet'!B:B,'Pricing Sheet'!$B$6),IF(I113="Corporate",_xlfn.XLOOKUP(J113,'Pricing Sheet'!F:F,'Pricing Sheet'!G:G,'Pricing Sheet'!$G$6),0))</f>
        <v>#N/A</v>
      </c>
      <c r="M113" t="str">
        <f t="shared" si="4"/>
        <v>OK</v>
      </c>
      <c r="N113" t="str">
        <f t="shared" si="5"/>
        <v>OK</v>
      </c>
    </row>
    <row r="114" spans="1:14">
      <c r="A114">
        <f>'Input 2 - Transactions'!A116</f>
        <v>0</v>
      </c>
      <c r="B114">
        <f>'Input 2 - Transactions'!B116</f>
        <v>0</v>
      </c>
      <c r="C114">
        <f>'Input 2 - Transactions'!C116</f>
        <v>0</v>
      </c>
      <c r="D114">
        <f>'Input 2 - Transactions'!D116</f>
        <v>0</v>
      </c>
      <c r="E114">
        <f>'Input 2 - Transactions'!E116</f>
        <v>0</v>
      </c>
      <c r="F114" s="29">
        <f>'Input 2 - Transactions'!F116</f>
        <v>0</v>
      </c>
      <c r="G114" s="29">
        <f>'Input 2 - Transactions'!G116</f>
        <v>0</v>
      </c>
      <c r="H114" t="e">
        <f>_xlfn.XLOOKUP(A114,'DB - Identities'!U:U,'DB - Identities'!B:B)</f>
        <v>#N/A</v>
      </c>
      <c r="I114" t="e">
        <f>_xlfn.XLOOKUP(H114,c_parties,'DB - Contracting Parties'!C:C)</f>
        <v>#N/A</v>
      </c>
      <c r="J114" t="e">
        <f>_xlfn.XLOOKUP(A114,'DB - Identities'!U:U,'DB - Identities'!Q:Q)</f>
        <v>#N/A</v>
      </c>
      <c r="K114" t="e">
        <f>_xlfn.XLOOKUP(D114,Static!J:J,Static!K:K)</f>
        <v>#N/A</v>
      </c>
      <c r="L114" t="e">
        <f>IF(I114="Bank",_xlfn.XLOOKUP(J114,'Pricing Sheet'!A:A,'Pricing Sheet'!B:B,'Pricing Sheet'!$B$6),IF(I114="Corporate",_xlfn.XLOOKUP(J114,'Pricing Sheet'!F:F,'Pricing Sheet'!G:G,'Pricing Sheet'!$G$6),0))</f>
        <v>#N/A</v>
      </c>
      <c r="M114" t="str">
        <f t="shared" si="4"/>
        <v>OK</v>
      </c>
      <c r="N114" t="str">
        <f t="shared" si="5"/>
        <v>OK</v>
      </c>
    </row>
    <row r="115" spans="1:14">
      <c r="A115">
        <f>'Input 2 - Transactions'!A117</f>
        <v>0</v>
      </c>
      <c r="B115">
        <f>'Input 2 - Transactions'!B117</f>
        <v>0</v>
      </c>
      <c r="C115">
        <f>'Input 2 - Transactions'!C117</f>
        <v>0</v>
      </c>
      <c r="D115">
        <f>'Input 2 - Transactions'!D117</f>
        <v>0</v>
      </c>
      <c r="E115">
        <f>'Input 2 - Transactions'!E117</f>
        <v>0</v>
      </c>
      <c r="F115" s="29">
        <f>'Input 2 - Transactions'!F117</f>
        <v>0</v>
      </c>
      <c r="G115" s="29">
        <f>'Input 2 - Transactions'!G117</f>
        <v>0</v>
      </c>
      <c r="H115" t="e">
        <f>_xlfn.XLOOKUP(A115,'DB - Identities'!U:U,'DB - Identities'!B:B)</f>
        <v>#N/A</v>
      </c>
      <c r="I115" t="e">
        <f>_xlfn.XLOOKUP(H115,c_parties,'DB - Contracting Parties'!C:C)</f>
        <v>#N/A</v>
      </c>
      <c r="J115" t="e">
        <f>_xlfn.XLOOKUP(A115,'DB - Identities'!U:U,'DB - Identities'!Q:Q)</f>
        <v>#N/A</v>
      </c>
      <c r="K115" t="e">
        <f>_xlfn.XLOOKUP(D115,Static!J:J,Static!K:K)</f>
        <v>#N/A</v>
      </c>
      <c r="L115" t="e">
        <f>IF(I115="Bank",_xlfn.XLOOKUP(J115,'Pricing Sheet'!A:A,'Pricing Sheet'!B:B,'Pricing Sheet'!$B$6),IF(I115="Corporate",_xlfn.XLOOKUP(J115,'Pricing Sheet'!F:F,'Pricing Sheet'!G:G,'Pricing Sheet'!$G$6),0))</f>
        <v>#N/A</v>
      </c>
      <c r="M115" t="str">
        <f t="shared" si="4"/>
        <v>OK</v>
      </c>
      <c r="N115" t="str">
        <f t="shared" si="5"/>
        <v>OK</v>
      </c>
    </row>
    <row r="116" spans="1:14">
      <c r="A116">
        <f>'Input 2 - Transactions'!A118</f>
        <v>0</v>
      </c>
      <c r="B116">
        <f>'Input 2 - Transactions'!B118</f>
        <v>0</v>
      </c>
      <c r="C116">
        <f>'Input 2 - Transactions'!C118</f>
        <v>0</v>
      </c>
      <c r="D116">
        <f>'Input 2 - Transactions'!D118</f>
        <v>0</v>
      </c>
      <c r="E116">
        <f>'Input 2 - Transactions'!E118</f>
        <v>0</v>
      </c>
      <c r="F116" s="29">
        <f>'Input 2 - Transactions'!F118</f>
        <v>0</v>
      </c>
      <c r="G116" s="29">
        <f>'Input 2 - Transactions'!G118</f>
        <v>0</v>
      </c>
      <c r="H116" t="e">
        <f>_xlfn.XLOOKUP(A116,'DB - Identities'!U:U,'DB - Identities'!B:B)</f>
        <v>#N/A</v>
      </c>
      <c r="I116" t="e">
        <f>_xlfn.XLOOKUP(H116,c_parties,'DB - Contracting Parties'!C:C)</f>
        <v>#N/A</v>
      </c>
      <c r="J116" t="e">
        <f>_xlfn.XLOOKUP(A116,'DB - Identities'!U:U,'DB - Identities'!Q:Q)</f>
        <v>#N/A</v>
      </c>
      <c r="K116" t="e">
        <f>_xlfn.XLOOKUP(D116,Static!J:J,Static!K:K)</f>
        <v>#N/A</v>
      </c>
      <c r="L116" t="e">
        <f>IF(I116="Bank",_xlfn.XLOOKUP(J116,'Pricing Sheet'!A:A,'Pricing Sheet'!B:B,'Pricing Sheet'!$B$6),IF(I116="Corporate",_xlfn.XLOOKUP(J116,'Pricing Sheet'!F:F,'Pricing Sheet'!G:G,'Pricing Sheet'!$G$6),0))</f>
        <v>#N/A</v>
      </c>
      <c r="M116" t="str">
        <f t="shared" si="4"/>
        <v>OK</v>
      </c>
      <c r="N116" t="str">
        <f t="shared" si="5"/>
        <v>OK</v>
      </c>
    </row>
    <row r="117" spans="1:14">
      <c r="A117">
        <f>'Input 2 - Transactions'!A119</f>
        <v>0</v>
      </c>
      <c r="B117">
        <f>'Input 2 - Transactions'!B119</f>
        <v>0</v>
      </c>
      <c r="C117">
        <f>'Input 2 - Transactions'!C119</f>
        <v>0</v>
      </c>
      <c r="D117">
        <f>'Input 2 - Transactions'!D119</f>
        <v>0</v>
      </c>
      <c r="E117">
        <f>'Input 2 - Transactions'!E119</f>
        <v>0</v>
      </c>
      <c r="F117" s="29">
        <f>'Input 2 - Transactions'!F119</f>
        <v>0</v>
      </c>
      <c r="G117" s="29">
        <f>'Input 2 - Transactions'!G119</f>
        <v>0</v>
      </c>
      <c r="H117" t="e">
        <f>_xlfn.XLOOKUP(A117,'DB - Identities'!U:U,'DB - Identities'!B:B)</f>
        <v>#N/A</v>
      </c>
      <c r="I117" t="e">
        <f>_xlfn.XLOOKUP(H117,c_parties,'DB - Contracting Parties'!C:C)</f>
        <v>#N/A</v>
      </c>
      <c r="J117" t="e">
        <f>_xlfn.XLOOKUP(A117,'DB - Identities'!U:U,'DB - Identities'!Q:Q)</f>
        <v>#N/A</v>
      </c>
      <c r="K117" t="e">
        <f>_xlfn.XLOOKUP(D117,Static!J:J,Static!K:K)</f>
        <v>#N/A</v>
      </c>
      <c r="L117" t="e">
        <f>IF(I117="Bank",_xlfn.XLOOKUP(J117,'Pricing Sheet'!A:A,'Pricing Sheet'!B:B,'Pricing Sheet'!$B$6),IF(I117="Corporate",_xlfn.XLOOKUP(J117,'Pricing Sheet'!F:F,'Pricing Sheet'!G:G,'Pricing Sheet'!$G$6),0))</f>
        <v>#N/A</v>
      </c>
      <c r="M117" t="str">
        <f t="shared" si="4"/>
        <v>OK</v>
      </c>
      <c r="N117" t="str">
        <f t="shared" si="5"/>
        <v>OK</v>
      </c>
    </row>
    <row r="118" spans="1:14">
      <c r="A118">
        <f>'Input 2 - Transactions'!A120</f>
        <v>0</v>
      </c>
      <c r="B118">
        <f>'Input 2 - Transactions'!B120</f>
        <v>0</v>
      </c>
      <c r="C118">
        <f>'Input 2 - Transactions'!C120</f>
        <v>0</v>
      </c>
      <c r="D118">
        <f>'Input 2 - Transactions'!D120</f>
        <v>0</v>
      </c>
      <c r="E118">
        <f>'Input 2 - Transactions'!E120</f>
        <v>0</v>
      </c>
      <c r="F118" s="29">
        <f>'Input 2 - Transactions'!F120</f>
        <v>0</v>
      </c>
      <c r="G118" s="29">
        <f>'Input 2 - Transactions'!G120</f>
        <v>0</v>
      </c>
      <c r="H118" t="e">
        <f>_xlfn.XLOOKUP(A118,'DB - Identities'!U:U,'DB - Identities'!B:B)</f>
        <v>#N/A</v>
      </c>
      <c r="I118" t="e">
        <f>_xlfn.XLOOKUP(H118,c_parties,'DB - Contracting Parties'!C:C)</f>
        <v>#N/A</v>
      </c>
      <c r="J118" t="e">
        <f>_xlfn.XLOOKUP(A118,'DB - Identities'!U:U,'DB - Identities'!Q:Q)</f>
        <v>#N/A</v>
      </c>
      <c r="K118" t="e">
        <f>_xlfn.XLOOKUP(D118,Static!J:J,Static!K:K)</f>
        <v>#N/A</v>
      </c>
      <c r="L118" t="e">
        <f>IF(I118="Bank",_xlfn.XLOOKUP(J118,'Pricing Sheet'!A:A,'Pricing Sheet'!B:B,'Pricing Sheet'!$B$6),IF(I118="Corporate",_xlfn.XLOOKUP(J118,'Pricing Sheet'!F:F,'Pricing Sheet'!G:G,'Pricing Sheet'!$G$6),0))</f>
        <v>#N/A</v>
      </c>
      <c r="M118" t="str">
        <f t="shared" si="4"/>
        <v>OK</v>
      </c>
      <c r="N118" t="str">
        <f t="shared" si="5"/>
        <v>OK</v>
      </c>
    </row>
    <row r="119" spans="1:14">
      <c r="A119">
        <f>'Input 2 - Transactions'!A121</f>
        <v>0</v>
      </c>
      <c r="B119">
        <f>'Input 2 - Transactions'!B121</f>
        <v>0</v>
      </c>
      <c r="C119">
        <f>'Input 2 - Transactions'!C121</f>
        <v>0</v>
      </c>
      <c r="D119">
        <f>'Input 2 - Transactions'!D121</f>
        <v>0</v>
      </c>
      <c r="E119">
        <f>'Input 2 - Transactions'!E121</f>
        <v>0</v>
      </c>
      <c r="F119" s="29">
        <f>'Input 2 - Transactions'!F121</f>
        <v>0</v>
      </c>
      <c r="G119" s="29">
        <f>'Input 2 - Transactions'!G121</f>
        <v>0</v>
      </c>
      <c r="H119" t="e">
        <f>_xlfn.XLOOKUP(A119,'DB - Identities'!U:U,'DB - Identities'!B:B)</f>
        <v>#N/A</v>
      </c>
      <c r="I119" t="e">
        <f>_xlfn.XLOOKUP(H119,c_parties,'DB - Contracting Parties'!C:C)</f>
        <v>#N/A</v>
      </c>
      <c r="J119" t="e">
        <f>_xlfn.XLOOKUP(A119,'DB - Identities'!U:U,'DB - Identities'!Q:Q)</f>
        <v>#N/A</v>
      </c>
      <c r="K119" t="e">
        <f>_xlfn.XLOOKUP(D119,Static!J:J,Static!K:K)</f>
        <v>#N/A</v>
      </c>
      <c r="L119" t="e">
        <f>IF(I119="Bank",_xlfn.XLOOKUP(J119,'Pricing Sheet'!A:A,'Pricing Sheet'!B:B,'Pricing Sheet'!$B$6),IF(I119="Corporate",_xlfn.XLOOKUP(J119,'Pricing Sheet'!F:F,'Pricing Sheet'!G:G,'Pricing Sheet'!$G$6),0))</f>
        <v>#N/A</v>
      </c>
      <c r="M119" t="str">
        <f t="shared" si="4"/>
        <v>OK</v>
      </c>
      <c r="N119" t="str">
        <f t="shared" si="5"/>
        <v>OK</v>
      </c>
    </row>
    <row r="120" spans="1:14">
      <c r="A120">
        <f>'Input 2 - Transactions'!A122</f>
        <v>0</v>
      </c>
      <c r="B120">
        <f>'Input 2 - Transactions'!B122</f>
        <v>0</v>
      </c>
      <c r="C120">
        <f>'Input 2 - Transactions'!C122</f>
        <v>0</v>
      </c>
      <c r="D120">
        <f>'Input 2 - Transactions'!D122</f>
        <v>0</v>
      </c>
      <c r="E120">
        <f>'Input 2 - Transactions'!E122</f>
        <v>0</v>
      </c>
      <c r="F120" s="29">
        <f>'Input 2 - Transactions'!F122</f>
        <v>0</v>
      </c>
      <c r="G120" s="29">
        <f>'Input 2 - Transactions'!G122</f>
        <v>0</v>
      </c>
      <c r="H120" t="e">
        <f>_xlfn.XLOOKUP(A120,'DB - Identities'!U:U,'DB - Identities'!B:B)</f>
        <v>#N/A</v>
      </c>
      <c r="I120" t="e">
        <f>_xlfn.XLOOKUP(H120,c_parties,'DB - Contracting Parties'!C:C)</f>
        <v>#N/A</v>
      </c>
      <c r="J120" t="e">
        <f>_xlfn.XLOOKUP(A120,'DB - Identities'!U:U,'DB - Identities'!Q:Q)</f>
        <v>#N/A</v>
      </c>
      <c r="K120" t="e">
        <f>_xlfn.XLOOKUP(D120,Static!J:J,Static!K:K)</f>
        <v>#N/A</v>
      </c>
      <c r="L120" t="e">
        <f>IF(I120="Bank",_xlfn.XLOOKUP(J120,'Pricing Sheet'!A:A,'Pricing Sheet'!B:B,'Pricing Sheet'!$B$6),IF(I120="Corporate",_xlfn.XLOOKUP(J120,'Pricing Sheet'!F:F,'Pricing Sheet'!G:G,'Pricing Sheet'!$G$6),0))</f>
        <v>#N/A</v>
      </c>
      <c r="M120" t="str">
        <f t="shared" si="4"/>
        <v>OK</v>
      </c>
      <c r="N120" t="str">
        <f t="shared" si="5"/>
        <v>OK</v>
      </c>
    </row>
    <row r="121" spans="1:14">
      <c r="A121">
        <f>'Input 2 - Transactions'!A123</f>
        <v>0</v>
      </c>
      <c r="B121">
        <f>'Input 2 - Transactions'!B123</f>
        <v>0</v>
      </c>
      <c r="C121">
        <f>'Input 2 - Transactions'!C123</f>
        <v>0</v>
      </c>
      <c r="D121">
        <f>'Input 2 - Transactions'!D123</f>
        <v>0</v>
      </c>
      <c r="E121">
        <f>'Input 2 - Transactions'!E123</f>
        <v>0</v>
      </c>
      <c r="F121" s="29">
        <f>'Input 2 - Transactions'!F123</f>
        <v>0</v>
      </c>
      <c r="G121" s="29">
        <f>'Input 2 - Transactions'!G123</f>
        <v>0</v>
      </c>
      <c r="H121" t="e">
        <f>_xlfn.XLOOKUP(A121,'DB - Identities'!U:U,'DB - Identities'!B:B)</f>
        <v>#N/A</v>
      </c>
      <c r="I121" t="e">
        <f>_xlfn.XLOOKUP(H121,c_parties,'DB - Contracting Parties'!C:C)</f>
        <v>#N/A</v>
      </c>
      <c r="J121" t="e">
        <f>_xlfn.XLOOKUP(A121,'DB - Identities'!U:U,'DB - Identities'!Q:Q)</f>
        <v>#N/A</v>
      </c>
      <c r="K121" t="e">
        <f>_xlfn.XLOOKUP(D121,Static!J:J,Static!K:K)</f>
        <v>#N/A</v>
      </c>
      <c r="L121" t="e">
        <f>IF(I121="Bank",_xlfn.XLOOKUP(J121,'Pricing Sheet'!A:A,'Pricing Sheet'!B:B,'Pricing Sheet'!$B$6),IF(I121="Corporate",_xlfn.XLOOKUP(J121,'Pricing Sheet'!F:F,'Pricing Sheet'!G:G,'Pricing Sheet'!$G$6),0))</f>
        <v>#N/A</v>
      </c>
      <c r="M121" t="str">
        <f t="shared" si="4"/>
        <v>OK</v>
      </c>
      <c r="N121" t="str">
        <f t="shared" si="5"/>
        <v>OK</v>
      </c>
    </row>
    <row r="122" spans="1:14">
      <c r="A122">
        <f>'Input 2 - Transactions'!A124</f>
        <v>0</v>
      </c>
      <c r="B122">
        <f>'Input 2 - Transactions'!B124</f>
        <v>0</v>
      </c>
      <c r="C122">
        <f>'Input 2 - Transactions'!C124</f>
        <v>0</v>
      </c>
      <c r="D122">
        <f>'Input 2 - Transactions'!D124</f>
        <v>0</v>
      </c>
      <c r="E122">
        <f>'Input 2 - Transactions'!E124</f>
        <v>0</v>
      </c>
      <c r="F122" s="29">
        <f>'Input 2 - Transactions'!F124</f>
        <v>0</v>
      </c>
      <c r="G122" s="29">
        <f>'Input 2 - Transactions'!G124</f>
        <v>0</v>
      </c>
      <c r="H122" t="e">
        <f>_xlfn.XLOOKUP(A122,'DB - Identities'!U:U,'DB - Identities'!B:B)</f>
        <v>#N/A</v>
      </c>
      <c r="I122" t="e">
        <f>_xlfn.XLOOKUP(H122,c_parties,'DB - Contracting Parties'!C:C)</f>
        <v>#N/A</v>
      </c>
      <c r="J122" t="e">
        <f>_xlfn.XLOOKUP(A122,'DB - Identities'!U:U,'DB - Identities'!Q:Q)</f>
        <v>#N/A</v>
      </c>
      <c r="K122" t="e">
        <f>_xlfn.XLOOKUP(D122,Static!J:J,Static!K:K)</f>
        <v>#N/A</v>
      </c>
      <c r="L122" t="e">
        <f>IF(I122="Bank",_xlfn.XLOOKUP(J122,'Pricing Sheet'!A:A,'Pricing Sheet'!B:B,'Pricing Sheet'!$B$6),IF(I122="Corporate",_xlfn.XLOOKUP(J122,'Pricing Sheet'!F:F,'Pricing Sheet'!G:G,'Pricing Sheet'!$G$6),0))</f>
        <v>#N/A</v>
      </c>
      <c r="M122" t="str">
        <f t="shared" si="4"/>
        <v>OK</v>
      </c>
      <c r="N122" t="str">
        <f t="shared" si="5"/>
        <v>OK</v>
      </c>
    </row>
    <row r="123" spans="1:14">
      <c r="A123">
        <f>'Input 2 - Transactions'!A125</f>
        <v>0</v>
      </c>
      <c r="B123">
        <f>'Input 2 - Transactions'!B125</f>
        <v>0</v>
      </c>
      <c r="C123">
        <f>'Input 2 - Transactions'!C125</f>
        <v>0</v>
      </c>
      <c r="D123">
        <f>'Input 2 - Transactions'!D125</f>
        <v>0</v>
      </c>
      <c r="E123">
        <f>'Input 2 - Transactions'!E125</f>
        <v>0</v>
      </c>
      <c r="F123" s="29">
        <f>'Input 2 - Transactions'!F125</f>
        <v>0</v>
      </c>
      <c r="G123" s="29">
        <f>'Input 2 - Transactions'!G125</f>
        <v>0</v>
      </c>
      <c r="H123" t="e">
        <f>_xlfn.XLOOKUP(A123,'DB - Identities'!U:U,'DB - Identities'!B:B)</f>
        <v>#N/A</v>
      </c>
      <c r="I123" t="e">
        <f>_xlfn.XLOOKUP(H123,c_parties,'DB - Contracting Parties'!C:C)</f>
        <v>#N/A</v>
      </c>
      <c r="J123" t="e">
        <f>_xlfn.XLOOKUP(A123,'DB - Identities'!U:U,'DB - Identities'!Q:Q)</f>
        <v>#N/A</v>
      </c>
      <c r="K123" t="e">
        <f>_xlfn.XLOOKUP(D123,Static!J:J,Static!K:K)</f>
        <v>#N/A</v>
      </c>
      <c r="L123" t="e">
        <f>IF(I123="Bank",_xlfn.XLOOKUP(J123,'Pricing Sheet'!A:A,'Pricing Sheet'!B:B,'Pricing Sheet'!$B$6),IF(I123="Corporate",_xlfn.XLOOKUP(J123,'Pricing Sheet'!F:F,'Pricing Sheet'!G:G,'Pricing Sheet'!$G$6),0))</f>
        <v>#N/A</v>
      </c>
      <c r="M123" t="str">
        <f t="shared" si="4"/>
        <v>OK</v>
      </c>
      <c r="N123" t="str">
        <f t="shared" si="5"/>
        <v>OK</v>
      </c>
    </row>
    <row r="124" spans="1:14">
      <c r="A124">
        <f>'Input 2 - Transactions'!A126</f>
        <v>0</v>
      </c>
      <c r="B124">
        <f>'Input 2 - Transactions'!B126</f>
        <v>0</v>
      </c>
      <c r="C124">
        <f>'Input 2 - Transactions'!C126</f>
        <v>0</v>
      </c>
      <c r="D124">
        <f>'Input 2 - Transactions'!D126</f>
        <v>0</v>
      </c>
      <c r="E124">
        <f>'Input 2 - Transactions'!E126</f>
        <v>0</v>
      </c>
      <c r="F124" s="29">
        <f>'Input 2 - Transactions'!F126</f>
        <v>0</v>
      </c>
      <c r="G124" s="29">
        <f>'Input 2 - Transactions'!G126</f>
        <v>0</v>
      </c>
      <c r="H124" t="e">
        <f>_xlfn.XLOOKUP(A124,'DB - Identities'!U:U,'DB - Identities'!B:B)</f>
        <v>#N/A</v>
      </c>
      <c r="I124" t="e">
        <f>_xlfn.XLOOKUP(H124,c_parties,'DB - Contracting Parties'!C:C)</f>
        <v>#N/A</v>
      </c>
      <c r="J124" t="e">
        <f>_xlfn.XLOOKUP(A124,'DB - Identities'!U:U,'DB - Identities'!Q:Q)</f>
        <v>#N/A</v>
      </c>
      <c r="K124" t="e">
        <f>_xlfn.XLOOKUP(D124,Static!J:J,Static!K:K)</f>
        <v>#N/A</v>
      </c>
      <c r="L124" t="e">
        <f>IF(I124="Bank",_xlfn.XLOOKUP(J124,'Pricing Sheet'!A:A,'Pricing Sheet'!B:B,'Pricing Sheet'!$B$6),IF(I124="Corporate",_xlfn.XLOOKUP(J124,'Pricing Sheet'!F:F,'Pricing Sheet'!G:G,'Pricing Sheet'!$G$6),0))</f>
        <v>#N/A</v>
      </c>
      <c r="M124" t="str">
        <f t="shared" si="4"/>
        <v>OK</v>
      </c>
      <c r="N124" t="str">
        <f t="shared" si="5"/>
        <v>OK</v>
      </c>
    </row>
    <row r="125" spans="1:14">
      <c r="A125">
        <f>'Input 2 - Transactions'!A127</f>
        <v>0</v>
      </c>
      <c r="B125">
        <f>'Input 2 - Transactions'!B127</f>
        <v>0</v>
      </c>
      <c r="C125">
        <f>'Input 2 - Transactions'!C127</f>
        <v>0</v>
      </c>
      <c r="D125">
        <f>'Input 2 - Transactions'!D127</f>
        <v>0</v>
      </c>
      <c r="E125">
        <f>'Input 2 - Transactions'!E127</f>
        <v>0</v>
      </c>
      <c r="F125" s="29">
        <f>'Input 2 - Transactions'!F127</f>
        <v>0</v>
      </c>
      <c r="G125" s="29">
        <f>'Input 2 - Transactions'!G127</f>
        <v>0</v>
      </c>
      <c r="H125" t="e">
        <f>_xlfn.XLOOKUP(A125,'DB - Identities'!U:U,'DB - Identities'!B:B)</f>
        <v>#N/A</v>
      </c>
      <c r="I125" t="e">
        <f>_xlfn.XLOOKUP(H125,c_parties,'DB - Contracting Parties'!C:C)</f>
        <v>#N/A</v>
      </c>
      <c r="J125" t="e">
        <f>_xlfn.XLOOKUP(A125,'DB - Identities'!U:U,'DB - Identities'!Q:Q)</f>
        <v>#N/A</v>
      </c>
      <c r="K125" t="e">
        <f>_xlfn.XLOOKUP(D125,Static!J:J,Static!K:K)</f>
        <v>#N/A</v>
      </c>
      <c r="L125" t="e">
        <f>IF(I125="Bank",_xlfn.XLOOKUP(J125,'Pricing Sheet'!A:A,'Pricing Sheet'!B:B,'Pricing Sheet'!$B$6),IF(I125="Corporate",_xlfn.XLOOKUP(J125,'Pricing Sheet'!F:F,'Pricing Sheet'!G:G,'Pricing Sheet'!$G$6),0))</f>
        <v>#N/A</v>
      </c>
      <c r="M125" t="str">
        <f t="shared" si="4"/>
        <v>OK</v>
      </c>
      <c r="N125" t="str">
        <f t="shared" si="5"/>
        <v>OK</v>
      </c>
    </row>
    <row r="126" spans="1:14">
      <c r="A126">
        <f>'Input 2 - Transactions'!A128</f>
        <v>0</v>
      </c>
      <c r="B126">
        <f>'Input 2 - Transactions'!B128</f>
        <v>0</v>
      </c>
      <c r="C126">
        <f>'Input 2 - Transactions'!C128</f>
        <v>0</v>
      </c>
      <c r="D126">
        <f>'Input 2 - Transactions'!D128</f>
        <v>0</v>
      </c>
      <c r="E126">
        <f>'Input 2 - Transactions'!E128</f>
        <v>0</v>
      </c>
      <c r="F126" s="29">
        <f>'Input 2 - Transactions'!F128</f>
        <v>0</v>
      </c>
      <c r="G126" s="29">
        <f>'Input 2 - Transactions'!G128</f>
        <v>0</v>
      </c>
      <c r="H126" t="e">
        <f>_xlfn.XLOOKUP(A126,'DB - Identities'!U:U,'DB - Identities'!B:B)</f>
        <v>#N/A</v>
      </c>
      <c r="I126" t="e">
        <f>_xlfn.XLOOKUP(H126,c_parties,'DB - Contracting Parties'!C:C)</f>
        <v>#N/A</v>
      </c>
      <c r="J126" t="e">
        <f>_xlfn.XLOOKUP(A126,'DB - Identities'!U:U,'DB - Identities'!Q:Q)</f>
        <v>#N/A</v>
      </c>
      <c r="K126" t="e">
        <f>_xlfn.XLOOKUP(D126,Static!J:J,Static!K:K)</f>
        <v>#N/A</v>
      </c>
      <c r="L126" t="e">
        <f>IF(I126="Bank",_xlfn.XLOOKUP(J126,'Pricing Sheet'!A:A,'Pricing Sheet'!B:B,'Pricing Sheet'!$B$6),IF(I126="Corporate",_xlfn.XLOOKUP(J126,'Pricing Sheet'!F:F,'Pricing Sheet'!G:G,'Pricing Sheet'!$G$6),0))</f>
        <v>#N/A</v>
      </c>
      <c r="M126" t="str">
        <f t="shared" si="4"/>
        <v>OK</v>
      </c>
      <c r="N126" t="str">
        <f t="shared" si="5"/>
        <v>OK</v>
      </c>
    </row>
    <row r="127" spans="1:14">
      <c r="A127">
        <f>'Input 2 - Transactions'!A129</f>
        <v>0</v>
      </c>
      <c r="B127">
        <f>'Input 2 - Transactions'!B129</f>
        <v>0</v>
      </c>
      <c r="C127">
        <f>'Input 2 - Transactions'!C129</f>
        <v>0</v>
      </c>
      <c r="D127">
        <f>'Input 2 - Transactions'!D129</f>
        <v>0</v>
      </c>
      <c r="E127">
        <f>'Input 2 - Transactions'!E129</f>
        <v>0</v>
      </c>
      <c r="F127" s="29">
        <f>'Input 2 - Transactions'!F129</f>
        <v>0</v>
      </c>
      <c r="G127" s="29">
        <f>'Input 2 - Transactions'!G129</f>
        <v>0</v>
      </c>
      <c r="H127" t="e">
        <f>_xlfn.XLOOKUP(A127,'DB - Identities'!U:U,'DB - Identities'!B:B)</f>
        <v>#N/A</v>
      </c>
      <c r="I127" t="e">
        <f>_xlfn.XLOOKUP(H127,c_parties,'DB - Contracting Parties'!C:C)</f>
        <v>#N/A</v>
      </c>
      <c r="J127" t="e">
        <f>_xlfn.XLOOKUP(A127,'DB - Identities'!U:U,'DB - Identities'!Q:Q)</f>
        <v>#N/A</v>
      </c>
      <c r="K127" t="e">
        <f>_xlfn.XLOOKUP(D127,Static!J:J,Static!K:K)</f>
        <v>#N/A</v>
      </c>
      <c r="L127" t="e">
        <f>IF(I127="Bank",_xlfn.XLOOKUP(J127,'Pricing Sheet'!A:A,'Pricing Sheet'!B:B,'Pricing Sheet'!$B$6),IF(I127="Corporate",_xlfn.XLOOKUP(J127,'Pricing Sheet'!F:F,'Pricing Sheet'!G:G,'Pricing Sheet'!$G$6),0))</f>
        <v>#N/A</v>
      </c>
      <c r="M127" t="str">
        <f t="shared" si="4"/>
        <v>OK</v>
      </c>
      <c r="N127" t="str">
        <f t="shared" si="5"/>
        <v>OK</v>
      </c>
    </row>
    <row r="128" spans="1:14">
      <c r="A128">
        <f>'Input 2 - Transactions'!A130</f>
        <v>0</v>
      </c>
      <c r="B128">
        <f>'Input 2 - Transactions'!B130</f>
        <v>0</v>
      </c>
      <c r="C128">
        <f>'Input 2 - Transactions'!C130</f>
        <v>0</v>
      </c>
      <c r="D128">
        <f>'Input 2 - Transactions'!D130</f>
        <v>0</v>
      </c>
      <c r="E128">
        <f>'Input 2 - Transactions'!E130</f>
        <v>0</v>
      </c>
      <c r="F128" s="29">
        <f>'Input 2 - Transactions'!F130</f>
        <v>0</v>
      </c>
      <c r="G128" s="29">
        <f>'Input 2 - Transactions'!G130</f>
        <v>0</v>
      </c>
      <c r="H128" t="e">
        <f>_xlfn.XLOOKUP(A128,'DB - Identities'!U:U,'DB - Identities'!B:B)</f>
        <v>#N/A</v>
      </c>
      <c r="I128" t="e">
        <f>_xlfn.XLOOKUP(H128,c_parties,'DB - Contracting Parties'!C:C)</f>
        <v>#N/A</v>
      </c>
      <c r="J128" t="e">
        <f>_xlfn.XLOOKUP(A128,'DB - Identities'!U:U,'DB - Identities'!Q:Q)</f>
        <v>#N/A</v>
      </c>
      <c r="K128" t="e">
        <f>_xlfn.XLOOKUP(D128,Static!J:J,Static!K:K)</f>
        <v>#N/A</v>
      </c>
      <c r="L128" t="e">
        <f>IF(I128="Bank",_xlfn.XLOOKUP(J128,'Pricing Sheet'!A:A,'Pricing Sheet'!B:B,'Pricing Sheet'!$B$6),IF(I128="Corporate",_xlfn.XLOOKUP(J128,'Pricing Sheet'!F:F,'Pricing Sheet'!G:G,'Pricing Sheet'!$G$6),0))</f>
        <v>#N/A</v>
      </c>
      <c r="M128" t="str">
        <f t="shared" si="4"/>
        <v>OK</v>
      </c>
      <c r="N128" t="str">
        <f t="shared" si="5"/>
        <v>OK</v>
      </c>
    </row>
    <row r="129" spans="1:14">
      <c r="A129">
        <f>'Input 2 - Transactions'!A131</f>
        <v>0</v>
      </c>
      <c r="B129">
        <f>'Input 2 - Transactions'!B131</f>
        <v>0</v>
      </c>
      <c r="C129">
        <f>'Input 2 - Transactions'!C131</f>
        <v>0</v>
      </c>
      <c r="D129">
        <f>'Input 2 - Transactions'!D131</f>
        <v>0</v>
      </c>
      <c r="E129">
        <f>'Input 2 - Transactions'!E131</f>
        <v>0</v>
      </c>
      <c r="F129" s="29">
        <f>'Input 2 - Transactions'!F131</f>
        <v>0</v>
      </c>
      <c r="G129" s="29">
        <f>'Input 2 - Transactions'!G131</f>
        <v>0</v>
      </c>
      <c r="H129" t="e">
        <f>_xlfn.XLOOKUP(A129,'DB - Identities'!U:U,'DB - Identities'!B:B)</f>
        <v>#N/A</v>
      </c>
      <c r="I129" t="e">
        <f>_xlfn.XLOOKUP(H129,c_parties,'DB - Contracting Parties'!C:C)</f>
        <v>#N/A</v>
      </c>
      <c r="J129" t="e">
        <f>_xlfn.XLOOKUP(A129,'DB - Identities'!U:U,'DB - Identities'!Q:Q)</f>
        <v>#N/A</v>
      </c>
      <c r="K129" t="e">
        <f>_xlfn.XLOOKUP(D129,Static!J:J,Static!K:K)</f>
        <v>#N/A</v>
      </c>
      <c r="L129" t="e">
        <f>IF(I129="Bank",_xlfn.XLOOKUP(J129,'Pricing Sheet'!A:A,'Pricing Sheet'!B:B,'Pricing Sheet'!$B$6),IF(I129="Corporate",_xlfn.XLOOKUP(J129,'Pricing Sheet'!F:F,'Pricing Sheet'!G:G,'Pricing Sheet'!$G$6),0))</f>
        <v>#N/A</v>
      </c>
      <c r="M129" t="str">
        <f t="shared" ref="M129:M192" si="6">IF(AND(A129&lt;&gt;0,ISNA(H129)),"ERROR", "OK")</f>
        <v>OK</v>
      </c>
      <c r="N129" t="str">
        <f t="shared" ref="N129:N192" si="7">IF(AND(A129&lt;&gt;0,ISNA(J129)),"ERROR", "OK")</f>
        <v>OK</v>
      </c>
    </row>
    <row r="130" spans="1:14">
      <c r="A130">
        <f>'Input 2 - Transactions'!A132</f>
        <v>0</v>
      </c>
      <c r="B130">
        <f>'Input 2 - Transactions'!B132</f>
        <v>0</v>
      </c>
      <c r="C130">
        <f>'Input 2 - Transactions'!C132</f>
        <v>0</v>
      </c>
      <c r="D130">
        <f>'Input 2 - Transactions'!D132</f>
        <v>0</v>
      </c>
      <c r="E130">
        <f>'Input 2 - Transactions'!E132</f>
        <v>0</v>
      </c>
      <c r="F130" s="29">
        <f>'Input 2 - Transactions'!F132</f>
        <v>0</v>
      </c>
      <c r="G130" s="29">
        <f>'Input 2 - Transactions'!G132</f>
        <v>0</v>
      </c>
      <c r="H130" t="e">
        <f>_xlfn.XLOOKUP(A130,'DB - Identities'!U:U,'DB - Identities'!B:B)</f>
        <v>#N/A</v>
      </c>
      <c r="I130" t="e">
        <f>_xlfn.XLOOKUP(H130,c_parties,'DB - Contracting Parties'!C:C)</f>
        <v>#N/A</v>
      </c>
      <c r="J130" t="e">
        <f>_xlfn.XLOOKUP(A130,'DB - Identities'!U:U,'DB - Identities'!Q:Q)</f>
        <v>#N/A</v>
      </c>
      <c r="K130" t="e">
        <f>_xlfn.XLOOKUP(D130,Static!J:J,Static!K:K)</f>
        <v>#N/A</v>
      </c>
      <c r="L130" t="e">
        <f>IF(I130="Bank",_xlfn.XLOOKUP(J130,'Pricing Sheet'!A:A,'Pricing Sheet'!B:B,'Pricing Sheet'!$B$6),IF(I130="Corporate",_xlfn.XLOOKUP(J130,'Pricing Sheet'!F:F,'Pricing Sheet'!G:G,'Pricing Sheet'!$G$6),0))</f>
        <v>#N/A</v>
      </c>
      <c r="M130" t="str">
        <f t="shared" si="6"/>
        <v>OK</v>
      </c>
      <c r="N130" t="str">
        <f t="shared" si="7"/>
        <v>OK</v>
      </c>
    </row>
    <row r="131" spans="1:14">
      <c r="A131">
        <f>'Input 2 - Transactions'!A133</f>
        <v>0</v>
      </c>
      <c r="B131">
        <f>'Input 2 - Transactions'!B133</f>
        <v>0</v>
      </c>
      <c r="C131">
        <f>'Input 2 - Transactions'!C133</f>
        <v>0</v>
      </c>
      <c r="D131">
        <f>'Input 2 - Transactions'!D133</f>
        <v>0</v>
      </c>
      <c r="E131">
        <f>'Input 2 - Transactions'!E133</f>
        <v>0</v>
      </c>
      <c r="F131" s="29">
        <f>'Input 2 - Transactions'!F133</f>
        <v>0</v>
      </c>
      <c r="G131" s="29">
        <f>'Input 2 - Transactions'!G133</f>
        <v>0</v>
      </c>
      <c r="H131" t="e">
        <f>_xlfn.XLOOKUP(A131,'DB - Identities'!U:U,'DB - Identities'!B:B)</f>
        <v>#N/A</v>
      </c>
      <c r="I131" t="e">
        <f>_xlfn.XLOOKUP(H131,c_parties,'DB - Contracting Parties'!C:C)</f>
        <v>#N/A</v>
      </c>
      <c r="J131" t="e">
        <f>_xlfn.XLOOKUP(A131,'DB - Identities'!U:U,'DB - Identities'!Q:Q)</f>
        <v>#N/A</v>
      </c>
      <c r="K131" t="e">
        <f>_xlfn.XLOOKUP(D131,Static!J:J,Static!K:K)</f>
        <v>#N/A</v>
      </c>
      <c r="L131" t="e">
        <f>IF(I131="Bank",_xlfn.XLOOKUP(J131,'Pricing Sheet'!A:A,'Pricing Sheet'!B:B,'Pricing Sheet'!$B$6),IF(I131="Corporate",_xlfn.XLOOKUP(J131,'Pricing Sheet'!F:F,'Pricing Sheet'!G:G,'Pricing Sheet'!$G$6),0))</f>
        <v>#N/A</v>
      </c>
      <c r="M131" t="str">
        <f t="shared" si="6"/>
        <v>OK</v>
      </c>
      <c r="N131" t="str">
        <f t="shared" si="7"/>
        <v>OK</v>
      </c>
    </row>
    <row r="132" spans="1:14">
      <c r="A132">
        <f>'Input 2 - Transactions'!A134</f>
        <v>0</v>
      </c>
      <c r="B132">
        <f>'Input 2 - Transactions'!B134</f>
        <v>0</v>
      </c>
      <c r="C132">
        <f>'Input 2 - Transactions'!C134</f>
        <v>0</v>
      </c>
      <c r="D132">
        <f>'Input 2 - Transactions'!D134</f>
        <v>0</v>
      </c>
      <c r="E132">
        <f>'Input 2 - Transactions'!E134</f>
        <v>0</v>
      </c>
      <c r="F132" s="29">
        <f>'Input 2 - Transactions'!F134</f>
        <v>0</v>
      </c>
      <c r="G132" s="29">
        <f>'Input 2 - Transactions'!G134</f>
        <v>0</v>
      </c>
      <c r="H132" t="e">
        <f>_xlfn.XLOOKUP(A132,'DB - Identities'!U:U,'DB - Identities'!B:B)</f>
        <v>#N/A</v>
      </c>
      <c r="I132" t="e">
        <f>_xlfn.XLOOKUP(H132,c_parties,'DB - Contracting Parties'!C:C)</f>
        <v>#N/A</v>
      </c>
      <c r="J132" t="e">
        <f>_xlfn.XLOOKUP(A132,'DB - Identities'!U:U,'DB - Identities'!Q:Q)</f>
        <v>#N/A</v>
      </c>
      <c r="K132" t="e">
        <f>_xlfn.XLOOKUP(D132,Static!J:J,Static!K:K)</f>
        <v>#N/A</v>
      </c>
      <c r="L132" t="e">
        <f>IF(I132="Bank",_xlfn.XLOOKUP(J132,'Pricing Sheet'!A:A,'Pricing Sheet'!B:B,'Pricing Sheet'!$B$6),IF(I132="Corporate",_xlfn.XLOOKUP(J132,'Pricing Sheet'!F:F,'Pricing Sheet'!G:G,'Pricing Sheet'!$G$6),0))</f>
        <v>#N/A</v>
      </c>
      <c r="M132" t="str">
        <f t="shared" si="6"/>
        <v>OK</v>
      </c>
      <c r="N132" t="str">
        <f t="shared" si="7"/>
        <v>OK</v>
      </c>
    </row>
    <row r="133" spans="1:14">
      <c r="A133">
        <f>'Input 2 - Transactions'!A135</f>
        <v>0</v>
      </c>
      <c r="B133">
        <f>'Input 2 - Transactions'!B135</f>
        <v>0</v>
      </c>
      <c r="C133">
        <f>'Input 2 - Transactions'!C135</f>
        <v>0</v>
      </c>
      <c r="D133">
        <f>'Input 2 - Transactions'!D135</f>
        <v>0</v>
      </c>
      <c r="E133">
        <f>'Input 2 - Transactions'!E135</f>
        <v>0</v>
      </c>
      <c r="F133" s="29">
        <f>'Input 2 - Transactions'!F135</f>
        <v>0</v>
      </c>
      <c r="G133" s="29">
        <f>'Input 2 - Transactions'!G135</f>
        <v>0</v>
      </c>
      <c r="H133" t="e">
        <f>_xlfn.XLOOKUP(A133,'DB - Identities'!U:U,'DB - Identities'!B:B)</f>
        <v>#N/A</v>
      </c>
      <c r="I133" t="e">
        <f>_xlfn.XLOOKUP(H133,c_parties,'DB - Contracting Parties'!C:C)</f>
        <v>#N/A</v>
      </c>
      <c r="J133" t="e">
        <f>_xlfn.XLOOKUP(A133,'DB - Identities'!U:U,'DB - Identities'!Q:Q)</f>
        <v>#N/A</v>
      </c>
      <c r="K133" t="e">
        <f>_xlfn.XLOOKUP(D133,Static!J:J,Static!K:K)</f>
        <v>#N/A</v>
      </c>
      <c r="L133" t="e">
        <f>IF(I133="Bank",_xlfn.XLOOKUP(J133,'Pricing Sheet'!A:A,'Pricing Sheet'!B:B,'Pricing Sheet'!$B$6),IF(I133="Corporate",_xlfn.XLOOKUP(J133,'Pricing Sheet'!F:F,'Pricing Sheet'!G:G,'Pricing Sheet'!$G$6),0))</f>
        <v>#N/A</v>
      </c>
      <c r="M133" t="str">
        <f t="shared" si="6"/>
        <v>OK</v>
      </c>
      <c r="N133" t="str">
        <f t="shared" si="7"/>
        <v>OK</v>
      </c>
    </row>
    <row r="134" spans="1:14">
      <c r="A134">
        <f>'Input 2 - Transactions'!A136</f>
        <v>0</v>
      </c>
      <c r="B134">
        <f>'Input 2 - Transactions'!B136</f>
        <v>0</v>
      </c>
      <c r="C134">
        <f>'Input 2 - Transactions'!C136</f>
        <v>0</v>
      </c>
      <c r="D134">
        <f>'Input 2 - Transactions'!D136</f>
        <v>0</v>
      </c>
      <c r="E134">
        <f>'Input 2 - Transactions'!E136</f>
        <v>0</v>
      </c>
      <c r="F134" s="29">
        <f>'Input 2 - Transactions'!F136</f>
        <v>0</v>
      </c>
      <c r="G134" s="29">
        <f>'Input 2 - Transactions'!G136</f>
        <v>0</v>
      </c>
      <c r="H134" t="e">
        <f>_xlfn.XLOOKUP(A134,'DB - Identities'!U:U,'DB - Identities'!B:B)</f>
        <v>#N/A</v>
      </c>
      <c r="I134" t="e">
        <f>_xlfn.XLOOKUP(H134,c_parties,'DB - Contracting Parties'!C:C)</f>
        <v>#N/A</v>
      </c>
      <c r="J134" t="e">
        <f>_xlfn.XLOOKUP(A134,'DB - Identities'!U:U,'DB - Identities'!Q:Q)</f>
        <v>#N/A</v>
      </c>
      <c r="K134" t="e">
        <f>_xlfn.XLOOKUP(D134,Static!J:J,Static!K:K)</f>
        <v>#N/A</v>
      </c>
      <c r="L134" t="e">
        <f>IF(I134="Bank",_xlfn.XLOOKUP(J134,'Pricing Sheet'!A:A,'Pricing Sheet'!B:B,'Pricing Sheet'!$B$6),IF(I134="Corporate",_xlfn.XLOOKUP(J134,'Pricing Sheet'!F:F,'Pricing Sheet'!G:G,'Pricing Sheet'!$G$6),0))</f>
        <v>#N/A</v>
      </c>
      <c r="M134" t="str">
        <f t="shared" si="6"/>
        <v>OK</v>
      </c>
      <c r="N134" t="str">
        <f t="shared" si="7"/>
        <v>OK</v>
      </c>
    </row>
    <row r="135" spans="1:14">
      <c r="A135">
        <f>'Input 2 - Transactions'!A137</f>
        <v>0</v>
      </c>
      <c r="B135">
        <f>'Input 2 - Transactions'!B137</f>
        <v>0</v>
      </c>
      <c r="C135">
        <f>'Input 2 - Transactions'!C137</f>
        <v>0</v>
      </c>
      <c r="D135">
        <f>'Input 2 - Transactions'!D137</f>
        <v>0</v>
      </c>
      <c r="E135">
        <f>'Input 2 - Transactions'!E137</f>
        <v>0</v>
      </c>
      <c r="F135" s="29">
        <f>'Input 2 - Transactions'!F137</f>
        <v>0</v>
      </c>
      <c r="G135" s="29">
        <f>'Input 2 - Transactions'!G137</f>
        <v>0</v>
      </c>
      <c r="H135" t="e">
        <f>_xlfn.XLOOKUP(A135,'DB - Identities'!U:U,'DB - Identities'!B:B)</f>
        <v>#N/A</v>
      </c>
      <c r="I135" t="e">
        <f>_xlfn.XLOOKUP(H135,c_parties,'DB - Contracting Parties'!C:C)</f>
        <v>#N/A</v>
      </c>
      <c r="J135" t="e">
        <f>_xlfn.XLOOKUP(A135,'DB - Identities'!U:U,'DB - Identities'!Q:Q)</f>
        <v>#N/A</v>
      </c>
      <c r="K135" t="e">
        <f>_xlfn.XLOOKUP(D135,Static!J:J,Static!K:K)</f>
        <v>#N/A</v>
      </c>
      <c r="L135" t="e">
        <f>IF(I135="Bank",_xlfn.XLOOKUP(J135,'Pricing Sheet'!A:A,'Pricing Sheet'!B:B,'Pricing Sheet'!$B$6),IF(I135="Corporate",_xlfn.XLOOKUP(J135,'Pricing Sheet'!F:F,'Pricing Sheet'!G:G,'Pricing Sheet'!$G$6),0))</f>
        <v>#N/A</v>
      </c>
      <c r="M135" t="str">
        <f t="shared" si="6"/>
        <v>OK</v>
      </c>
      <c r="N135" t="str">
        <f t="shared" si="7"/>
        <v>OK</v>
      </c>
    </row>
    <row r="136" spans="1:14">
      <c r="A136">
        <f>'Input 2 - Transactions'!A138</f>
        <v>0</v>
      </c>
      <c r="B136">
        <f>'Input 2 - Transactions'!B138</f>
        <v>0</v>
      </c>
      <c r="C136">
        <f>'Input 2 - Transactions'!C138</f>
        <v>0</v>
      </c>
      <c r="D136">
        <f>'Input 2 - Transactions'!D138</f>
        <v>0</v>
      </c>
      <c r="E136">
        <f>'Input 2 - Transactions'!E138</f>
        <v>0</v>
      </c>
      <c r="F136" s="29">
        <f>'Input 2 - Transactions'!F138</f>
        <v>0</v>
      </c>
      <c r="G136" s="29">
        <f>'Input 2 - Transactions'!G138</f>
        <v>0</v>
      </c>
      <c r="H136" t="e">
        <f>_xlfn.XLOOKUP(A136,'DB - Identities'!U:U,'DB - Identities'!B:B)</f>
        <v>#N/A</v>
      </c>
      <c r="I136" t="e">
        <f>_xlfn.XLOOKUP(H136,c_parties,'DB - Contracting Parties'!C:C)</f>
        <v>#N/A</v>
      </c>
      <c r="J136" t="e">
        <f>_xlfn.XLOOKUP(A136,'DB - Identities'!U:U,'DB - Identities'!Q:Q)</f>
        <v>#N/A</v>
      </c>
      <c r="K136" t="e">
        <f>_xlfn.XLOOKUP(D136,Static!J:J,Static!K:K)</f>
        <v>#N/A</v>
      </c>
      <c r="L136" t="e">
        <f>IF(I136="Bank",_xlfn.XLOOKUP(J136,'Pricing Sheet'!A:A,'Pricing Sheet'!B:B,'Pricing Sheet'!$B$6),IF(I136="Corporate",_xlfn.XLOOKUP(J136,'Pricing Sheet'!F:F,'Pricing Sheet'!G:G,'Pricing Sheet'!$G$6),0))</f>
        <v>#N/A</v>
      </c>
      <c r="M136" t="str">
        <f t="shared" si="6"/>
        <v>OK</v>
      </c>
      <c r="N136" t="str">
        <f t="shared" si="7"/>
        <v>OK</v>
      </c>
    </row>
    <row r="137" spans="1:14">
      <c r="A137">
        <f>'Input 2 - Transactions'!A139</f>
        <v>0</v>
      </c>
      <c r="B137">
        <f>'Input 2 - Transactions'!B139</f>
        <v>0</v>
      </c>
      <c r="C137">
        <f>'Input 2 - Transactions'!C139</f>
        <v>0</v>
      </c>
      <c r="D137">
        <f>'Input 2 - Transactions'!D139</f>
        <v>0</v>
      </c>
      <c r="E137">
        <f>'Input 2 - Transactions'!E139</f>
        <v>0</v>
      </c>
      <c r="F137" s="29">
        <f>'Input 2 - Transactions'!F139</f>
        <v>0</v>
      </c>
      <c r="G137" s="29">
        <f>'Input 2 - Transactions'!G139</f>
        <v>0</v>
      </c>
      <c r="H137" t="e">
        <f>_xlfn.XLOOKUP(A137,'DB - Identities'!U:U,'DB - Identities'!B:B)</f>
        <v>#N/A</v>
      </c>
      <c r="I137" t="e">
        <f>_xlfn.XLOOKUP(H137,c_parties,'DB - Contracting Parties'!C:C)</f>
        <v>#N/A</v>
      </c>
      <c r="J137" t="e">
        <f>_xlfn.XLOOKUP(A137,'DB - Identities'!U:U,'DB - Identities'!Q:Q)</f>
        <v>#N/A</v>
      </c>
      <c r="K137" t="e">
        <f>_xlfn.XLOOKUP(D137,Static!J:J,Static!K:K)</f>
        <v>#N/A</v>
      </c>
      <c r="L137" t="e">
        <f>IF(I137="Bank",_xlfn.XLOOKUP(J137,'Pricing Sheet'!A:A,'Pricing Sheet'!B:B,'Pricing Sheet'!$B$6),IF(I137="Corporate",_xlfn.XLOOKUP(J137,'Pricing Sheet'!F:F,'Pricing Sheet'!G:G,'Pricing Sheet'!$G$6),0))</f>
        <v>#N/A</v>
      </c>
      <c r="M137" t="str">
        <f t="shared" si="6"/>
        <v>OK</v>
      </c>
      <c r="N137" t="str">
        <f t="shared" si="7"/>
        <v>OK</v>
      </c>
    </row>
    <row r="138" spans="1:14">
      <c r="A138">
        <f>'Input 2 - Transactions'!A140</f>
        <v>0</v>
      </c>
      <c r="B138">
        <f>'Input 2 - Transactions'!B140</f>
        <v>0</v>
      </c>
      <c r="C138">
        <f>'Input 2 - Transactions'!C140</f>
        <v>0</v>
      </c>
      <c r="D138">
        <f>'Input 2 - Transactions'!D140</f>
        <v>0</v>
      </c>
      <c r="E138">
        <f>'Input 2 - Transactions'!E140</f>
        <v>0</v>
      </c>
      <c r="F138" s="29">
        <f>'Input 2 - Transactions'!F140</f>
        <v>0</v>
      </c>
      <c r="G138" s="29">
        <f>'Input 2 - Transactions'!G140</f>
        <v>0</v>
      </c>
      <c r="H138" t="e">
        <f>_xlfn.XLOOKUP(A138,'DB - Identities'!U:U,'DB - Identities'!B:B)</f>
        <v>#N/A</v>
      </c>
      <c r="I138" t="e">
        <f>_xlfn.XLOOKUP(H138,c_parties,'DB - Contracting Parties'!C:C)</f>
        <v>#N/A</v>
      </c>
      <c r="J138" t="e">
        <f>_xlfn.XLOOKUP(A138,'DB - Identities'!U:U,'DB - Identities'!Q:Q)</f>
        <v>#N/A</v>
      </c>
      <c r="K138" t="e">
        <f>_xlfn.XLOOKUP(D138,Static!J:J,Static!K:K)</f>
        <v>#N/A</v>
      </c>
      <c r="L138" t="e">
        <f>IF(I138="Bank",_xlfn.XLOOKUP(J138,'Pricing Sheet'!A:A,'Pricing Sheet'!B:B,'Pricing Sheet'!$B$6),IF(I138="Corporate",_xlfn.XLOOKUP(J138,'Pricing Sheet'!F:F,'Pricing Sheet'!G:G,'Pricing Sheet'!$G$6),0))</f>
        <v>#N/A</v>
      </c>
      <c r="M138" t="str">
        <f t="shared" si="6"/>
        <v>OK</v>
      </c>
      <c r="N138" t="str">
        <f t="shared" si="7"/>
        <v>OK</v>
      </c>
    </row>
    <row r="139" spans="1:14">
      <c r="A139">
        <f>'Input 2 - Transactions'!A141</f>
        <v>0</v>
      </c>
      <c r="B139">
        <f>'Input 2 - Transactions'!B141</f>
        <v>0</v>
      </c>
      <c r="C139">
        <f>'Input 2 - Transactions'!C141</f>
        <v>0</v>
      </c>
      <c r="D139">
        <f>'Input 2 - Transactions'!D141</f>
        <v>0</v>
      </c>
      <c r="E139">
        <f>'Input 2 - Transactions'!E141</f>
        <v>0</v>
      </c>
      <c r="F139" s="29">
        <f>'Input 2 - Transactions'!F141</f>
        <v>0</v>
      </c>
      <c r="G139" s="29">
        <f>'Input 2 - Transactions'!G141</f>
        <v>0</v>
      </c>
      <c r="H139" t="e">
        <f>_xlfn.XLOOKUP(A139,'DB - Identities'!U:U,'DB - Identities'!B:B)</f>
        <v>#N/A</v>
      </c>
      <c r="I139" t="e">
        <f>_xlfn.XLOOKUP(H139,c_parties,'DB - Contracting Parties'!C:C)</f>
        <v>#N/A</v>
      </c>
      <c r="J139" t="e">
        <f>_xlfn.XLOOKUP(A139,'DB - Identities'!U:U,'DB - Identities'!Q:Q)</f>
        <v>#N/A</v>
      </c>
      <c r="K139" t="e">
        <f>_xlfn.XLOOKUP(D139,Static!J:J,Static!K:K)</f>
        <v>#N/A</v>
      </c>
      <c r="L139" t="e">
        <f>IF(I139="Bank",_xlfn.XLOOKUP(J139,'Pricing Sheet'!A:A,'Pricing Sheet'!B:B,'Pricing Sheet'!$B$6),IF(I139="Corporate",_xlfn.XLOOKUP(J139,'Pricing Sheet'!F:F,'Pricing Sheet'!G:G,'Pricing Sheet'!$G$6),0))</f>
        <v>#N/A</v>
      </c>
      <c r="M139" t="str">
        <f t="shared" si="6"/>
        <v>OK</v>
      </c>
      <c r="N139" t="str">
        <f t="shared" si="7"/>
        <v>OK</v>
      </c>
    </row>
    <row r="140" spans="1:14">
      <c r="A140">
        <f>'Input 2 - Transactions'!A142</f>
        <v>0</v>
      </c>
      <c r="B140">
        <f>'Input 2 - Transactions'!B142</f>
        <v>0</v>
      </c>
      <c r="C140">
        <f>'Input 2 - Transactions'!C142</f>
        <v>0</v>
      </c>
      <c r="D140">
        <f>'Input 2 - Transactions'!D142</f>
        <v>0</v>
      </c>
      <c r="E140">
        <f>'Input 2 - Transactions'!E142</f>
        <v>0</v>
      </c>
      <c r="F140" s="29">
        <f>'Input 2 - Transactions'!F142</f>
        <v>0</v>
      </c>
      <c r="G140" s="29">
        <f>'Input 2 - Transactions'!G142</f>
        <v>0</v>
      </c>
      <c r="H140" t="e">
        <f>_xlfn.XLOOKUP(A140,'DB - Identities'!U:U,'DB - Identities'!B:B)</f>
        <v>#N/A</v>
      </c>
      <c r="I140" t="e">
        <f>_xlfn.XLOOKUP(H140,c_parties,'DB - Contracting Parties'!C:C)</f>
        <v>#N/A</v>
      </c>
      <c r="J140" t="e">
        <f>_xlfn.XLOOKUP(A140,'DB - Identities'!U:U,'DB - Identities'!Q:Q)</f>
        <v>#N/A</v>
      </c>
      <c r="K140" t="e">
        <f>_xlfn.XLOOKUP(D140,Static!J:J,Static!K:K)</f>
        <v>#N/A</v>
      </c>
      <c r="L140" t="e">
        <f>IF(I140="Bank",_xlfn.XLOOKUP(J140,'Pricing Sheet'!A:A,'Pricing Sheet'!B:B,'Pricing Sheet'!$B$6),IF(I140="Corporate",_xlfn.XLOOKUP(J140,'Pricing Sheet'!F:F,'Pricing Sheet'!G:G,'Pricing Sheet'!$G$6),0))</f>
        <v>#N/A</v>
      </c>
      <c r="M140" t="str">
        <f t="shared" si="6"/>
        <v>OK</v>
      </c>
      <c r="N140" t="str">
        <f t="shared" si="7"/>
        <v>OK</v>
      </c>
    </row>
    <row r="141" spans="1:14">
      <c r="A141">
        <f>'Input 2 - Transactions'!A143</f>
        <v>0</v>
      </c>
      <c r="B141">
        <f>'Input 2 - Transactions'!B143</f>
        <v>0</v>
      </c>
      <c r="C141">
        <f>'Input 2 - Transactions'!C143</f>
        <v>0</v>
      </c>
      <c r="D141">
        <f>'Input 2 - Transactions'!D143</f>
        <v>0</v>
      </c>
      <c r="E141">
        <f>'Input 2 - Transactions'!E143</f>
        <v>0</v>
      </c>
      <c r="F141" s="29">
        <f>'Input 2 - Transactions'!F143</f>
        <v>0</v>
      </c>
      <c r="G141" s="29">
        <f>'Input 2 - Transactions'!G143</f>
        <v>0</v>
      </c>
      <c r="H141" t="e">
        <f>_xlfn.XLOOKUP(A141,'DB - Identities'!U:U,'DB - Identities'!B:B)</f>
        <v>#N/A</v>
      </c>
      <c r="I141" t="e">
        <f>_xlfn.XLOOKUP(H141,c_parties,'DB - Contracting Parties'!C:C)</f>
        <v>#N/A</v>
      </c>
      <c r="J141" t="e">
        <f>_xlfn.XLOOKUP(A141,'DB - Identities'!U:U,'DB - Identities'!Q:Q)</f>
        <v>#N/A</v>
      </c>
      <c r="K141" t="e">
        <f>_xlfn.XLOOKUP(D141,Static!J:J,Static!K:K)</f>
        <v>#N/A</v>
      </c>
      <c r="L141" t="e">
        <f>IF(I141="Bank",_xlfn.XLOOKUP(J141,'Pricing Sheet'!A:A,'Pricing Sheet'!B:B,'Pricing Sheet'!$B$6),IF(I141="Corporate",_xlfn.XLOOKUP(J141,'Pricing Sheet'!F:F,'Pricing Sheet'!G:G,'Pricing Sheet'!$G$6),0))</f>
        <v>#N/A</v>
      </c>
      <c r="M141" t="str">
        <f t="shared" si="6"/>
        <v>OK</v>
      </c>
      <c r="N141" t="str">
        <f t="shared" si="7"/>
        <v>OK</v>
      </c>
    </row>
    <row r="142" spans="1:14">
      <c r="A142">
        <f>'Input 2 - Transactions'!A144</f>
        <v>0</v>
      </c>
      <c r="B142">
        <f>'Input 2 - Transactions'!B144</f>
        <v>0</v>
      </c>
      <c r="C142">
        <f>'Input 2 - Transactions'!C144</f>
        <v>0</v>
      </c>
      <c r="D142">
        <f>'Input 2 - Transactions'!D144</f>
        <v>0</v>
      </c>
      <c r="E142">
        <f>'Input 2 - Transactions'!E144</f>
        <v>0</v>
      </c>
      <c r="F142" s="29">
        <f>'Input 2 - Transactions'!F144</f>
        <v>0</v>
      </c>
      <c r="G142" s="29">
        <f>'Input 2 - Transactions'!G144</f>
        <v>0</v>
      </c>
      <c r="H142" t="e">
        <f>_xlfn.XLOOKUP(A142,'DB - Identities'!U:U,'DB - Identities'!B:B)</f>
        <v>#N/A</v>
      </c>
      <c r="I142" t="e">
        <f>_xlfn.XLOOKUP(H142,c_parties,'DB - Contracting Parties'!C:C)</f>
        <v>#N/A</v>
      </c>
      <c r="J142" t="e">
        <f>_xlfn.XLOOKUP(A142,'DB - Identities'!U:U,'DB - Identities'!Q:Q)</f>
        <v>#N/A</v>
      </c>
      <c r="K142" t="e">
        <f>_xlfn.XLOOKUP(D142,Static!J:J,Static!K:K)</f>
        <v>#N/A</v>
      </c>
      <c r="L142" t="e">
        <f>IF(I142="Bank",_xlfn.XLOOKUP(J142,'Pricing Sheet'!A:A,'Pricing Sheet'!B:B,'Pricing Sheet'!$B$6),IF(I142="Corporate",_xlfn.XLOOKUP(J142,'Pricing Sheet'!F:F,'Pricing Sheet'!G:G,'Pricing Sheet'!$G$6),0))</f>
        <v>#N/A</v>
      </c>
      <c r="M142" t="str">
        <f t="shared" si="6"/>
        <v>OK</v>
      </c>
      <c r="N142" t="str">
        <f t="shared" si="7"/>
        <v>OK</v>
      </c>
    </row>
    <row r="143" spans="1:14">
      <c r="A143">
        <f>'Input 2 - Transactions'!A145</f>
        <v>0</v>
      </c>
      <c r="B143">
        <f>'Input 2 - Transactions'!B145</f>
        <v>0</v>
      </c>
      <c r="C143">
        <f>'Input 2 - Transactions'!C145</f>
        <v>0</v>
      </c>
      <c r="D143">
        <f>'Input 2 - Transactions'!D145</f>
        <v>0</v>
      </c>
      <c r="E143">
        <f>'Input 2 - Transactions'!E145</f>
        <v>0</v>
      </c>
      <c r="F143" s="29">
        <f>'Input 2 - Transactions'!F145</f>
        <v>0</v>
      </c>
      <c r="G143" s="29">
        <f>'Input 2 - Transactions'!G145</f>
        <v>0</v>
      </c>
      <c r="H143" t="e">
        <f>_xlfn.XLOOKUP(A143,'DB - Identities'!U:U,'DB - Identities'!B:B)</f>
        <v>#N/A</v>
      </c>
      <c r="I143" t="e">
        <f>_xlfn.XLOOKUP(H143,c_parties,'DB - Contracting Parties'!C:C)</f>
        <v>#N/A</v>
      </c>
      <c r="J143" t="e">
        <f>_xlfn.XLOOKUP(A143,'DB - Identities'!U:U,'DB - Identities'!Q:Q)</f>
        <v>#N/A</v>
      </c>
      <c r="K143" t="e">
        <f>_xlfn.XLOOKUP(D143,Static!J:J,Static!K:K)</f>
        <v>#N/A</v>
      </c>
      <c r="L143" t="e">
        <f>IF(I143="Bank",_xlfn.XLOOKUP(J143,'Pricing Sheet'!A:A,'Pricing Sheet'!B:B,'Pricing Sheet'!$B$6),IF(I143="Corporate",_xlfn.XLOOKUP(J143,'Pricing Sheet'!F:F,'Pricing Sheet'!G:G,'Pricing Sheet'!$G$6),0))</f>
        <v>#N/A</v>
      </c>
      <c r="M143" t="str">
        <f t="shared" si="6"/>
        <v>OK</v>
      </c>
      <c r="N143" t="str">
        <f t="shared" si="7"/>
        <v>OK</v>
      </c>
    </row>
    <row r="144" spans="1:14">
      <c r="A144">
        <f>'Input 2 - Transactions'!A146</f>
        <v>0</v>
      </c>
      <c r="B144">
        <f>'Input 2 - Transactions'!B146</f>
        <v>0</v>
      </c>
      <c r="C144">
        <f>'Input 2 - Transactions'!C146</f>
        <v>0</v>
      </c>
      <c r="D144">
        <f>'Input 2 - Transactions'!D146</f>
        <v>0</v>
      </c>
      <c r="E144">
        <f>'Input 2 - Transactions'!E146</f>
        <v>0</v>
      </c>
      <c r="F144" s="29">
        <f>'Input 2 - Transactions'!F146</f>
        <v>0</v>
      </c>
      <c r="G144" s="29">
        <f>'Input 2 - Transactions'!G146</f>
        <v>0</v>
      </c>
      <c r="H144" t="e">
        <f>_xlfn.XLOOKUP(A144,'DB - Identities'!U:U,'DB - Identities'!B:B)</f>
        <v>#N/A</v>
      </c>
      <c r="I144" t="e">
        <f>_xlfn.XLOOKUP(H144,c_parties,'DB - Contracting Parties'!C:C)</f>
        <v>#N/A</v>
      </c>
      <c r="J144" t="e">
        <f>_xlfn.XLOOKUP(A144,'DB - Identities'!U:U,'DB - Identities'!Q:Q)</f>
        <v>#N/A</v>
      </c>
      <c r="K144" t="e">
        <f>_xlfn.XLOOKUP(D144,Static!J:J,Static!K:K)</f>
        <v>#N/A</v>
      </c>
      <c r="L144" t="e">
        <f>IF(I144="Bank",_xlfn.XLOOKUP(J144,'Pricing Sheet'!A:A,'Pricing Sheet'!B:B,'Pricing Sheet'!$B$6),IF(I144="Corporate",_xlfn.XLOOKUP(J144,'Pricing Sheet'!F:F,'Pricing Sheet'!G:G,'Pricing Sheet'!$G$6),0))</f>
        <v>#N/A</v>
      </c>
      <c r="M144" t="str">
        <f t="shared" si="6"/>
        <v>OK</v>
      </c>
      <c r="N144" t="str">
        <f t="shared" si="7"/>
        <v>OK</v>
      </c>
    </row>
    <row r="145" spans="1:14">
      <c r="A145">
        <f>'Input 2 - Transactions'!A147</f>
        <v>0</v>
      </c>
      <c r="B145">
        <f>'Input 2 - Transactions'!B147</f>
        <v>0</v>
      </c>
      <c r="C145">
        <f>'Input 2 - Transactions'!C147</f>
        <v>0</v>
      </c>
      <c r="D145">
        <f>'Input 2 - Transactions'!D147</f>
        <v>0</v>
      </c>
      <c r="E145">
        <f>'Input 2 - Transactions'!E147</f>
        <v>0</v>
      </c>
      <c r="F145" s="29">
        <f>'Input 2 - Transactions'!F147</f>
        <v>0</v>
      </c>
      <c r="G145" s="29">
        <f>'Input 2 - Transactions'!G147</f>
        <v>0</v>
      </c>
      <c r="H145" t="e">
        <f>_xlfn.XLOOKUP(A145,'DB - Identities'!U:U,'DB - Identities'!B:B)</f>
        <v>#N/A</v>
      </c>
      <c r="I145" t="e">
        <f>_xlfn.XLOOKUP(H145,c_parties,'DB - Contracting Parties'!C:C)</f>
        <v>#N/A</v>
      </c>
      <c r="J145" t="e">
        <f>_xlfn.XLOOKUP(A145,'DB - Identities'!U:U,'DB - Identities'!Q:Q)</f>
        <v>#N/A</v>
      </c>
      <c r="K145" t="e">
        <f>_xlfn.XLOOKUP(D145,Static!J:J,Static!K:K)</f>
        <v>#N/A</v>
      </c>
      <c r="L145" t="e">
        <f>IF(I145="Bank",_xlfn.XLOOKUP(J145,'Pricing Sheet'!A:A,'Pricing Sheet'!B:B,'Pricing Sheet'!$B$6),IF(I145="Corporate",_xlfn.XLOOKUP(J145,'Pricing Sheet'!F:F,'Pricing Sheet'!G:G,'Pricing Sheet'!$G$6),0))</f>
        <v>#N/A</v>
      </c>
      <c r="M145" t="str">
        <f t="shared" si="6"/>
        <v>OK</v>
      </c>
      <c r="N145" t="str">
        <f t="shared" si="7"/>
        <v>OK</v>
      </c>
    </row>
    <row r="146" spans="1:14">
      <c r="A146">
        <f>'Input 2 - Transactions'!A148</f>
        <v>0</v>
      </c>
      <c r="B146">
        <f>'Input 2 - Transactions'!B148</f>
        <v>0</v>
      </c>
      <c r="C146">
        <f>'Input 2 - Transactions'!C148</f>
        <v>0</v>
      </c>
      <c r="D146">
        <f>'Input 2 - Transactions'!D148</f>
        <v>0</v>
      </c>
      <c r="E146">
        <f>'Input 2 - Transactions'!E148</f>
        <v>0</v>
      </c>
      <c r="F146" s="29">
        <f>'Input 2 - Transactions'!F148</f>
        <v>0</v>
      </c>
      <c r="G146" s="29">
        <f>'Input 2 - Transactions'!G148</f>
        <v>0</v>
      </c>
      <c r="H146" t="e">
        <f>_xlfn.XLOOKUP(A146,'DB - Identities'!U:U,'DB - Identities'!B:B)</f>
        <v>#N/A</v>
      </c>
      <c r="I146" t="e">
        <f>_xlfn.XLOOKUP(H146,c_parties,'DB - Contracting Parties'!C:C)</f>
        <v>#N/A</v>
      </c>
      <c r="J146" t="e">
        <f>_xlfn.XLOOKUP(A146,'DB - Identities'!U:U,'DB - Identities'!Q:Q)</f>
        <v>#N/A</v>
      </c>
      <c r="K146" t="e">
        <f>_xlfn.XLOOKUP(D146,Static!J:J,Static!K:K)</f>
        <v>#N/A</v>
      </c>
      <c r="L146" t="e">
        <f>IF(I146="Bank",_xlfn.XLOOKUP(J146,'Pricing Sheet'!A:A,'Pricing Sheet'!B:B,'Pricing Sheet'!$B$6),IF(I146="Corporate",_xlfn.XLOOKUP(J146,'Pricing Sheet'!F:F,'Pricing Sheet'!G:G,'Pricing Sheet'!$G$6),0))</f>
        <v>#N/A</v>
      </c>
      <c r="M146" t="str">
        <f t="shared" si="6"/>
        <v>OK</v>
      </c>
      <c r="N146" t="str">
        <f t="shared" si="7"/>
        <v>OK</v>
      </c>
    </row>
    <row r="147" spans="1:14">
      <c r="A147">
        <f>'Input 2 - Transactions'!A149</f>
        <v>0</v>
      </c>
      <c r="B147">
        <f>'Input 2 - Transactions'!B149</f>
        <v>0</v>
      </c>
      <c r="C147">
        <f>'Input 2 - Transactions'!C149</f>
        <v>0</v>
      </c>
      <c r="D147">
        <f>'Input 2 - Transactions'!D149</f>
        <v>0</v>
      </c>
      <c r="E147">
        <f>'Input 2 - Transactions'!E149</f>
        <v>0</v>
      </c>
      <c r="F147" s="29">
        <f>'Input 2 - Transactions'!F149</f>
        <v>0</v>
      </c>
      <c r="G147" s="29">
        <f>'Input 2 - Transactions'!G149</f>
        <v>0</v>
      </c>
      <c r="H147" t="e">
        <f>_xlfn.XLOOKUP(A147,'DB - Identities'!U:U,'DB - Identities'!B:B)</f>
        <v>#N/A</v>
      </c>
      <c r="I147" t="e">
        <f>_xlfn.XLOOKUP(H147,c_parties,'DB - Contracting Parties'!C:C)</f>
        <v>#N/A</v>
      </c>
      <c r="J147" t="e">
        <f>_xlfn.XLOOKUP(A147,'DB - Identities'!U:U,'DB - Identities'!Q:Q)</f>
        <v>#N/A</v>
      </c>
      <c r="K147" t="e">
        <f>_xlfn.XLOOKUP(D147,Static!J:J,Static!K:K)</f>
        <v>#N/A</v>
      </c>
      <c r="L147" t="e">
        <f>IF(I147="Bank",_xlfn.XLOOKUP(J147,'Pricing Sheet'!A:A,'Pricing Sheet'!B:B,'Pricing Sheet'!$B$6),IF(I147="Corporate",_xlfn.XLOOKUP(J147,'Pricing Sheet'!F:F,'Pricing Sheet'!G:G,'Pricing Sheet'!$G$6),0))</f>
        <v>#N/A</v>
      </c>
      <c r="M147" t="str">
        <f t="shared" si="6"/>
        <v>OK</v>
      </c>
      <c r="N147" t="str">
        <f t="shared" si="7"/>
        <v>OK</v>
      </c>
    </row>
    <row r="148" spans="1:14">
      <c r="A148">
        <f>'Input 2 - Transactions'!A150</f>
        <v>0</v>
      </c>
      <c r="B148">
        <f>'Input 2 - Transactions'!B150</f>
        <v>0</v>
      </c>
      <c r="C148">
        <f>'Input 2 - Transactions'!C150</f>
        <v>0</v>
      </c>
      <c r="D148">
        <f>'Input 2 - Transactions'!D150</f>
        <v>0</v>
      </c>
      <c r="E148">
        <f>'Input 2 - Transactions'!E150</f>
        <v>0</v>
      </c>
      <c r="F148" s="29">
        <f>'Input 2 - Transactions'!F150</f>
        <v>0</v>
      </c>
      <c r="G148" s="29">
        <f>'Input 2 - Transactions'!G150</f>
        <v>0</v>
      </c>
      <c r="H148" t="e">
        <f>_xlfn.XLOOKUP(A148,'DB - Identities'!U:U,'DB - Identities'!B:B)</f>
        <v>#N/A</v>
      </c>
      <c r="I148" t="e">
        <f>_xlfn.XLOOKUP(H148,c_parties,'DB - Contracting Parties'!C:C)</f>
        <v>#N/A</v>
      </c>
      <c r="J148" t="e">
        <f>_xlfn.XLOOKUP(A148,'DB - Identities'!U:U,'DB - Identities'!Q:Q)</f>
        <v>#N/A</v>
      </c>
      <c r="K148" t="e">
        <f>_xlfn.XLOOKUP(D148,Static!J:J,Static!K:K)</f>
        <v>#N/A</v>
      </c>
      <c r="L148" t="e">
        <f>IF(I148="Bank",_xlfn.XLOOKUP(J148,'Pricing Sheet'!A:A,'Pricing Sheet'!B:B,'Pricing Sheet'!$B$6),IF(I148="Corporate",_xlfn.XLOOKUP(J148,'Pricing Sheet'!F:F,'Pricing Sheet'!G:G,'Pricing Sheet'!$G$6),0))</f>
        <v>#N/A</v>
      </c>
      <c r="M148" t="str">
        <f t="shared" si="6"/>
        <v>OK</v>
      </c>
      <c r="N148" t="str">
        <f t="shared" si="7"/>
        <v>OK</v>
      </c>
    </row>
    <row r="149" spans="1:14">
      <c r="A149">
        <f>'Input 2 - Transactions'!A151</f>
        <v>0</v>
      </c>
      <c r="B149">
        <f>'Input 2 - Transactions'!B151</f>
        <v>0</v>
      </c>
      <c r="C149">
        <f>'Input 2 - Transactions'!C151</f>
        <v>0</v>
      </c>
      <c r="D149">
        <f>'Input 2 - Transactions'!D151</f>
        <v>0</v>
      </c>
      <c r="E149">
        <f>'Input 2 - Transactions'!E151</f>
        <v>0</v>
      </c>
      <c r="F149" s="29">
        <f>'Input 2 - Transactions'!F151</f>
        <v>0</v>
      </c>
      <c r="G149" s="29">
        <f>'Input 2 - Transactions'!G151</f>
        <v>0</v>
      </c>
      <c r="H149" t="e">
        <f>_xlfn.XLOOKUP(A149,'DB - Identities'!U:U,'DB - Identities'!B:B)</f>
        <v>#N/A</v>
      </c>
      <c r="I149" t="e">
        <f>_xlfn.XLOOKUP(H149,c_parties,'DB - Contracting Parties'!C:C)</f>
        <v>#N/A</v>
      </c>
      <c r="J149" t="e">
        <f>_xlfn.XLOOKUP(A149,'DB - Identities'!U:U,'DB - Identities'!Q:Q)</f>
        <v>#N/A</v>
      </c>
      <c r="K149" t="e">
        <f>_xlfn.XLOOKUP(D149,Static!J:J,Static!K:K)</f>
        <v>#N/A</v>
      </c>
      <c r="L149" t="e">
        <f>IF(I149="Bank",_xlfn.XLOOKUP(J149,'Pricing Sheet'!A:A,'Pricing Sheet'!B:B,'Pricing Sheet'!$B$6),IF(I149="Corporate",_xlfn.XLOOKUP(J149,'Pricing Sheet'!F:F,'Pricing Sheet'!G:G,'Pricing Sheet'!$G$6),0))</f>
        <v>#N/A</v>
      </c>
      <c r="M149" t="str">
        <f t="shared" si="6"/>
        <v>OK</v>
      </c>
      <c r="N149" t="str">
        <f t="shared" si="7"/>
        <v>OK</v>
      </c>
    </row>
    <row r="150" spans="1:14">
      <c r="A150">
        <f>'Input 2 - Transactions'!A152</f>
        <v>0</v>
      </c>
      <c r="B150">
        <f>'Input 2 - Transactions'!B152</f>
        <v>0</v>
      </c>
      <c r="C150">
        <f>'Input 2 - Transactions'!C152</f>
        <v>0</v>
      </c>
      <c r="D150">
        <f>'Input 2 - Transactions'!D152</f>
        <v>0</v>
      </c>
      <c r="E150">
        <f>'Input 2 - Transactions'!E152</f>
        <v>0</v>
      </c>
      <c r="F150" s="29">
        <f>'Input 2 - Transactions'!F152</f>
        <v>0</v>
      </c>
      <c r="G150" s="29">
        <f>'Input 2 - Transactions'!G152</f>
        <v>0</v>
      </c>
      <c r="H150" t="e">
        <f>_xlfn.XLOOKUP(A150,'DB - Identities'!U:U,'DB - Identities'!B:B)</f>
        <v>#N/A</v>
      </c>
      <c r="I150" t="e">
        <f>_xlfn.XLOOKUP(H150,c_parties,'DB - Contracting Parties'!C:C)</f>
        <v>#N/A</v>
      </c>
      <c r="J150" t="e">
        <f>_xlfn.XLOOKUP(A150,'DB - Identities'!U:U,'DB - Identities'!Q:Q)</f>
        <v>#N/A</v>
      </c>
      <c r="K150" t="e">
        <f>_xlfn.XLOOKUP(D150,Static!J:J,Static!K:K)</f>
        <v>#N/A</v>
      </c>
      <c r="L150" t="e">
        <f>IF(I150="Bank",_xlfn.XLOOKUP(J150,'Pricing Sheet'!A:A,'Pricing Sheet'!B:B,'Pricing Sheet'!$B$6),IF(I150="Corporate",_xlfn.XLOOKUP(J150,'Pricing Sheet'!F:F,'Pricing Sheet'!G:G,'Pricing Sheet'!$G$6),0))</f>
        <v>#N/A</v>
      </c>
      <c r="M150" t="str">
        <f t="shared" si="6"/>
        <v>OK</v>
      </c>
      <c r="N150" t="str">
        <f t="shared" si="7"/>
        <v>OK</v>
      </c>
    </row>
    <row r="151" spans="1:14">
      <c r="A151">
        <f>'Input 2 - Transactions'!A153</f>
        <v>0</v>
      </c>
      <c r="B151">
        <f>'Input 2 - Transactions'!B153</f>
        <v>0</v>
      </c>
      <c r="C151">
        <f>'Input 2 - Transactions'!C153</f>
        <v>0</v>
      </c>
      <c r="D151">
        <f>'Input 2 - Transactions'!D153</f>
        <v>0</v>
      </c>
      <c r="E151">
        <f>'Input 2 - Transactions'!E153</f>
        <v>0</v>
      </c>
      <c r="F151" s="29">
        <f>'Input 2 - Transactions'!F153</f>
        <v>0</v>
      </c>
      <c r="G151" s="29">
        <f>'Input 2 - Transactions'!G153</f>
        <v>0</v>
      </c>
      <c r="H151" t="e">
        <f>_xlfn.XLOOKUP(A151,'DB - Identities'!U:U,'DB - Identities'!B:B)</f>
        <v>#N/A</v>
      </c>
      <c r="I151" t="e">
        <f>_xlfn.XLOOKUP(H151,c_parties,'DB - Contracting Parties'!C:C)</f>
        <v>#N/A</v>
      </c>
      <c r="J151" t="e">
        <f>_xlfn.XLOOKUP(A151,'DB - Identities'!U:U,'DB - Identities'!Q:Q)</f>
        <v>#N/A</v>
      </c>
      <c r="K151" t="e">
        <f>_xlfn.XLOOKUP(D151,Static!J:J,Static!K:K)</f>
        <v>#N/A</v>
      </c>
      <c r="L151" t="e">
        <f>IF(I151="Bank",_xlfn.XLOOKUP(J151,'Pricing Sheet'!A:A,'Pricing Sheet'!B:B,'Pricing Sheet'!$B$6),IF(I151="Corporate",_xlfn.XLOOKUP(J151,'Pricing Sheet'!F:F,'Pricing Sheet'!G:G,'Pricing Sheet'!$G$6),0))</f>
        <v>#N/A</v>
      </c>
      <c r="M151" t="str">
        <f t="shared" si="6"/>
        <v>OK</v>
      </c>
      <c r="N151" t="str">
        <f t="shared" si="7"/>
        <v>OK</v>
      </c>
    </row>
    <row r="152" spans="1:14">
      <c r="A152">
        <f>'Input 2 - Transactions'!A154</f>
        <v>0</v>
      </c>
      <c r="B152">
        <f>'Input 2 - Transactions'!B154</f>
        <v>0</v>
      </c>
      <c r="C152">
        <f>'Input 2 - Transactions'!C154</f>
        <v>0</v>
      </c>
      <c r="D152">
        <f>'Input 2 - Transactions'!D154</f>
        <v>0</v>
      </c>
      <c r="E152">
        <f>'Input 2 - Transactions'!E154</f>
        <v>0</v>
      </c>
      <c r="F152" s="29">
        <f>'Input 2 - Transactions'!F154</f>
        <v>0</v>
      </c>
      <c r="G152" s="29">
        <f>'Input 2 - Transactions'!G154</f>
        <v>0</v>
      </c>
      <c r="H152" t="e">
        <f>_xlfn.XLOOKUP(A152,'DB - Identities'!U:U,'DB - Identities'!B:B)</f>
        <v>#N/A</v>
      </c>
      <c r="I152" t="e">
        <f>_xlfn.XLOOKUP(H152,c_parties,'DB - Contracting Parties'!C:C)</f>
        <v>#N/A</v>
      </c>
      <c r="J152" t="e">
        <f>_xlfn.XLOOKUP(A152,'DB - Identities'!U:U,'DB - Identities'!Q:Q)</f>
        <v>#N/A</v>
      </c>
      <c r="K152" t="e">
        <f>_xlfn.XLOOKUP(D152,Static!J:J,Static!K:K)</f>
        <v>#N/A</v>
      </c>
      <c r="L152" t="e">
        <f>IF(I152="Bank",_xlfn.XLOOKUP(J152,'Pricing Sheet'!A:A,'Pricing Sheet'!B:B,'Pricing Sheet'!$B$6),IF(I152="Corporate",_xlfn.XLOOKUP(J152,'Pricing Sheet'!F:F,'Pricing Sheet'!G:G,'Pricing Sheet'!$G$6),0))</f>
        <v>#N/A</v>
      </c>
      <c r="M152" t="str">
        <f t="shared" si="6"/>
        <v>OK</v>
      </c>
      <c r="N152" t="str">
        <f t="shared" si="7"/>
        <v>OK</v>
      </c>
    </row>
    <row r="153" spans="1:14">
      <c r="A153">
        <f>'Input 2 - Transactions'!A155</f>
        <v>0</v>
      </c>
      <c r="B153">
        <f>'Input 2 - Transactions'!B155</f>
        <v>0</v>
      </c>
      <c r="C153">
        <f>'Input 2 - Transactions'!C155</f>
        <v>0</v>
      </c>
      <c r="D153">
        <f>'Input 2 - Transactions'!D155</f>
        <v>0</v>
      </c>
      <c r="E153">
        <f>'Input 2 - Transactions'!E155</f>
        <v>0</v>
      </c>
      <c r="F153" s="29">
        <f>'Input 2 - Transactions'!F155</f>
        <v>0</v>
      </c>
      <c r="G153" s="29">
        <f>'Input 2 - Transactions'!G155</f>
        <v>0</v>
      </c>
      <c r="H153" t="e">
        <f>_xlfn.XLOOKUP(A153,'DB - Identities'!U:U,'DB - Identities'!B:B)</f>
        <v>#N/A</v>
      </c>
      <c r="I153" t="e">
        <f>_xlfn.XLOOKUP(H153,c_parties,'DB - Contracting Parties'!C:C)</f>
        <v>#N/A</v>
      </c>
      <c r="J153" t="e">
        <f>_xlfn.XLOOKUP(A153,'DB - Identities'!U:U,'DB - Identities'!Q:Q)</f>
        <v>#N/A</v>
      </c>
      <c r="K153" t="e">
        <f>_xlfn.XLOOKUP(D153,Static!J:J,Static!K:K)</f>
        <v>#N/A</v>
      </c>
      <c r="L153" t="e">
        <f>IF(I153="Bank",_xlfn.XLOOKUP(J153,'Pricing Sheet'!A:A,'Pricing Sheet'!B:B,'Pricing Sheet'!$B$6),IF(I153="Corporate",_xlfn.XLOOKUP(J153,'Pricing Sheet'!F:F,'Pricing Sheet'!G:G,'Pricing Sheet'!$G$6),0))</f>
        <v>#N/A</v>
      </c>
      <c r="M153" t="str">
        <f t="shared" si="6"/>
        <v>OK</v>
      </c>
      <c r="N153" t="str">
        <f t="shared" si="7"/>
        <v>OK</v>
      </c>
    </row>
    <row r="154" spans="1:14">
      <c r="A154">
        <f>'Input 2 - Transactions'!A156</f>
        <v>0</v>
      </c>
      <c r="B154">
        <f>'Input 2 - Transactions'!B156</f>
        <v>0</v>
      </c>
      <c r="C154">
        <f>'Input 2 - Transactions'!C156</f>
        <v>0</v>
      </c>
      <c r="D154">
        <f>'Input 2 - Transactions'!D156</f>
        <v>0</v>
      </c>
      <c r="E154">
        <f>'Input 2 - Transactions'!E156</f>
        <v>0</v>
      </c>
      <c r="F154" s="29">
        <f>'Input 2 - Transactions'!F156</f>
        <v>0</v>
      </c>
      <c r="G154" s="29">
        <f>'Input 2 - Transactions'!G156</f>
        <v>0</v>
      </c>
      <c r="H154" t="e">
        <f>_xlfn.XLOOKUP(A154,'DB - Identities'!U:U,'DB - Identities'!B:B)</f>
        <v>#N/A</v>
      </c>
      <c r="I154" t="e">
        <f>_xlfn.XLOOKUP(H154,c_parties,'DB - Contracting Parties'!C:C)</f>
        <v>#N/A</v>
      </c>
      <c r="J154" t="e">
        <f>_xlfn.XLOOKUP(A154,'DB - Identities'!U:U,'DB - Identities'!Q:Q)</f>
        <v>#N/A</v>
      </c>
      <c r="K154" t="e">
        <f>_xlfn.XLOOKUP(D154,Static!J:J,Static!K:K)</f>
        <v>#N/A</v>
      </c>
      <c r="L154" t="e">
        <f>IF(I154="Bank",_xlfn.XLOOKUP(J154,'Pricing Sheet'!A:A,'Pricing Sheet'!B:B,'Pricing Sheet'!$B$6),IF(I154="Corporate",_xlfn.XLOOKUP(J154,'Pricing Sheet'!F:F,'Pricing Sheet'!G:G,'Pricing Sheet'!$G$6),0))</f>
        <v>#N/A</v>
      </c>
      <c r="M154" t="str">
        <f t="shared" si="6"/>
        <v>OK</v>
      </c>
      <c r="N154" t="str">
        <f t="shared" si="7"/>
        <v>OK</v>
      </c>
    </row>
    <row r="155" spans="1:14">
      <c r="A155">
        <f>'Input 2 - Transactions'!A157</f>
        <v>0</v>
      </c>
      <c r="B155">
        <f>'Input 2 - Transactions'!B157</f>
        <v>0</v>
      </c>
      <c r="C155">
        <f>'Input 2 - Transactions'!C157</f>
        <v>0</v>
      </c>
      <c r="D155">
        <f>'Input 2 - Transactions'!D157</f>
        <v>0</v>
      </c>
      <c r="E155">
        <f>'Input 2 - Transactions'!E157</f>
        <v>0</v>
      </c>
      <c r="F155" s="29">
        <f>'Input 2 - Transactions'!F157</f>
        <v>0</v>
      </c>
      <c r="G155" s="29">
        <f>'Input 2 - Transactions'!G157</f>
        <v>0</v>
      </c>
      <c r="H155" t="e">
        <f>_xlfn.XLOOKUP(A155,'DB - Identities'!U:U,'DB - Identities'!B:B)</f>
        <v>#N/A</v>
      </c>
      <c r="I155" t="e">
        <f>_xlfn.XLOOKUP(H155,c_parties,'DB - Contracting Parties'!C:C)</f>
        <v>#N/A</v>
      </c>
      <c r="J155" t="e">
        <f>_xlfn.XLOOKUP(A155,'DB - Identities'!U:U,'DB - Identities'!Q:Q)</f>
        <v>#N/A</v>
      </c>
      <c r="K155" t="e">
        <f>_xlfn.XLOOKUP(D155,Static!J:J,Static!K:K)</f>
        <v>#N/A</v>
      </c>
      <c r="L155" t="e">
        <f>IF(I155="Bank",_xlfn.XLOOKUP(J155,'Pricing Sheet'!A:A,'Pricing Sheet'!B:B,'Pricing Sheet'!$B$6),IF(I155="Corporate",_xlfn.XLOOKUP(J155,'Pricing Sheet'!F:F,'Pricing Sheet'!G:G,'Pricing Sheet'!$G$6),0))</f>
        <v>#N/A</v>
      </c>
      <c r="M155" t="str">
        <f t="shared" si="6"/>
        <v>OK</v>
      </c>
      <c r="N155" t="str">
        <f t="shared" si="7"/>
        <v>OK</v>
      </c>
    </row>
    <row r="156" spans="1:14">
      <c r="A156">
        <f>'Input 2 - Transactions'!A158</f>
        <v>0</v>
      </c>
      <c r="B156">
        <f>'Input 2 - Transactions'!B158</f>
        <v>0</v>
      </c>
      <c r="C156">
        <f>'Input 2 - Transactions'!C158</f>
        <v>0</v>
      </c>
      <c r="D156">
        <f>'Input 2 - Transactions'!D158</f>
        <v>0</v>
      </c>
      <c r="E156">
        <f>'Input 2 - Transactions'!E158</f>
        <v>0</v>
      </c>
      <c r="F156" s="29">
        <f>'Input 2 - Transactions'!F158</f>
        <v>0</v>
      </c>
      <c r="G156" s="29">
        <f>'Input 2 - Transactions'!G158</f>
        <v>0</v>
      </c>
      <c r="H156" t="e">
        <f>_xlfn.XLOOKUP(A156,'DB - Identities'!U:U,'DB - Identities'!B:B)</f>
        <v>#N/A</v>
      </c>
      <c r="I156" t="e">
        <f>_xlfn.XLOOKUP(H156,c_parties,'DB - Contracting Parties'!C:C)</f>
        <v>#N/A</v>
      </c>
      <c r="J156" t="e">
        <f>_xlfn.XLOOKUP(A156,'DB - Identities'!U:U,'DB - Identities'!Q:Q)</f>
        <v>#N/A</v>
      </c>
      <c r="K156" t="e">
        <f>_xlfn.XLOOKUP(D156,Static!J:J,Static!K:K)</f>
        <v>#N/A</v>
      </c>
      <c r="L156" t="e">
        <f>IF(I156="Bank",_xlfn.XLOOKUP(J156,'Pricing Sheet'!A:A,'Pricing Sheet'!B:B,'Pricing Sheet'!$B$6),IF(I156="Corporate",_xlfn.XLOOKUP(J156,'Pricing Sheet'!F:F,'Pricing Sheet'!G:G,'Pricing Sheet'!$G$6),0))</f>
        <v>#N/A</v>
      </c>
      <c r="M156" t="str">
        <f t="shared" si="6"/>
        <v>OK</v>
      </c>
      <c r="N156" t="str">
        <f t="shared" si="7"/>
        <v>OK</v>
      </c>
    </row>
    <row r="157" spans="1:14">
      <c r="A157">
        <f>'Input 2 - Transactions'!A159</f>
        <v>0</v>
      </c>
      <c r="B157">
        <f>'Input 2 - Transactions'!B159</f>
        <v>0</v>
      </c>
      <c r="C157">
        <f>'Input 2 - Transactions'!C159</f>
        <v>0</v>
      </c>
      <c r="D157">
        <f>'Input 2 - Transactions'!D159</f>
        <v>0</v>
      </c>
      <c r="E157">
        <f>'Input 2 - Transactions'!E159</f>
        <v>0</v>
      </c>
      <c r="F157" s="29">
        <f>'Input 2 - Transactions'!F159</f>
        <v>0</v>
      </c>
      <c r="G157" s="29">
        <f>'Input 2 - Transactions'!G159</f>
        <v>0</v>
      </c>
      <c r="H157" t="e">
        <f>_xlfn.XLOOKUP(A157,'DB - Identities'!U:U,'DB - Identities'!B:B)</f>
        <v>#N/A</v>
      </c>
      <c r="I157" t="e">
        <f>_xlfn.XLOOKUP(H157,c_parties,'DB - Contracting Parties'!C:C)</f>
        <v>#N/A</v>
      </c>
      <c r="J157" t="e">
        <f>_xlfn.XLOOKUP(A157,'DB - Identities'!U:U,'DB - Identities'!Q:Q)</f>
        <v>#N/A</v>
      </c>
      <c r="K157" t="e">
        <f>_xlfn.XLOOKUP(D157,Static!J:J,Static!K:K)</f>
        <v>#N/A</v>
      </c>
      <c r="L157" t="e">
        <f>IF(I157="Bank",_xlfn.XLOOKUP(J157,'Pricing Sheet'!A:A,'Pricing Sheet'!B:B,'Pricing Sheet'!$B$6),IF(I157="Corporate",_xlfn.XLOOKUP(J157,'Pricing Sheet'!F:F,'Pricing Sheet'!G:G,'Pricing Sheet'!$G$6),0))</f>
        <v>#N/A</v>
      </c>
      <c r="M157" t="str">
        <f t="shared" si="6"/>
        <v>OK</v>
      </c>
      <c r="N157" t="str">
        <f t="shared" si="7"/>
        <v>OK</v>
      </c>
    </row>
    <row r="158" spans="1:14">
      <c r="A158">
        <f>'Input 2 - Transactions'!A160</f>
        <v>0</v>
      </c>
      <c r="B158">
        <f>'Input 2 - Transactions'!B160</f>
        <v>0</v>
      </c>
      <c r="C158">
        <f>'Input 2 - Transactions'!C160</f>
        <v>0</v>
      </c>
      <c r="D158">
        <f>'Input 2 - Transactions'!D160</f>
        <v>0</v>
      </c>
      <c r="E158">
        <f>'Input 2 - Transactions'!E160</f>
        <v>0</v>
      </c>
      <c r="F158" s="29">
        <f>'Input 2 - Transactions'!F160</f>
        <v>0</v>
      </c>
      <c r="G158" s="29">
        <f>'Input 2 - Transactions'!G160</f>
        <v>0</v>
      </c>
      <c r="H158" t="e">
        <f>_xlfn.XLOOKUP(A158,'DB - Identities'!U:U,'DB - Identities'!B:B)</f>
        <v>#N/A</v>
      </c>
      <c r="I158" t="e">
        <f>_xlfn.XLOOKUP(H158,c_parties,'DB - Contracting Parties'!C:C)</f>
        <v>#N/A</v>
      </c>
      <c r="J158" t="e">
        <f>_xlfn.XLOOKUP(A158,'DB - Identities'!U:U,'DB - Identities'!Q:Q)</f>
        <v>#N/A</v>
      </c>
      <c r="K158" t="e">
        <f>_xlfn.XLOOKUP(D158,Static!J:J,Static!K:K)</f>
        <v>#N/A</v>
      </c>
      <c r="L158" t="e">
        <f>IF(I158="Bank",_xlfn.XLOOKUP(J158,'Pricing Sheet'!A:A,'Pricing Sheet'!B:B,'Pricing Sheet'!$B$6),IF(I158="Corporate",_xlfn.XLOOKUP(J158,'Pricing Sheet'!F:F,'Pricing Sheet'!G:G,'Pricing Sheet'!$G$6),0))</f>
        <v>#N/A</v>
      </c>
      <c r="M158" t="str">
        <f t="shared" si="6"/>
        <v>OK</v>
      </c>
      <c r="N158" t="str">
        <f t="shared" si="7"/>
        <v>OK</v>
      </c>
    </row>
    <row r="159" spans="1:14">
      <c r="A159">
        <f>'Input 2 - Transactions'!A161</f>
        <v>0</v>
      </c>
      <c r="B159">
        <f>'Input 2 - Transactions'!B161</f>
        <v>0</v>
      </c>
      <c r="C159">
        <f>'Input 2 - Transactions'!C161</f>
        <v>0</v>
      </c>
      <c r="D159">
        <f>'Input 2 - Transactions'!D161</f>
        <v>0</v>
      </c>
      <c r="E159">
        <f>'Input 2 - Transactions'!E161</f>
        <v>0</v>
      </c>
      <c r="F159" s="29">
        <f>'Input 2 - Transactions'!F161</f>
        <v>0</v>
      </c>
      <c r="G159" s="29">
        <f>'Input 2 - Transactions'!G161</f>
        <v>0</v>
      </c>
      <c r="H159" t="e">
        <f>_xlfn.XLOOKUP(A159,'DB - Identities'!U:U,'DB - Identities'!B:B)</f>
        <v>#N/A</v>
      </c>
      <c r="I159" t="e">
        <f>_xlfn.XLOOKUP(H159,c_parties,'DB - Contracting Parties'!C:C)</f>
        <v>#N/A</v>
      </c>
      <c r="J159" t="e">
        <f>_xlfn.XLOOKUP(A159,'DB - Identities'!U:U,'DB - Identities'!Q:Q)</f>
        <v>#N/A</v>
      </c>
      <c r="K159" t="e">
        <f>_xlfn.XLOOKUP(D159,Static!J:J,Static!K:K)</f>
        <v>#N/A</v>
      </c>
      <c r="L159" t="e">
        <f>IF(I159="Bank",_xlfn.XLOOKUP(J159,'Pricing Sheet'!A:A,'Pricing Sheet'!B:B,'Pricing Sheet'!$B$6),IF(I159="Corporate",_xlfn.XLOOKUP(J159,'Pricing Sheet'!F:F,'Pricing Sheet'!G:G,'Pricing Sheet'!$G$6),0))</f>
        <v>#N/A</v>
      </c>
      <c r="M159" t="str">
        <f t="shared" si="6"/>
        <v>OK</v>
      </c>
      <c r="N159" t="str">
        <f t="shared" si="7"/>
        <v>OK</v>
      </c>
    </row>
    <row r="160" spans="1:14">
      <c r="A160">
        <f>'Input 2 - Transactions'!A162</f>
        <v>0</v>
      </c>
      <c r="B160">
        <f>'Input 2 - Transactions'!B162</f>
        <v>0</v>
      </c>
      <c r="C160">
        <f>'Input 2 - Transactions'!C162</f>
        <v>0</v>
      </c>
      <c r="D160">
        <f>'Input 2 - Transactions'!D162</f>
        <v>0</v>
      </c>
      <c r="E160">
        <f>'Input 2 - Transactions'!E162</f>
        <v>0</v>
      </c>
      <c r="F160" s="29">
        <f>'Input 2 - Transactions'!F162</f>
        <v>0</v>
      </c>
      <c r="G160" s="29">
        <f>'Input 2 - Transactions'!G162</f>
        <v>0</v>
      </c>
      <c r="H160" t="e">
        <f>_xlfn.XLOOKUP(A160,'DB - Identities'!U:U,'DB - Identities'!B:B)</f>
        <v>#N/A</v>
      </c>
      <c r="I160" t="e">
        <f>_xlfn.XLOOKUP(H160,c_parties,'DB - Contracting Parties'!C:C)</f>
        <v>#N/A</v>
      </c>
      <c r="J160" t="e">
        <f>_xlfn.XLOOKUP(A160,'DB - Identities'!U:U,'DB - Identities'!Q:Q)</f>
        <v>#N/A</v>
      </c>
      <c r="K160" t="e">
        <f>_xlfn.XLOOKUP(D160,Static!J:J,Static!K:K)</f>
        <v>#N/A</v>
      </c>
      <c r="L160" t="e">
        <f>IF(I160="Bank",_xlfn.XLOOKUP(J160,'Pricing Sheet'!A:A,'Pricing Sheet'!B:B,'Pricing Sheet'!$B$6),IF(I160="Corporate",_xlfn.XLOOKUP(J160,'Pricing Sheet'!F:F,'Pricing Sheet'!G:G,'Pricing Sheet'!$G$6),0))</f>
        <v>#N/A</v>
      </c>
      <c r="M160" t="str">
        <f t="shared" si="6"/>
        <v>OK</v>
      </c>
      <c r="N160" t="str">
        <f t="shared" si="7"/>
        <v>OK</v>
      </c>
    </row>
    <row r="161" spans="1:14">
      <c r="A161">
        <f>'Input 2 - Transactions'!A163</f>
        <v>0</v>
      </c>
      <c r="B161">
        <f>'Input 2 - Transactions'!B163</f>
        <v>0</v>
      </c>
      <c r="C161">
        <f>'Input 2 - Transactions'!C163</f>
        <v>0</v>
      </c>
      <c r="D161">
        <f>'Input 2 - Transactions'!D163</f>
        <v>0</v>
      </c>
      <c r="E161">
        <f>'Input 2 - Transactions'!E163</f>
        <v>0</v>
      </c>
      <c r="F161" s="29">
        <f>'Input 2 - Transactions'!F163</f>
        <v>0</v>
      </c>
      <c r="G161" s="29">
        <f>'Input 2 - Transactions'!G163</f>
        <v>0</v>
      </c>
      <c r="H161" t="e">
        <f>_xlfn.XLOOKUP(A161,'DB - Identities'!U:U,'DB - Identities'!B:B)</f>
        <v>#N/A</v>
      </c>
      <c r="I161" t="e">
        <f>_xlfn.XLOOKUP(H161,c_parties,'DB - Contracting Parties'!C:C)</f>
        <v>#N/A</v>
      </c>
      <c r="J161" t="e">
        <f>_xlfn.XLOOKUP(A161,'DB - Identities'!U:U,'DB - Identities'!Q:Q)</f>
        <v>#N/A</v>
      </c>
      <c r="K161" t="e">
        <f>_xlfn.XLOOKUP(D161,Static!J:J,Static!K:K)</f>
        <v>#N/A</v>
      </c>
      <c r="L161" t="e">
        <f>IF(I161="Bank",_xlfn.XLOOKUP(J161,'Pricing Sheet'!A:A,'Pricing Sheet'!B:B,'Pricing Sheet'!$B$6),IF(I161="Corporate",_xlfn.XLOOKUP(J161,'Pricing Sheet'!F:F,'Pricing Sheet'!G:G,'Pricing Sheet'!$G$6),0))</f>
        <v>#N/A</v>
      </c>
      <c r="M161" t="str">
        <f t="shared" si="6"/>
        <v>OK</v>
      </c>
      <c r="N161" t="str">
        <f t="shared" si="7"/>
        <v>OK</v>
      </c>
    </row>
    <row r="162" spans="1:14">
      <c r="A162">
        <f>'Input 2 - Transactions'!A164</f>
        <v>0</v>
      </c>
      <c r="B162">
        <f>'Input 2 - Transactions'!B164</f>
        <v>0</v>
      </c>
      <c r="C162">
        <f>'Input 2 - Transactions'!C164</f>
        <v>0</v>
      </c>
      <c r="D162">
        <f>'Input 2 - Transactions'!D164</f>
        <v>0</v>
      </c>
      <c r="E162">
        <f>'Input 2 - Transactions'!E164</f>
        <v>0</v>
      </c>
      <c r="F162" s="29">
        <f>'Input 2 - Transactions'!F164</f>
        <v>0</v>
      </c>
      <c r="G162" s="29">
        <f>'Input 2 - Transactions'!G164</f>
        <v>0</v>
      </c>
      <c r="H162" t="e">
        <f>_xlfn.XLOOKUP(A162,'DB - Identities'!U:U,'DB - Identities'!B:B)</f>
        <v>#N/A</v>
      </c>
      <c r="I162" t="e">
        <f>_xlfn.XLOOKUP(H162,c_parties,'DB - Contracting Parties'!C:C)</f>
        <v>#N/A</v>
      </c>
      <c r="J162" t="e">
        <f>_xlfn.XLOOKUP(A162,'DB - Identities'!U:U,'DB - Identities'!Q:Q)</f>
        <v>#N/A</v>
      </c>
      <c r="K162" t="e">
        <f>_xlfn.XLOOKUP(D162,Static!J:J,Static!K:K)</f>
        <v>#N/A</v>
      </c>
      <c r="L162" t="e">
        <f>IF(I162="Bank",_xlfn.XLOOKUP(J162,'Pricing Sheet'!A:A,'Pricing Sheet'!B:B,'Pricing Sheet'!$B$6),IF(I162="Corporate",_xlfn.XLOOKUP(J162,'Pricing Sheet'!F:F,'Pricing Sheet'!G:G,'Pricing Sheet'!$G$6),0))</f>
        <v>#N/A</v>
      </c>
      <c r="M162" t="str">
        <f t="shared" si="6"/>
        <v>OK</v>
      </c>
      <c r="N162" t="str">
        <f t="shared" si="7"/>
        <v>OK</v>
      </c>
    </row>
    <row r="163" spans="1:14">
      <c r="A163">
        <f>'Input 2 - Transactions'!A165</f>
        <v>0</v>
      </c>
      <c r="B163">
        <f>'Input 2 - Transactions'!B165</f>
        <v>0</v>
      </c>
      <c r="C163">
        <f>'Input 2 - Transactions'!C165</f>
        <v>0</v>
      </c>
      <c r="D163">
        <f>'Input 2 - Transactions'!D165</f>
        <v>0</v>
      </c>
      <c r="E163">
        <f>'Input 2 - Transactions'!E165</f>
        <v>0</v>
      </c>
      <c r="F163" s="29">
        <f>'Input 2 - Transactions'!F165</f>
        <v>0</v>
      </c>
      <c r="G163" s="29">
        <f>'Input 2 - Transactions'!G165</f>
        <v>0</v>
      </c>
      <c r="H163" t="e">
        <f>_xlfn.XLOOKUP(A163,'DB - Identities'!U:U,'DB - Identities'!B:B)</f>
        <v>#N/A</v>
      </c>
      <c r="I163" t="e">
        <f>_xlfn.XLOOKUP(H163,c_parties,'DB - Contracting Parties'!C:C)</f>
        <v>#N/A</v>
      </c>
      <c r="J163" t="e">
        <f>_xlfn.XLOOKUP(A163,'DB - Identities'!U:U,'DB - Identities'!Q:Q)</f>
        <v>#N/A</v>
      </c>
      <c r="K163" t="e">
        <f>_xlfn.XLOOKUP(D163,Static!J:J,Static!K:K)</f>
        <v>#N/A</v>
      </c>
      <c r="L163" t="e">
        <f>IF(I163="Bank",_xlfn.XLOOKUP(J163,'Pricing Sheet'!A:A,'Pricing Sheet'!B:B,'Pricing Sheet'!$B$6),IF(I163="Corporate",_xlfn.XLOOKUP(J163,'Pricing Sheet'!F:F,'Pricing Sheet'!G:G,'Pricing Sheet'!$G$6),0))</f>
        <v>#N/A</v>
      </c>
      <c r="M163" t="str">
        <f t="shared" si="6"/>
        <v>OK</v>
      </c>
      <c r="N163" t="str">
        <f t="shared" si="7"/>
        <v>OK</v>
      </c>
    </row>
    <row r="164" spans="1:14">
      <c r="A164">
        <f>'Input 2 - Transactions'!A166</f>
        <v>0</v>
      </c>
      <c r="B164">
        <f>'Input 2 - Transactions'!B166</f>
        <v>0</v>
      </c>
      <c r="C164">
        <f>'Input 2 - Transactions'!C166</f>
        <v>0</v>
      </c>
      <c r="D164">
        <f>'Input 2 - Transactions'!D166</f>
        <v>0</v>
      </c>
      <c r="E164">
        <f>'Input 2 - Transactions'!E166</f>
        <v>0</v>
      </c>
      <c r="F164" s="29">
        <f>'Input 2 - Transactions'!F166</f>
        <v>0</v>
      </c>
      <c r="G164" s="29">
        <f>'Input 2 - Transactions'!G166</f>
        <v>0</v>
      </c>
      <c r="H164" t="e">
        <f>_xlfn.XLOOKUP(A164,'DB - Identities'!U:U,'DB - Identities'!B:B)</f>
        <v>#N/A</v>
      </c>
      <c r="I164" t="e">
        <f>_xlfn.XLOOKUP(H164,c_parties,'DB - Contracting Parties'!C:C)</f>
        <v>#N/A</v>
      </c>
      <c r="J164" t="e">
        <f>_xlfn.XLOOKUP(A164,'DB - Identities'!U:U,'DB - Identities'!Q:Q)</f>
        <v>#N/A</v>
      </c>
      <c r="K164" t="e">
        <f>_xlfn.XLOOKUP(D164,Static!J:J,Static!K:K)</f>
        <v>#N/A</v>
      </c>
      <c r="L164" t="e">
        <f>IF(I164="Bank",_xlfn.XLOOKUP(J164,'Pricing Sheet'!A:A,'Pricing Sheet'!B:B,'Pricing Sheet'!$B$6),IF(I164="Corporate",_xlfn.XLOOKUP(J164,'Pricing Sheet'!F:F,'Pricing Sheet'!G:G,'Pricing Sheet'!$G$6),0))</f>
        <v>#N/A</v>
      </c>
      <c r="M164" t="str">
        <f t="shared" si="6"/>
        <v>OK</v>
      </c>
      <c r="N164" t="str">
        <f t="shared" si="7"/>
        <v>OK</v>
      </c>
    </row>
    <row r="165" spans="1:14">
      <c r="A165">
        <f>'Input 2 - Transactions'!A167</f>
        <v>0</v>
      </c>
      <c r="B165">
        <f>'Input 2 - Transactions'!B167</f>
        <v>0</v>
      </c>
      <c r="C165">
        <f>'Input 2 - Transactions'!C167</f>
        <v>0</v>
      </c>
      <c r="D165">
        <f>'Input 2 - Transactions'!D167</f>
        <v>0</v>
      </c>
      <c r="E165">
        <f>'Input 2 - Transactions'!E167</f>
        <v>0</v>
      </c>
      <c r="F165" s="29">
        <f>'Input 2 - Transactions'!F167</f>
        <v>0</v>
      </c>
      <c r="G165" s="29">
        <f>'Input 2 - Transactions'!G167</f>
        <v>0</v>
      </c>
      <c r="H165" t="e">
        <f>_xlfn.XLOOKUP(A165,'DB - Identities'!U:U,'DB - Identities'!B:B)</f>
        <v>#N/A</v>
      </c>
      <c r="I165" t="e">
        <f>_xlfn.XLOOKUP(H165,c_parties,'DB - Contracting Parties'!C:C)</f>
        <v>#N/A</v>
      </c>
      <c r="J165" t="e">
        <f>_xlfn.XLOOKUP(A165,'DB - Identities'!U:U,'DB - Identities'!Q:Q)</f>
        <v>#N/A</v>
      </c>
      <c r="K165" t="e">
        <f>_xlfn.XLOOKUP(D165,Static!J:J,Static!K:K)</f>
        <v>#N/A</v>
      </c>
      <c r="L165" t="e">
        <f>IF(I165="Bank",_xlfn.XLOOKUP(J165,'Pricing Sheet'!A:A,'Pricing Sheet'!B:B,'Pricing Sheet'!$B$6),IF(I165="Corporate",_xlfn.XLOOKUP(J165,'Pricing Sheet'!F:F,'Pricing Sheet'!G:G,'Pricing Sheet'!$G$6),0))</f>
        <v>#N/A</v>
      </c>
      <c r="M165" t="str">
        <f t="shared" si="6"/>
        <v>OK</v>
      </c>
      <c r="N165" t="str">
        <f t="shared" si="7"/>
        <v>OK</v>
      </c>
    </row>
    <row r="166" spans="1:14">
      <c r="A166">
        <f>'Input 2 - Transactions'!A168</f>
        <v>0</v>
      </c>
      <c r="B166">
        <f>'Input 2 - Transactions'!B168</f>
        <v>0</v>
      </c>
      <c r="C166">
        <f>'Input 2 - Transactions'!C168</f>
        <v>0</v>
      </c>
      <c r="D166">
        <f>'Input 2 - Transactions'!D168</f>
        <v>0</v>
      </c>
      <c r="E166">
        <f>'Input 2 - Transactions'!E168</f>
        <v>0</v>
      </c>
      <c r="F166" s="29">
        <f>'Input 2 - Transactions'!F168</f>
        <v>0</v>
      </c>
      <c r="G166" s="29">
        <f>'Input 2 - Transactions'!G168</f>
        <v>0</v>
      </c>
      <c r="H166" t="e">
        <f>_xlfn.XLOOKUP(A166,'DB - Identities'!U:U,'DB - Identities'!B:B)</f>
        <v>#N/A</v>
      </c>
      <c r="I166" t="e">
        <f>_xlfn.XLOOKUP(H166,c_parties,'DB - Contracting Parties'!C:C)</f>
        <v>#N/A</v>
      </c>
      <c r="J166" t="e">
        <f>_xlfn.XLOOKUP(A166,'DB - Identities'!U:U,'DB - Identities'!Q:Q)</f>
        <v>#N/A</v>
      </c>
      <c r="K166" t="e">
        <f>_xlfn.XLOOKUP(D166,Static!J:J,Static!K:K)</f>
        <v>#N/A</v>
      </c>
      <c r="L166" t="e">
        <f>IF(I166="Bank",_xlfn.XLOOKUP(J166,'Pricing Sheet'!A:A,'Pricing Sheet'!B:B,'Pricing Sheet'!$B$6),IF(I166="Corporate",_xlfn.XLOOKUP(J166,'Pricing Sheet'!F:F,'Pricing Sheet'!G:G,'Pricing Sheet'!$G$6),0))</f>
        <v>#N/A</v>
      </c>
      <c r="M166" t="str">
        <f t="shared" si="6"/>
        <v>OK</v>
      </c>
      <c r="N166" t="str">
        <f t="shared" si="7"/>
        <v>OK</v>
      </c>
    </row>
    <row r="167" spans="1:14">
      <c r="A167">
        <f>'Input 2 - Transactions'!A169</f>
        <v>0</v>
      </c>
      <c r="B167">
        <f>'Input 2 - Transactions'!B169</f>
        <v>0</v>
      </c>
      <c r="C167">
        <f>'Input 2 - Transactions'!C169</f>
        <v>0</v>
      </c>
      <c r="D167">
        <f>'Input 2 - Transactions'!D169</f>
        <v>0</v>
      </c>
      <c r="E167">
        <f>'Input 2 - Transactions'!E169</f>
        <v>0</v>
      </c>
      <c r="F167" s="29">
        <f>'Input 2 - Transactions'!F169</f>
        <v>0</v>
      </c>
      <c r="G167" s="29">
        <f>'Input 2 - Transactions'!G169</f>
        <v>0</v>
      </c>
      <c r="H167" t="e">
        <f>_xlfn.XLOOKUP(A167,'DB - Identities'!U:U,'DB - Identities'!B:B)</f>
        <v>#N/A</v>
      </c>
      <c r="I167" t="e">
        <f>_xlfn.XLOOKUP(H167,c_parties,'DB - Contracting Parties'!C:C)</f>
        <v>#N/A</v>
      </c>
      <c r="J167" t="e">
        <f>_xlfn.XLOOKUP(A167,'DB - Identities'!U:U,'DB - Identities'!Q:Q)</f>
        <v>#N/A</v>
      </c>
      <c r="K167" t="e">
        <f>_xlfn.XLOOKUP(D167,Static!J:J,Static!K:K)</f>
        <v>#N/A</v>
      </c>
      <c r="L167" t="e">
        <f>IF(I167="Bank",_xlfn.XLOOKUP(J167,'Pricing Sheet'!A:A,'Pricing Sheet'!B:B,'Pricing Sheet'!$B$6),IF(I167="Corporate",_xlfn.XLOOKUP(J167,'Pricing Sheet'!F:F,'Pricing Sheet'!G:G,'Pricing Sheet'!$G$6),0))</f>
        <v>#N/A</v>
      </c>
      <c r="M167" t="str">
        <f t="shared" si="6"/>
        <v>OK</v>
      </c>
      <c r="N167" t="str">
        <f t="shared" si="7"/>
        <v>OK</v>
      </c>
    </row>
    <row r="168" spans="1:14">
      <c r="A168">
        <f>'Input 2 - Transactions'!A170</f>
        <v>0</v>
      </c>
      <c r="B168">
        <f>'Input 2 - Transactions'!B170</f>
        <v>0</v>
      </c>
      <c r="C168">
        <f>'Input 2 - Transactions'!C170</f>
        <v>0</v>
      </c>
      <c r="D168">
        <f>'Input 2 - Transactions'!D170</f>
        <v>0</v>
      </c>
      <c r="E168">
        <f>'Input 2 - Transactions'!E170</f>
        <v>0</v>
      </c>
      <c r="F168" s="29">
        <f>'Input 2 - Transactions'!F170</f>
        <v>0</v>
      </c>
      <c r="G168" s="29">
        <f>'Input 2 - Transactions'!G170</f>
        <v>0</v>
      </c>
      <c r="H168" t="e">
        <f>_xlfn.XLOOKUP(A168,'DB - Identities'!U:U,'DB - Identities'!B:B)</f>
        <v>#N/A</v>
      </c>
      <c r="I168" t="e">
        <f>_xlfn.XLOOKUP(H168,c_parties,'DB - Contracting Parties'!C:C)</f>
        <v>#N/A</v>
      </c>
      <c r="J168" t="e">
        <f>_xlfn.XLOOKUP(A168,'DB - Identities'!U:U,'DB - Identities'!Q:Q)</f>
        <v>#N/A</v>
      </c>
      <c r="K168" t="e">
        <f>_xlfn.XLOOKUP(D168,Static!J:J,Static!K:K)</f>
        <v>#N/A</v>
      </c>
      <c r="L168" t="e">
        <f>IF(I168="Bank",_xlfn.XLOOKUP(J168,'Pricing Sheet'!A:A,'Pricing Sheet'!B:B,'Pricing Sheet'!$B$6),IF(I168="Corporate",_xlfn.XLOOKUP(J168,'Pricing Sheet'!F:F,'Pricing Sheet'!G:G,'Pricing Sheet'!$G$6),0))</f>
        <v>#N/A</v>
      </c>
      <c r="M168" t="str">
        <f t="shared" si="6"/>
        <v>OK</v>
      </c>
      <c r="N168" t="str">
        <f t="shared" si="7"/>
        <v>OK</v>
      </c>
    </row>
    <row r="169" spans="1:14">
      <c r="A169">
        <f>'Input 2 - Transactions'!A171</f>
        <v>0</v>
      </c>
      <c r="B169">
        <f>'Input 2 - Transactions'!B171</f>
        <v>0</v>
      </c>
      <c r="C169">
        <f>'Input 2 - Transactions'!C171</f>
        <v>0</v>
      </c>
      <c r="D169">
        <f>'Input 2 - Transactions'!D171</f>
        <v>0</v>
      </c>
      <c r="E169">
        <f>'Input 2 - Transactions'!E171</f>
        <v>0</v>
      </c>
      <c r="F169" s="29">
        <f>'Input 2 - Transactions'!F171</f>
        <v>0</v>
      </c>
      <c r="G169" s="29">
        <f>'Input 2 - Transactions'!G171</f>
        <v>0</v>
      </c>
      <c r="H169" t="e">
        <f>_xlfn.XLOOKUP(A169,'DB - Identities'!U:U,'DB - Identities'!B:B)</f>
        <v>#N/A</v>
      </c>
      <c r="I169" t="e">
        <f>_xlfn.XLOOKUP(H169,c_parties,'DB - Contracting Parties'!C:C)</f>
        <v>#N/A</v>
      </c>
      <c r="J169" t="e">
        <f>_xlfn.XLOOKUP(A169,'DB - Identities'!U:U,'DB - Identities'!Q:Q)</f>
        <v>#N/A</v>
      </c>
      <c r="K169" t="e">
        <f>_xlfn.XLOOKUP(D169,Static!J:J,Static!K:K)</f>
        <v>#N/A</v>
      </c>
      <c r="L169" t="e">
        <f>IF(I169="Bank",_xlfn.XLOOKUP(J169,'Pricing Sheet'!A:A,'Pricing Sheet'!B:B,'Pricing Sheet'!$B$6),IF(I169="Corporate",_xlfn.XLOOKUP(J169,'Pricing Sheet'!F:F,'Pricing Sheet'!G:G,'Pricing Sheet'!$G$6),0))</f>
        <v>#N/A</v>
      </c>
      <c r="M169" t="str">
        <f t="shared" si="6"/>
        <v>OK</v>
      </c>
      <c r="N169" t="str">
        <f t="shared" si="7"/>
        <v>OK</v>
      </c>
    </row>
    <row r="170" spans="1:14">
      <c r="A170">
        <f>'Input 2 - Transactions'!A172</f>
        <v>0</v>
      </c>
      <c r="B170">
        <f>'Input 2 - Transactions'!B172</f>
        <v>0</v>
      </c>
      <c r="C170">
        <f>'Input 2 - Transactions'!C172</f>
        <v>0</v>
      </c>
      <c r="D170">
        <f>'Input 2 - Transactions'!D172</f>
        <v>0</v>
      </c>
      <c r="E170">
        <f>'Input 2 - Transactions'!E172</f>
        <v>0</v>
      </c>
      <c r="F170" s="29">
        <f>'Input 2 - Transactions'!F172</f>
        <v>0</v>
      </c>
      <c r="G170" s="29">
        <f>'Input 2 - Transactions'!G172</f>
        <v>0</v>
      </c>
      <c r="H170" t="e">
        <f>_xlfn.XLOOKUP(A170,'DB - Identities'!U:U,'DB - Identities'!B:B)</f>
        <v>#N/A</v>
      </c>
      <c r="I170" t="e">
        <f>_xlfn.XLOOKUP(H170,c_parties,'DB - Contracting Parties'!C:C)</f>
        <v>#N/A</v>
      </c>
      <c r="J170" t="e">
        <f>_xlfn.XLOOKUP(A170,'DB - Identities'!U:U,'DB - Identities'!Q:Q)</f>
        <v>#N/A</v>
      </c>
      <c r="K170" t="e">
        <f>_xlfn.XLOOKUP(D170,Static!J:J,Static!K:K)</f>
        <v>#N/A</v>
      </c>
      <c r="L170" t="e">
        <f>IF(I170="Bank",_xlfn.XLOOKUP(J170,'Pricing Sheet'!A:A,'Pricing Sheet'!B:B,'Pricing Sheet'!$B$6),IF(I170="Corporate",_xlfn.XLOOKUP(J170,'Pricing Sheet'!F:F,'Pricing Sheet'!G:G,'Pricing Sheet'!$G$6),0))</f>
        <v>#N/A</v>
      </c>
      <c r="M170" t="str">
        <f t="shared" si="6"/>
        <v>OK</v>
      </c>
      <c r="N170" t="str">
        <f t="shared" si="7"/>
        <v>OK</v>
      </c>
    </row>
    <row r="171" spans="1:14">
      <c r="A171">
        <f>'Input 2 - Transactions'!A173</f>
        <v>0</v>
      </c>
      <c r="B171">
        <f>'Input 2 - Transactions'!B173</f>
        <v>0</v>
      </c>
      <c r="C171">
        <f>'Input 2 - Transactions'!C173</f>
        <v>0</v>
      </c>
      <c r="D171">
        <f>'Input 2 - Transactions'!D173</f>
        <v>0</v>
      </c>
      <c r="E171">
        <f>'Input 2 - Transactions'!E173</f>
        <v>0</v>
      </c>
      <c r="F171" s="29">
        <f>'Input 2 - Transactions'!F173</f>
        <v>0</v>
      </c>
      <c r="G171" s="29">
        <f>'Input 2 - Transactions'!G173</f>
        <v>0</v>
      </c>
      <c r="H171" t="e">
        <f>_xlfn.XLOOKUP(A171,'DB - Identities'!U:U,'DB - Identities'!B:B)</f>
        <v>#N/A</v>
      </c>
      <c r="I171" t="e">
        <f>_xlfn.XLOOKUP(H171,c_parties,'DB - Contracting Parties'!C:C)</f>
        <v>#N/A</v>
      </c>
      <c r="J171" t="e">
        <f>_xlfn.XLOOKUP(A171,'DB - Identities'!U:U,'DB - Identities'!Q:Q)</f>
        <v>#N/A</v>
      </c>
      <c r="K171" t="e">
        <f>_xlfn.XLOOKUP(D171,Static!J:J,Static!K:K)</f>
        <v>#N/A</v>
      </c>
      <c r="L171" t="e">
        <f>IF(I171="Bank",_xlfn.XLOOKUP(J171,'Pricing Sheet'!A:A,'Pricing Sheet'!B:B,'Pricing Sheet'!$B$6),IF(I171="Corporate",_xlfn.XLOOKUP(J171,'Pricing Sheet'!F:F,'Pricing Sheet'!G:G,'Pricing Sheet'!$G$6),0))</f>
        <v>#N/A</v>
      </c>
      <c r="M171" t="str">
        <f t="shared" si="6"/>
        <v>OK</v>
      </c>
      <c r="N171" t="str">
        <f t="shared" si="7"/>
        <v>OK</v>
      </c>
    </row>
    <row r="172" spans="1:14">
      <c r="A172">
        <f>'Input 2 - Transactions'!A174</f>
        <v>0</v>
      </c>
      <c r="B172">
        <f>'Input 2 - Transactions'!B174</f>
        <v>0</v>
      </c>
      <c r="C172">
        <f>'Input 2 - Transactions'!C174</f>
        <v>0</v>
      </c>
      <c r="D172">
        <f>'Input 2 - Transactions'!D174</f>
        <v>0</v>
      </c>
      <c r="E172">
        <f>'Input 2 - Transactions'!E174</f>
        <v>0</v>
      </c>
      <c r="F172" s="29">
        <f>'Input 2 - Transactions'!F174</f>
        <v>0</v>
      </c>
      <c r="G172" s="29">
        <f>'Input 2 - Transactions'!G174</f>
        <v>0</v>
      </c>
      <c r="H172" t="e">
        <f>_xlfn.XLOOKUP(A172,'DB - Identities'!U:U,'DB - Identities'!B:B)</f>
        <v>#N/A</v>
      </c>
      <c r="I172" t="e">
        <f>_xlfn.XLOOKUP(H172,c_parties,'DB - Contracting Parties'!C:C)</f>
        <v>#N/A</v>
      </c>
      <c r="J172" t="e">
        <f>_xlfn.XLOOKUP(A172,'DB - Identities'!U:U,'DB - Identities'!Q:Q)</f>
        <v>#N/A</v>
      </c>
      <c r="K172" t="e">
        <f>_xlfn.XLOOKUP(D172,Static!J:J,Static!K:K)</f>
        <v>#N/A</v>
      </c>
      <c r="L172" t="e">
        <f>IF(I172="Bank",_xlfn.XLOOKUP(J172,'Pricing Sheet'!A:A,'Pricing Sheet'!B:B,'Pricing Sheet'!$B$6),IF(I172="Corporate",_xlfn.XLOOKUP(J172,'Pricing Sheet'!F:F,'Pricing Sheet'!G:G,'Pricing Sheet'!$G$6),0))</f>
        <v>#N/A</v>
      </c>
      <c r="M172" t="str">
        <f t="shared" si="6"/>
        <v>OK</v>
      </c>
      <c r="N172" t="str">
        <f t="shared" si="7"/>
        <v>OK</v>
      </c>
    </row>
    <row r="173" spans="1:14">
      <c r="A173">
        <f>'Input 2 - Transactions'!A175</f>
        <v>0</v>
      </c>
      <c r="B173">
        <f>'Input 2 - Transactions'!B175</f>
        <v>0</v>
      </c>
      <c r="C173">
        <f>'Input 2 - Transactions'!C175</f>
        <v>0</v>
      </c>
      <c r="D173">
        <f>'Input 2 - Transactions'!D175</f>
        <v>0</v>
      </c>
      <c r="E173">
        <f>'Input 2 - Transactions'!E175</f>
        <v>0</v>
      </c>
      <c r="F173" s="29">
        <f>'Input 2 - Transactions'!F175</f>
        <v>0</v>
      </c>
      <c r="G173" s="29">
        <f>'Input 2 - Transactions'!G175</f>
        <v>0</v>
      </c>
      <c r="H173" t="e">
        <f>_xlfn.XLOOKUP(A173,'DB - Identities'!U:U,'DB - Identities'!B:B)</f>
        <v>#N/A</v>
      </c>
      <c r="I173" t="e">
        <f>_xlfn.XLOOKUP(H173,c_parties,'DB - Contracting Parties'!C:C)</f>
        <v>#N/A</v>
      </c>
      <c r="J173" t="e">
        <f>_xlfn.XLOOKUP(A173,'DB - Identities'!U:U,'DB - Identities'!Q:Q)</f>
        <v>#N/A</v>
      </c>
      <c r="K173" t="e">
        <f>_xlfn.XLOOKUP(D173,Static!J:J,Static!K:K)</f>
        <v>#N/A</v>
      </c>
      <c r="L173" t="e">
        <f>IF(I173="Bank",_xlfn.XLOOKUP(J173,'Pricing Sheet'!A:A,'Pricing Sheet'!B:B,'Pricing Sheet'!$B$6),IF(I173="Corporate",_xlfn.XLOOKUP(J173,'Pricing Sheet'!F:F,'Pricing Sheet'!G:G,'Pricing Sheet'!$G$6),0))</f>
        <v>#N/A</v>
      </c>
      <c r="M173" t="str">
        <f t="shared" si="6"/>
        <v>OK</v>
      </c>
      <c r="N173" t="str">
        <f t="shared" si="7"/>
        <v>OK</v>
      </c>
    </row>
    <row r="174" spans="1:14">
      <c r="A174">
        <f>'Input 2 - Transactions'!A176</f>
        <v>0</v>
      </c>
      <c r="B174">
        <f>'Input 2 - Transactions'!B176</f>
        <v>0</v>
      </c>
      <c r="C174">
        <f>'Input 2 - Transactions'!C176</f>
        <v>0</v>
      </c>
      <c r="D174">
        <f>'Input 2 - Transactions'!D176</f>
        <v>0</v>
      </c>
      <c r="E174">
        <f>'Input 2 - Transactions'!E176</f>
        <v>0</v>
      </c>
      <c r="F174" s="29">
        <f>'Input 2 - Transactions'!F176</f>
        <v>0</v>
      </c>
      <c r="G174" s="29">
        <f>'Input 2 - Transactions'!G176</f>
        <v>0</v>
      </c>
      <c r="H174" t="e">
        <f>_xlfn.XLOOKUP(A174,'DB - Identities'!U:U,'DB - Identities'!B:B)</f>
        <v>#N/A</v>
      </c>
      <c r="I174" t="e">
        <f>_xlfn.XLOOKUP(H174,c_parties,'DB - Contracting Parties'!C:C)</f>
        <v>#N/A</v>
      </c>
      <c r="J174" t="e">
        <f>_xlfn.XLOOKUP(A174,'DB - Identities'!U:U,'DB - Identities'!Q:Q)</f>
        <v>#N/A</v>
      </c>
      <c r="K174" t="e">
        <f>_xlfn.XLOOKUP(D174,Static!J:J,Static!K:K)</f>
        <v>#N/A</v>
      </c>
      <c r="L174" t="e">
        <f>IF(I174="Bank",_xlfn.XLOOKUP(J174,'Pricing Sheet'!A:A,'Pricing Sheet'!B:B,'Pricing Sheet'!$B$6),IF(I174="Corporate",_xlfn.XLOOKUP(J174,'Pricing Sheet'!F:F,'Pricing Sheet'!G:G,'Pricing Sheet'!$G$6),0))</f>
        <v>#N/A</v>
      </c>
      <c r="M174" t="str">
        <f t="shared" si="6"/>
        <v>OK</v>
      </c>
      <c r="N174" t="str">
        <f t="shared" si="7"/>
        <v>OK</v>
      </c>
    </row>
    <row r="175" spans="1:14">
      <c r="A175">
        <f>'Input 2 - Transactions'!A177</f>
        <v>0</v>
      </c>
      <c r="B175">
        <f>'Input 2 - Transactions'!B177</f>
        <v>0</v>
      </c>
      <c r="C175">
        <f>'Input 2 - Transactions'!C177</f>
        <v>0</v>
      </c>
      <c r="D175">
        <f>'Input 2 - Transactions'!D177</f>
        <v>0</v>
      </c>
      <c r="E175">
        <f>'Input 2 - Transactions'!E177</f>
        <v>0</v>
      </c>
      <c r="F175" s="29">
        <f>'Input 2 - Transactions'!F177</f>
        <v>0</v>
      </c>
      <c r="G175" s="29">
        <f>'Input 2 - Transactions'!G177</f>
        <v>0</v>
      </c>
      <c r="H175" t="e">
        <f>_xlfn.XLOOKUP(A175,'DB - Identities'!U:U,'DB - Identities'!B:B)</f>
        <v>#N/A</v>
      </c>
      <c r="I175" t="e">
        <f>_xlfn.XLOOKUP(H175,c_parties,'DB - Contracting Parties'!C:C)</f>
        <v>#N/A</v>
      </c>
      <c r="J175" t="e">
        <f>_xlfn.XLOOKUP(A175,'DB - Identities'!U:U,'DB - Identities'!Q:Q)</f>
        <v>#N/A</v>
      </c>
      <c r="K175" t="e">
        <f>_xlfn.XLOOKUP(D175,Static!J:J,Static!K:K)</f>
        <v>#N/A</v>
      </c>
      <c r="L175" t="e">
        <f>IF(I175="Bank",_xlfn.XLOOKUP(J175,'Pricing Sheet'!A:A,'Pricing Sheet'!B:B,'Pricing Sheet'!$B$6),IF(I175="Corporate",_xlfn.XLOOKUP(J175,'Pricing Sheet'!F:F,'Pricing Sheet'!G:G,'Pricing Sheet'!$G$6),0))</f>
        <v>#N/A</v>
      </c>
      <c r="M175" t="str">
        <f t="shared" si="6"/>
        <v>OK</v>
      </c>
      <c r="N175" t="str">
        <f t="shared" si="7"/>
        <v>OK</v>
      </c>
    </row>
    <row r="176" spans="1:14">
      <c r="A176">
        <f>'Input 2 - Transactions'!A178</f>
        <v>0</v>
      </c>
      <c r="B176">
        <f>'Input 2 - Transactions'!B178</f>
        <v>0</v>
      </c>
      <c r="C176">
        <f>'Input 2 - Transactions'!C178</f>
        <v>0</v>
      </c>
      <c r="D176">
        <f>'Input 2 - Transactions'!D178</f>
        <v>0</v>
      </c>
      <c r="E176">
        <f>'Input 2 - Transactions'!E178</f>
        <v>0</v>
      </c>
      <c r="F176" s="29">
        <f>'Input 2 - Transactions'!F178</f>
        <v>0</v>
      </c>
      <c r="G176" s="29">
        <f>'Input 2 - Transactions'!G178</f>
        <v>0</v>
      </c>
      <c r="H176" t="e">
        <f>_xlfn.XLOOKUP(A176,'DB - Identities'!U:U,'DB - Identities'!B:B)</f>
        <v>#N/A</v>
      </c>
      <c r="I176" t="e">
        <f>_xlfn.XLOOKUP(H176,c_parties,'DB - Contracting Parties'!C:C)</f>
        <v>#N/A</v>
      </c>
      <c r="J176" t="e">
        <f>_xlfn.XLOOKUP(A176,'DB - Identities'!U:U,'DB - Identities'!Q:Q)</f>
        <v>#N/A</v>
      </c>
      <c r="K176" t="e">
        <f>_xlfn.XLOOKUP(D176,Static!J:J,Static!K:K)</f>
        <v>#N/A</v>
      </c>
      <c r="L176" t="e">
        <f>IF(I176="Bank",_xlfn.XLOOKUP(J176,'Pricing Sheet'!A:A,'Pricing Sheet'!B:B,'Pricing Sheet'!$B$6),IF(I176="Corporate",_xlfn.XLOOKUP(J176,'Pricing Sheet'!F:F,'Pricing Sheet'!G:G,'Pricing Sheet'!$G$6),0))</f>
        <v>#N/A</v>
      </c>
      <c r="M176" t="str">
        <f t="shared" si="6"/>
        <v>OK</v>
      </c>
      <c r="N176" t="str">
        <f t="shared" si="7"/>
        <v>OK</v>
      </c>
    </row>
    <row r="177" spans="1:14">
      <c r="A177">
        <f>'Input 2 - Transactions'!A179</f>
        <v>0</v>
      </c>
      <c r="B177">
        <f>'Input 2 - Transactions'!B179</f>
        <v>0</v>
      </c>
      <c r="C177">
        <f>'Input 2 - Transactions'!C179</f>
        <v>0</v>
      </c>
      <c r="D177">
        <f>'Input 2 - Transactions'!D179</f>
        <v>0</v>
      </c>
      <c r="E177">
        <f>'Input 2 - Transactions'!E179</f>
        <v>0</v>
      </c>
      <c r="F177" s="29">
        <f>'Input 2 - Transactions'!F179</f>
        <v>0</v>
      </c>
      <c r="G177" s="29">
        <f>'Input 2 - Transactions'!G179</f>
        <v>0</v>
      </c>
      <c r="H177" t="e">
        <f>_xlfn.XLOOKUP(A177,'DB - Identities'!U:U,'DB - Identities'!B:B)</f>
        <v>#N/A</v>
      </c>
      <c r="I177" t="e">
        <f>_xlfn.XLOOKUP(H177,c_parties,'DB - Contracting Parties'!C:C)</f>
        <v>#N/A</v>
      </c>
      <c r="J177" t="e">
        <f>_xlfn.XLOOKUP(A177,'DB - Identities'!U:U,'DB - Identities'!Q:Q)</f>
        <v>#N/A</v>
      </c>
      <c r="K177" t="e">
        <f>_xlfn.XLOOKUP(D177,Static!J:J,Static!K:K)</f>
        <v>#N/A</v>
      </c>
      <c r="L177" t="e">
        <f>IF(I177="Bank",_xlfn.XLOOKUP(J177,'Pricing Sheet'!A:A,'Pricing Sheet'!B:B,'Pricing Sheet'!$B$6),IF(I177="Corporate",_xlfn.XLOOKUP(J177,'Pricing Sheet'!F:F,'Pricing Sheet'!G:G,'Pricing Sheet'!$G$6),0))</f>
        <v>#N/A</v>
      </c>
      <c r="M177" t="str">
        <f t="shared" si="6"/>
        <v>OK</v>
      </c>
      <c r="N177" t="str">
        <f t="shared" si="7"/>
        <v>OK</v>
      </c>
    </row>
    <row r="178" spans="1:14">
      <c r="A178">
        <f>'Input 2 - Transactions'!A180</f>
        <v>0</v>
      </c>
      <c r="B178">
        <f>'Input 2 - Transactions'!B180</f>
        <v>0</v>
      </c>
      <c r="C178">
        <f>'Input 2 - Transactions'!C180</f>
        <v>0</v>
      </c>
      <c r="D178">
        <f>'Input 2 - Transactions'!D180</f>
        <v>0</v>
      </c>
      <c r="E178">
        <f>'Input 2 - Transactions'!E180</f>
        <v>0</v>
      </c>
      <c r="F178" s="29">
        <f>'Input 2 - Transactions'!F180</f>
        <v>0</v>
      </c>
      <c r="G178" s="29">
        <f>'Input 2 - Transactions'!G180</f>
        <v>0</v>
      </c>
      <c r="H178" t="e">
        <f>_xlfn.XLOOKUP(A178,'DB - Identities'!U:U,'DB - Identities'!B:B)</f>
        <v>#N/A</v>
      </c>
      <c r="I178" t="e">
        <f>_xlfn.XLOOKUP(H178,c_parties,'DB - Contracting Parties'!C:C)</f>
        <v>#N/A</v>
      </c>
      <c r="J178" t="e">
        <f>_xlfn.XLOOKUP(A178,'DB - Identities'!U:U,'DB - Identities'!Q:Q)</f>
        <v>#N/A</v>
      </c>
      <c r="K178" t="e">
        <f>_xlfn.XLOOKUP(D178,Static!J:J,Static!K:K)</f>
        <v>#N/A</v>
      </c>
      <c r="L178" t="e">
        <f>IF(I178="Bank",_xlfn.XLOOKUP(J178,'Pricing Sheet'!A:A,'Pricing Sheet'!B:B,'Pricing Sheet'!$B$6),IF(I178="Corporate",_xlfn.XLOOKUP(J178,'Pricing Sheet'!F:F,'Pricing Sheet'!G:G,'Pricing Sheet'!$G$6),0))</f>
        <v>#N/A</v>
      </c>
      <c r="M178" t="str">
        <f t="shared" si="6"/>
        <v>OK</v>
      </c>
      <c r="N178" t="str">
        <f t="shared" si="7"/>
        <v>OK</v>
      </c>
    </row>
    <row r="179" spans="1:14">
      <c r="A179">
        <f>'Input 2 - Transactions'!A181</f>
        <v>0</v>
      </c>
      <c r="B179">
        <f>'Input 2 - Transactions'!B181</f>
        <v>0</v>
      </c>
      <c r="C179">
        <f>'Input 2 - Transactions'!C181</f>
        <v>0</v>
      </c>
      <c r="D179">
        <f>'Input 2 - Transactions'!D181</f>
        <v>0</v>
      </c>
      <c r="E179">
        <f>'Input 2 - Transactions'!E181</f>
        <v>0</v>
      </c>
      <c r="F179" s="29">
        <f>'Input 2 - Transactions'!F181</f>
        <v>0</v>
      </c>
      <c r="G179" s="29">
        <f>'Input 2 - Transactions'!G181</f>
        <v>0</v>
      </c>
      <c r="H179" t="e">
        <f>_xlfn.XLOOKUP(A179,'DB - Identities'!U:U,'DB - Identities'!B:B)</f>
        <v>#N/A</v>
      </c>
      <c r="I179" t="e">
        <f>_xlfn.XLOOKUP(H179,c_parties,'DB - Contracting Parties'!C:C)</f>
        <v>#N/A</v>
      </c>
      <c r="J179" t="e">
        <f>_xlfn.XLOOKUP(A179,'DB - Identities'!U:U,'DB - Identities'!Q:Q)</f>
        <v>#N/A</v>
      </c>
      <c r="K179" t="e">
        <f>_xlfn.XLOOKUP(D179,Static!J:J,Static!K:K)</f>
        <v>#N/A</v>
      </c>
      <c r="L179" t="e">
        <f>IF(I179="Bank",_xlfn.XLOOKUP(J179,'Pricing Sheet'!A:A,'Pricing Sheet'!B:B,'Pricing Sheet'!$B$6),IF(I179="Corporate",_xlfn.XLOOKUP(J179,'Pricing Sheet'!F:F,'Pricing Sheet'!G:G,'Pricing Sheet'!$G$6),0))</f>
        <v>#N/A</v>
      </c>
      <c r="M179" t="str">
        <f t="shared" si="6"/>
        <v>OK</v>
      </c>
      <c r="N179" t="str">
        <f t="shared" si="7"/>
        <v>OK</v>
      </c>
    </row>
    <row r="180" spans="1:14">
      <c r="A180">
        <f>'Input 2 - Transactions'!A182</f>
        <v>0</v>
      </c>
      <c r="B180">
        <f>'Input 2 - Transactions'!B182</f>
        <v>0</v>
      </c>
      <c r="C180">
        <f>'Input 2 - Transactions'!C182</f>
        <v>0</v>
      </c>
      <c r="D180">
        <f>'Input 2 - Transactions'!D182</f>
        <v>0</v>
      </c>
      <c r="E180">
        <f>'Input 2 - Transactions'!E182</f>
        <v>0</v>
      </c>
      <c r="F180" s="29">
        <f>'Input 2 - Transactions'!F182</f>
        <v>0</v>
      </c>
      <c r="G180" s="29">
        <f>'Input 2 - Transactions'!G182</f>
        <v>0</v>
      </c>
      <c r="H180" t="e">
        <f>_xlfn.XLOOKUP(A180,'DB - Identities'!U:U,'DB - Identities'!B:B)</f>
        <v>#N/A</v>
      </c>
      <c r="I180" t="e">
        <f>_xlfn.XLOOKUP(H180,c_parties,'DB - Contracting Parties'!C:C)</f>
        <v>#N/A</v>
      </c>
      <c r="J180" t="e">
        <f>_xlfn.XLOOKUP(A180,'DB - Identities'!U:U,'DB - Identities'!Q:Q)</f>
        <v>#N/A</v>
      </c>
      <c r="K180" t="e">
        <f>_xlfn.XLOOKUP(D180,Static!J:J,Static!K:K)</f>
        <v>#N/A</v>
      </c>
      <c r="L180" t="e">
        <f>IF(I180="Bank",_xlfn.XLOOKUP(J180,'Pricing Sheet'!A:A,'Pricing Sheet'!B:B,'Pricing Sheet'!$B$6),IF(I180="Corporate",_xlfn.XLOOKUP(J180,'Pricing Sheet'!F:F,'Pricing Sheet'!G:G,'Pricing Sheet'!$G$6),0))</f>
        <v>#N/A</v>
      </c>
      <c r="M180" t="str">
        <f t="shared" si="6"/>
        <v>OK</v>
      </c>
      <c r="N180" t="str">
        <f t="shared" si="7"/>
        <v>OK</v>
      </c>
    </row>
    <row r="181" spans="1:14">
      <c r="A181">
        <f>'Input 2 - Transactions'!A183</f>
        <v>0</v>
      </c>
      <c r="B181">
        <f>'Input 2 - Transactions'!B183</f>
        <v>0</v>
      </c>
      <c r="C181">
        <f>'Input 2 - Transactions'!C183</f>
        <v>0</v>
      </c>
      <c r="D181">
        <f>'Input 2 - Transactions'!D183</f>
        <v>0</v>
      </c>
      <c r="E181">
        <f>'Input 2 - Transactions'!E183</f>
        <v>0</v>
      </c>
      <c r="F181" s="29">
        <f>'Input 2 - Transactions'!F183</f>
        <v>0</v>
      </c>
      <c r="G181" s="29">
        <f>'Input 2 - Transactions'!G183</f>
        <v>0</v>
      </c>
      <c r="H181" t="e">
        <f>_xlfn.XLOOKUP(A181,'DB - Identities'!U:U,'DB - Identities'!B:B)</f>
        <v>#N/A</v>
      </c>
      <c r="I181" t="e">
        <f>_xlfn.XLOOKUP(H181,c_parties,'DB - Contracting Parties'!C:C)</f>
        <v>#N/A</v>
      </c>
      <c r="J181" t="e">
        <f>_xlfn.XLOOKUP(A181,'DB - Identities'!U:U,'DB - Identities'!Q:Q)</f>
        <v>#N/A</v>
      </c>
      <c r="K181" t="e">
        <f>_xlfn.XLOOKUP(D181,Static!J:J,Static!K:K)</f>
        <v>#N/A</v>
      </c>
      <c r="L181" t="e">
        <f>IF(I181="Bank",_xlfn.XLOOKUP(J181,'Pricing Sheet'!A:A,'Pricing Sheet'!B:B,'Pricing Sheet'!$B$6),IF(I181="Corporate",_xlfn.XLOOKUP(J181,'Pricing Sheet'!F:F,'Pricing Sheet'!G:G,'Pricing Sheet'!$G$6),0))</f>
        <v>#N/A</v>
      </c>
      <c r="M181" t="str">
        <f t="shared" si="6"/>
        <v>OK</v>
      </c>
      <c r="N181" t="str">
        <f t="shared" si="7"/>
        <v>OK</v>
      </c>
    </row>
    <row r="182" spans="1:14">
      <c r="A182">
        <f>'Input 2 - Transactions'!A184</f>
        <v>0</v>
      </c>
      <c r="B182">
        <f>'Input 2 - Transactions'!B184</f>
        <v>0</v>
      </c>
      <c r="C182">
        <f>'Input 2 - Transactions'!C184</f>
        <v>0</v>
      </c>
      <c r="D182">
        <f>'Input 2 - Transactions'!D184</f>
        <v>0</v>
      </c>
      <c r="E182">
        <f>'Input 2 - Transactions'!E184</f>
        <v>0</v>
      </c>
      <c r="F182" s="29">
        <f>'Input 2 - Transactions'!F184</f>
        <v>0</v>
      </c>
      <c r="G182" s="29">
        <f>'Input 2 - Transactions'!G184</f>
        <v>0</v>
      </c>
      <c r="H182" t="e">
        <f>_xlfn.XLOOKUP(A182,'DB - Identities'!U:U,'DB - Identities'!B:B)</f>
        <v>#N/A</v>
      </c>
      <c r="I182" t="e">
        <f>_xlfn.XLOOKUP(H182,c_parties,'DB - Contracting Parties'!C:C)</f>
        <v>#N/A</v>
      </c>
      <c r="J182" t="e">
        <f>_xlfn.XLOOKUP(A182,'DB - Identities'!U:U,'DB - Identities'!Q:Q)</f>
        <v>#N/A</v>
      </c>
      <c r="K182" t="e">
        <f>_xlfn.XLOOKUP(D182,Static!J:J,Static!K:K)</f>
        <v>#N/A</v>
      </c>
      <c r="L182" t="e">
        <f>IF(I182="Bank",_xlfn.XLOOKUP(J182,'Pricing Sheet'!A:A,'Pricing Sheet'!B:B,'Pricing Sheet'!$B$6),IF(I182="Corporate",_xlfn.XLOOKUP(J182,'Pricing Sheet'!F:F,'Pricing Sheet'!G:G,'Pricing Sheet'!$G$6),0))</f>
        <v>#N/A</v>
      </c>
      <c r="M182" t="str">
        <f t="shared" si="6"/>
        <v>OK</v>
      </c>
      <c r="N182" t="str">
        <f t="shared" si="7"/>
        <v>OK</v>
      </c>
    </row>
    <row r="183" spans="1:14">
      <c r="A183">
        <f>'Input 2 - Transactions'!A185</f>
        <v>0</v>
      </c>
      <c r="B183">
        <f>'Input 2 - Transactions'!B185</f>
        <v>0</v>
      </c>
      <c r="C183">
        <f>'Input 2 - Transactions'!C185</f>
        <v>0</v>
      </c>
      <c r="D183">
        <f>'Input 2 - Transactions'!D185</f>
        <v>0</v>
      </c>
      <c r="E183">
        <f>'Input 2 - Transactions'!E185</f>
        <v>0</v>
      </c>
      <c r="F183" s="29">
        <f>'Input 2 - Transactions'!F185</f>
        <v>0</v>
      </c>
      <c r="G183" s="29">
        <f>'Input 2 - Transactions'!G185</f>
        <v>0</v>
      </c>
      <c r="H183" t="e">
        <f>_xlfn.XLOOKUP(A183,'DB - Identities'!U:U,'DB - Identities'!B:B)</f>
        <v>#N/A</v>
      </c>
      <c r="I183" t="e">
        <f>_xlfn.XLOOKUP(H183,c_parties,'DB - Contracting Parties'!C:C)</f>
        <v>#N/A</v>
      </c>
      <c r="J183" t="e">
        <f>_xlfn.XLOOKUP(A183,'DB - Identities'!U:U,'DB - Identities'!Q:Q)</f>
        <v>#N/A</v>
      </c>
      <c r="K183" t="e">
        <f>_xlfn.XLOOKUP(D183,Static!J:J,Static!K:K)</f>
        <v>#N/A</v>
      </c>
      <c r="L183" t="e">
        <f>IF(I183="Bank",_xlfn.XLOOKUP(J183,'Pricing Sheet'!A:A,'Pricing Sheet'!B:B,'Pricing Sheet'!$B$6),IF(I183="Corporate",_xlfn.XLOOKUP(J183,'Pricing Sheet'!F:F,'Pricing Sheet'!G:G,'Pricing Sheet'!$G$6),0))</f>
        <v>#N/A</v>
      </c>
      <c r="M183" t="str">
        <f t="shared" si="6"/>
        <v>OK</v>
      </c>
      <c r="N183" t="str">
        <f t="shared" si="7"/>
        <v>OK</v>
      </c>
    </row>
    <row r="184" spans="1:14">
      <c r="A184">
        <f>'Input 2 - Transactions'!A186</f>
        <v>0</v>
      </c>
      <c r="B184">
        <f>'Input 2 - Transactions'!B186</f>
        <v>0</v>
      </c>
      <c r="C184">
        <f>'Input 2 - Transactions'!C186</f>
        <v>0</v>
      </c>
      <c r="D184">
        <f>'Input 2 - Transactions'!D186</f>
        <v>0</v>
      </c>
      <c r="E184">
        <f>'Input 2 - Transactions'!E186</f>
        <v>0</v>
      </c>
      <c r="F184" s="29">
        <f>'Input 2 - Transactions'!F186</f>
        <v>0</v>
      </c>
      <c r="G184" s="29">
        <f>'Input 2 - Transactions'!G186</f>
        <v>0</v>
      </c>
      <c r="H184" t="e">
        <f>_xlfn.XLOOKUP(A184,'DB - Identities'!U:U,'DB - Identities'!B:B)</f>
        <v>#N/A</v>
      </c>
      <c r="I184" t="e">
        <f>_xlfn.XLOOKUP(H184,c_parties,'DB - Contracting Parties'!C:C)</f>
        <v>#N/A</v>
      </c>
      <c r="J184" t="e">
        <f>_xlfn.XLOOKUP(A184,'DB - Identities'!U:U,'DB - Identities'!Q:Q)</f>
        <v>#N/A</v>
      </c>
      <c r="K184" t="e">
        <f>_xlfn.XLOOKUP(D184,Static!J:J,Static!K:K)</f>
        <v>#N/A</v>
      </c>
      <c r="L184" t="e">
        <f>IF(I184="Bank",_xlfn.XLOOKUP(J184,'Pricing Sheet'!A:A,'Pricing Sheet'!B:B,'Pricing Sheet'!$B$6),IF(I184="Corporate",_xlfn.XLOOKUP(J184,'Pricing Sheet'!F:F,'Pricing Sheet'!G:G,'Pricing Sheet'!$G$6),0))</f>
        <v>#N/A</v>
      </c>
      <c r="M184" t="str">
        <f t="shared" si="6"/>
        <v>OK</v>
      </c>
      <c r="N184" t="str">
        <f t="shared" si="7"/>
        <v>OK</v>
      </c>
    </row>
    <row r="185" spans="1:14">
      <c r="A185">
        <f>'Input 2 - Transactions'!A187</f>
        <v>0</v>
      </c>
      <c r="B185">
        <f>'Input 2 - Transactions'!B187</f>
        <v>0</v>
      </c>
      <c r="C185">
        <f>'Input 2 - Transactions'!C187</f>
        <v>0</v>
      </c>
      <c r="D185">
        <f>'Input 2 - Transactions'!D187</f>
        <v>0</v>
      </c>
      <c r="E185">
        <f>'Input 2 - Transactions'!E187</f>
        <v>0</v>
      </c>
      <c r="F185" s="29">
        <f>'Input 2 - Transactions'!F187</f>
        <v>0</v>
      </c>
      <c r="G185" s="29">
        <f>'Input 2 - Transactions'!G187</f>
        <v>0</v>
      </c>
      <c r="H185" t="e">
        <f>_xlfn.XLOOKUP(A185,'DB - Identities'!U:U,'DB - Identities'!B:B)</f>
        <v>#N/A</v>
      </c>
      <c r="I185" t="e">
        <f>_xlfn.XLOOKUP(H185,c_parties,'DB - Contracting Parties'!C:C)</f>
        <v>#N/A</v>
      </c>
      <c r="J185" t="e">
        <f>_xlfn.XLOOKUP(A185,'DB - Identities'!U:U,'DB - Identities'!Q:Q)</f>
        <v>#N/A</v>
      </c>
      <c r="K185" t="e">
        <f>_xlfn.XLOOKUP(D185,Static!J:J,Static!K:K)</f>
        <v>#N/A</v>
      </c>
      <c r="L185" t="e">
        <f>IF(I185="Bank",_xlfn.XLOOKUP(J185,'Pricing Sheet'!A:A,'Pricing Sheet'!B:B,'Pricing Sheet'!$B$6),IF(I185="Corporate",_xlfn.XLOOKUP(J185,'Pricing Sheet'!F:F,'Pricing Sheet'!G:G,'Pricing Sheet'!$G$6),0))</f>
        <v>#N/A</v>
      </c>
      <c r="M185" t="str">
        <f t="shared" si="6"/>
        <v>OK</v>
      </c>
      <c r="N185" t="str">
        <f t="shared" si="7"/>
        <v>OK</v>
      </c>
    </row>
    <row r="186" spans="1:14">
      <c r="A186">
        <f>'Input 2 - Transactions'!A188</f>
        <v>0</v>
      </c>
      <c r="B186">
        <f>'Input 2 - Transactions'!B188</f>
        <v>0</v>
      </c>
      <c r="C186">
        <f>'Input 2 - Transactions'!C188</f>
        <v>0</v>
      </c>
      <c r="D186">
        <f>'Input 2 - Transactions'!D188</f>
        <v>0</v>
      </c>
      <c r="E186">
        <f>'Input 2 - Transactions'!E188</f>
        <v>0</v>
      </c>
      <c r="F186" s="29">
        <f>'Input 2 - Transactions'!F188</f>
        <v>0</v>
      </c>
      <c r="G186" s="29">
        <f>'Input 2 - Transactions'!G188</f>
        <v>0</v>
      </c>
      <c r="H186" t="e">
        <f>_xlfn.XLOOKUP(A186,'DB - Identities'!U:U,'DB - Identities'!B:B)</f>
        <v>#N/A</v>
      </c>
      <c r="I186" t="e">
        <f>_xlfn.XLOOKUP(H186,c_parties,'DB - Contracting Parties'!C:C)</f>
        <v>#N/A</v>
      </c>
      <c r="J186" t="e">
        <f>_xlfn.XLOOKUP(A186,'DB - Identities'!U:U,'DB - Identities'!Q:Q)</f>
        <v>#N/A</v>
      </c>
      <c r="K186" t="e">
        <f>_xlfn.XLOOKUP(D186,Static!J:J,Static!K:K)</f>
        <v>#N/A</v>
      </c>
      <c r="L186" t="e">
        <f>IF(I186="Bank",_xlfn.XLOOKUP(J186,'Pricing Sheet'!A:A,'Pricing Sheet'!B:B,'Pricing Sheet'!$B$6),IF(I186="Corporate",_xlfn.XLOOKUP(J186,'Pricing Sheet'!F:F,'Pricing Sheet'!G:G,'Pricing Sheet'!$G$6),0))</f>
        <v>#N/A</v>
      </c>
      <c r="M186" t="str">
        <f t="shared" si="6"/>
        <v>OK</v>
      </c>
      <c r="N186" t="str">
        <f t="shared" si="7"/>
        <v>OK</v>
      </c>
    </row>
    <row r="187" spans="1:14">
      <c r="A187">
        <f>'Input 2 - Transactions'!A189</f>
        <v>0</v>
      </c>
      <c r="B187">
        <f>'Input 2 - Transactions'!B189</f>
        <v>0</v>
      </c>
      <c r="C187">
        <f>'Input 2 - Transactions'!C189</f>
        <v>0</v>
      </c>
      <c r="D187">
        <f>'Input 2 - Transactions'!D189</f>
        <v>0</v>
      </c>
      <c r="E187">
        <f>'Input 2 - Transactions'!E189</f>
        <v>0</v>
      </c>
      <c r="F187" s="29">
        <f>'Input 2 - Transactions'!F189</f>
        <v>0</v>
      </c>
      <c r="G187" s="29">
        <f>'Input 2 - Transactions'!G189</f>
        <v>0</v>
      </c>
      <c r="H187" t="e">
        <f>_xlfn.XLOOKUP(A187,'DB - Identities'!U:U,'DB - Identities'!B:B)</f>
        <v>#N/A</v>
      </c>
      <c r="I187" t="e">
        <f>_xlfn.XLOOKUP(H187,c_parties,'DB - Contracting Parties'!C:C)</f>
        <v>#N/A</v>
      </c>
      <c r="J187" t="e">
        <f>_xlfn.XLOOKUP(A187,'DB - Identities'!U:U,'DB - Identities'!Q:Q)</f>
        <v>#N/A</v>
      </c>
      <c r="K187" t="e">
        <f>_xlfn.XLOOKUP(D187,Static!J:J,Static!K:K)</f>
        <v>#N/A</v>
      </c>
      <c r="L187" t="e">
        <f>IF(I187="Bank",_xlfn.XLOOKUP(J187,'Pricing Sheet'!A:A,'Pricing Sheet'!B:B,'Pricing Sheet'!$B$6),IF(I187="Corporate",_xlfn.XLOOKUP(J187,'Pricing Sheet'!F:F,'Pricing Sheet'!G:G,'Pricing Sheet'!$G$6),0))</f>
        <v>#N/A</v>
      </c>
      <c r="M187" t="str">
        <f t="shared" si="6"/>
        <v>OK</v>
      </c>
      <c r="N187" t="str">
        <f t="shared" si="7"/>
        <v>OK</v>
      </c>
    </row>
    <row r="188" spans="1:14">
      <c r="A188">
        <f>'Input 2 - Transactions'!A190</f>
        <v>0</v>
      </c>
      <c r="B188">
        <f>'Input 2 - Transactions'!B190</f>
        <v>0</v>
      </c>
      <c r="C188">
        <f>'Input 2 - Transactions'!C190</f>
        <v>0</v>
      </c>
      <c r="D188">
        <f>'Input 2 - Transactions'!D190</f>
        <v>0</v>
      </c>
      <c r="E188">
        <f>'Input 2 - Transactions'!E190</f>
        <v>0</v>
      </c>
      <c r="F188" s="29">
        <f>'Input 2 - Transactions'!F190</f>
        <v>0</v>
      </c>
      <c r="G188" s="29">
        <f>'Input 2 - Transactions'!G190</f>
        <v>0</v>
      </c>
      <c r="H188" t="e">
        <f>_xlfn.XLOOKUP(A188,'DB - Identities'!U:U,'DB - Identities'!B:B)</f>
        <v>#N/A</v>
      </c>
      <c r="I188" t="e">
        <f>_xlfn.XLOOKUP(H188,c_parties,'DB - Contracting Parties'!C:C)</f>
        <v>#N/A</v>
      </c>
      <c r="J188" t="e">
        <f>_xlfn.XLOOKUP(A188,'DB - Identities'!U:U,'DB - Identities'!Q:Q)</f>
        <v>#N/A</v>
      </c>
      <c r="K188" t="e">
        <f>_xlfn.XLOOKUP(D188,Static!J:J,Static!K:K)</f>
        <v>#N/A</v>
      </c>
      <c r="L188" t="e">
        <f>IF(I188="Bank",_xlfn.XLOOKUP(J188,'Pricing Sheet'!A:A,'Pricing Sheet'!B:B,'Pricing Sheet'!$B$6),IF(I188="Corporate",_xlfn.XLOOKUP(J188,'Pricing Sheet'!F:F,'Pricing Sheet'!G:G,'Pricing Sheet'!$G$6),0))</f>
        <v>#N/A</v>
      </c>
      <c r="M188" t="str">
        <f t="shared" si="6"/>
        <v>OK</v>
      </c>
      <c r="N188" t="str">
        <f t="shared" si="7"/>
        <v>OK</v>
      </c>
    </row>
    <row r="189" spans="1:14">
      <c r="A189">
        <f>'Input 2 - Transactions'!A191</f>
        <v>0</v>
      </c>
      <c r="B189">
        <f>'Input 2 - Transactions'!B191</f>
        <v>0</v>
      </c>
      <c r="C189">
        <f>'Input 2 - Transactions'!C191</f>
        <v>0</v>
      </c>
      <c r="D189">
        <f>'Input 2 - Transactions'!D191</f>
        <v>0</v>
      </c>
      <c r="E189">
        <f>'Input 2 - Transactions'!E191</f>
        <v>0</v>
      </c>
      <c r="F189" s="29">
        <f>'Input 2 - Transactions'!F191</f>
        <v>0</v>
      </c>
      <c r="G189" s="29">
        <f>'Input 2 - Transactions'!G191</f>
        <v>0</v>
      </c>
      <c r="H189" t="e">
        <f>_xlfn.XLOOKUP(A189,'DB - Identities'!U:U,'DB - Identities'!B:B)</f>
        <v>#N/A</v>
      </c>
      <c r="I189" t="e">
        <f>_xlfn.XLOOKUP(H189,c_parties,'DB - Contracting Parties'!C:C)</f>
        <v>#N/A</v>
      </c>
      <c r="J189" t="e">
        <f>_xlfn.XLOOKUP(A189,'DB - Identities'!U:U,'DB - Identities'!Q:Q)</f>
        <v>#N/A</v>
      </c>
      <c r="K189" t="e">
        <f>_xlfn.XLOOKUP(D189,Static!J:J,Static!K:K)</f>
        <v>#N/A</v>
      </c>
      <c r="L189" t="e">
        <f>IF(I189="Bank",_xlfn.XLOOKUP(J189,'Pricing Sheet'!A:A,'Pricing Sheet'!B:B,'Pricing Sheet'!$B$6),IF(I189="Corporate",_xlfn.XLOOKUP(J189,'Pricing Sheet'!F:F,'Pricing Sheet'!G:G,'Pricing Sheet'!$G$6),0))</f>
        <v>#N/A</v>
      </c>
      <c r="M189" t="str">
        <f t="shared" si="6"/>
        <v>OK</v>
      </c>
      <c r="N189" t="str">
        <f t="shared" si="7"/>
        <v>OK</v>
      </c>
    </row>
    <row r="190" spans="1:14">
      <c r="A190">
        <f>'Input 2 - Transactions'!A192</f>
        <v>0</v>
      </c>
      <c r="B190">
        <f>'Input 2 - Transactions'!B192</f>
        <v>0</v>
      </c>
      <c r="C190">
        <f>'Input 2 - Transactions'!C192</f>
        <v>0</v>
      </c>
      <c r="D190">
        <f>'Input 2 - Transactions'!D192</f>
        <v>0</v>
      </c>
      <c r="E190">
        <f>'Input 2 - Transactions'!E192</f>
        <v>0</v>
      </c>
      <c r="F190" s="29">
        <f>'Input 2 - Transactions'!F192</f>
        <v>0</v>
      </c>
      <c r="G190" s="29">
        <f>'Input 2 - Transactions'!G192</f>
        <v>0</v>
      </c>
      <c r="H190" t="e">
        <f>_xlfn.XLOOKUP(A190,'DB - Identities'!U:U,'DB - Identities'!B:B)</f>
        <v>#N/A</v>
      </c>
      <c r="I190" t="e">
        <f>_xlfn.XLOOKUP(H190,c_parties,'DB - Contracting Parties'!C:C)</f>
        <v>#N/A</v>
      </c>
      <c r="J190" t="e">
        <f>_xlfn.XLOOKUP(A190,'DB - Identities'!U:U,'DB - Identities'!Q:Q)</f>
        <v>#N/A</v>
      </c>
      <c r="K190" t="e">
        <f>_xlfn.XLOOKUP(D190,Static!J:J,Static!K:K)</f>
        <v>#N/A</v>
      </c>
      <c r="L190" t="e">
        <f>IF(I190="Bank",_xlfn.XLOOKUP(J190,'Pricing Sheet'!A:A,'Pricing Sheet'!B:B,'Pricing Sheet'!$B$6),IF(I190="Corporate",_xlfn.XLOOKUP(J190,'Pricing Sheet'!F:F,'Pricing Sheet'!G:G,'Pricing Sheet'!$G$6),0))</f>
        <v>#N/A</v>
      </c>
      <c r="M190" t="str">
        <f t="shared" si="6"/>
        <v>OK</v>
      </c>
      <c r="N190" t="str">
        <f t="shared" si="7"/>
        <v>OK</v>
      </c>
    </row>
    <row r="191" spans="1:14">
      <c r="A191">
        <f>'Input 2 - Transactions'!A193</f>
        <v>0</v>
      </c>
      <c r="B191">
        <f>'Input 2 - Transactions'!B193</f>
        <v>0</v>
      </c>
      <c r="C191">
        <f>'Input 2 - Transactions'!C193</f>
        <v>0</v>
      </c>
      <c r="D191">
        <f>'Input 2 - Transactions'!D193</f>
        <v>0</v>
      </c>
      <c r="E191">
        <f>'Input 2 - Transactions'!E193</f>
        <v>0</v>
      </c>
      <c r="F191" s="29">
        <f>'Input 2 - Transactions'!F193</f>
        <v>0</v>
      </c>
      <c r="G191" s="29">
        <f>'Input 2 - Transactions'!G193</f>
        <v>0</v>
      </c>
      <c r="H191" t="e">
        <f>_xlfn.XLOOKUP(A191,'DB - Identities'!U:U,'DB - Identities'!B:B)</f>
        <v>#N/A</v>
      </c>
      <c r="I191" t="e">
        <f>_xlfn.XLOOKUP(H191,c_parties,'DB - Contracting Parties'!C:C)</f>
        <v>#N/A</v>
      </c>
      <c r="J191" t="e">
        <f>_xlfn.XLOOKUP(A191,'DB - Identities'!U:U,'DB - Identities'!Q:Q)</f>
        <v>#N/A</v>
      </c>
      <c r="K191" t="e">
        <f>_xlfn.XLOOKUP(D191,Static!J:J,Static!K:K)</f>
        <v>#N/A</v>
      </c>
      <c r="L191" t="e">
        <f>IF(I191="Bank",_xlfn.XLOOKUP(J191,'Pricing Sheet'!A:A,'Pricing Sheet'!B:B,'Pricing Sheet'!$B$6),IF(I191="Corporate",_xlfn.XLOOKUP(J191,'Pricing Sheet'!F:F,'Pricing Sheet'!G:G,'Pricing Sheet'!$G$6),0))</f>
        <v>#N/A</v>
      </c>
      <c r="M191" t="str">
        <f t="shared" si="6"/>
        <v>OK</v>
      </c>
      <c r="N191" t="str">
        <f t="shared" si="7"/>
        <v>OK</v>
      </c>
    </row>
    <row r="192" spans="1:14">
      <c r="A192">
        <f>'Input 2 - Transactions'!A194</f>
        <v>0</v>
      </c>
      <c r="B192">
        <f>'Input 2 - Transactions'!B194</f>
        <v>0</v>
      </c>
      <c r="C192">
        <f>'Input 2 - Transactions'!C194</f>
        <v>0</v>
      </c>
      <c r="D192">
        <f>'Input 2 - Transactions'!D194</f>
        <v>0</v>
      </c>
      <c r="E192">
        <f>'Input 2 - Transactions'!E194</f>
        <v>0</v>
      </c>
      <c r="F192" s="29">
        <f>'Input 2 - Transactions'!F194</f>
        <v>0</v>
      </c>
      <c r="G192" s="29">
        <f>'Input 2 - Transactions'!G194</f>
        <v>0</v>
      </c>
      <c r="H192" t="e">
        <f>_xlfn.XLOOKUP(A192,'DB - Identities'!U:U,'DB - Identities'!B:B)</f>
        <v>#N/A</v>
      </c>
      <c r="I192" t="e">
        <f>_xlfn.XLOOKUP(H192,c_parties,'DB - Contracting Parties'!C:C)</f>
        <v>#N/A</v>
      </c>
      <c r="J192" t="e">
        <f>_xlfn.XLOOKUP(A192,'DB - Identities'!U:U,'DB - Identities'!Q:Q)</f>
        <v>#N/A</v>
      </c>
      <c r="K192" t="e">
        <f>_xlfn.XLOOKUP(D192,Static!J:J,Static!K:K)</f>
        <v>#N/A</v>
      </c>
      <c r="L192" t="e">
        <f>IF(I192="Bank",_xlfn.XLOOKUP(J192,'Pricing Sheet'!A:A,'Pricing Sheet'!B:B,'Pricing Sheet'!$B$6),IF(I192="Corporate",_xlfn.XLOOKUP(J192,'Pricing Sheet'!F:F,'Pricing Sheet'!G:G,'Pricing Sheet'!$G$6),0))</f>
        <v>#N/A</v>
      </c>
      <c r="M192" t="str">
        <f t="shared" si="6"/>
        <v>OK</v>
      </c>
      <c r="N192" t="str">
        <f t="shared" si="7"/>
        <v>OK</v>
      </c>
    </row>
    <row r="193" spans="1:14">
      <c r="A193">
        <f>'Input 2 - Transactions'!A195</f>
        <v>0</v>
      </c>
      <c r="B193">
        <f>'Input 2 - Transactions'!B195</f>
        <v>0</v>
      </c>
      <c r="C193">
        <f>'Input 2 - Transactions'!C195</f>
        <v>0</v>
      </c>
      <c r="D193">
        <f>'Input 2 - Transactions'!D195</f>
        <v>0</v>
      </c>
      <c r="E193">
        <f>'Input 2 - Transactions'!E195</f>
        <v>0</v>
      </c>
      <c r="F193" s="29">
        <f>'Input 2 - Transactions'!F195</f>
        <v>0</v>
      </c>
      <c r="G193" s="29">
        <f>'Input 2 - Transactions'!G195</f>
        <v>0</v>
      </c>
      <c r="H193" t="e">
        <f>_xlfn.XLOOKUP(A193,'DB - Identities'!U:U,'DB - Identities'!B:B)</f>
        <v>#N/A</v>
      </c>
      <c r="I193" t="e">
        <f>_xlfn.XLOOKUP(H193,c_parties,'DB - Contracting Parties'!C:C)</f>
        <v>#N/A</v>
      </c>
      <c r="J193" t="e">
        <f>_xlfn.XLOOKUP(A193,'DB - Identities'!U:U,'DB - Identities'!Q:Q)</f>
        <v>#N/A</v>
      </c>
      <c r="K193" t="e">
        <f>_xlfn.XLOOKUP(D193,Static!J:J,Static!K:K)</f>
        <v>#N/A</v>
      </c>
      <c r="L193" t="e">
        <f>IF(I193="Bank",_xlfn.XLOOKUP(J193,'Pricing Sheet'!A:A,'Pricing Sheet'!B:B,'Pricing Sheet'!$B$6),IF(I193="Corporate",_xlfn.XLOOKUP(J193,'Pricing Sheet'!F:F,'Pricing Sheet'!G:G,'Pricing Sheet'!$G$6),0))</f>
        <v>#N/A</v>
      </c>
      <c r="M193" t="str">
        <f t="shared" ref="M193:M256" si="8">IF(AND(A193&lt;&gt;0,ISNA(H193)),"ERROR", "OK")</f>
        <v>OK</v>
      </c>
      <c r="N193" t="str">
        <f t="shared" ref="N193:N256" si="9">IF(AND(A193&lt;&gt;0,ISNA(J193)),"ERROR", "OK")</f>
        <v>OK</v>
      </c>
    </row>
    <row r="194" spans="1:14">
      <c r="A194">
        <f>'Input 2 - Transactions'!A196</f>
        <v>0</v>
      </c>
      <c r="B194">
        <f>'Input 2 - Transactions'!B196</f>
        <v>0</v>
      </c>
      <c r="C194">
        <f>'Input 2 - Transactions'!C196</f>
        <v>0</v>
      </c>
      <c r="D194">
        <f>'Input 2 - Transactions'!D196</f>
        <v>0</v>
      </c>
      <c r="E194">
        <f>'Input 2 - Transactions'!E196</f>
        <v>0</v>
      </c>
      <c r="F194" s="29">
        <f>'Input 2 - Transactions'!F196</f>
        <v>0</v>
      </c>
      <c r="G194" s="29">
        <f>'Input 2 - Transactions'!G196</f>
        <v>0</v>
      </c>
      <c r="H194" t="e">
        <f>_xlfn.XLOOKUP(A194,'DB - Identities'!U:U,'DB - Identities'!B:B)</f>
        <v>#N/A</v>
      </c>
      <c r="I194" t="e">
        <f>_xlfn.XLOOKUP(H194,c_parties,'DB - Contracting Parties'!C:C)</f>
        <v>#N/A</v>
      </c>
      <c r="J194" t="e">
        <f>_xlfn.XLOOKUP(A194,'DB - Identities'!U:U,'DB - Identities'!Q:Q)</f>
        <v>#N/A</v>
      </c>
      <c r="K194" t="e">
        <f>_xlfn.XLOOKUP(D194,Static!J:J,Static!K:K)</f>
        <v>#N/A</v>
      </c>
      <c r="L194" t="e">
        <f>IF(I194="Bank",_xlfn.XLOOKUP(J194,'Pricing Sheet'!A:A,'Pricing Sheet'!B:B,'Pricing Sheet'!$B$6),IF(I194="Corporate",_xlfn.XLOOKUP(J194,'Pricing Sheet'!F:F,'Pricing Sheet'!G:G,'Pricing Sheet'!$G$6),0))</f>
        <v>#N/A</v>
      </c>
      <c r="M194" t="str">
        <f t="shared" si="8"/>
        <v>OK</v>
      </c>
      <c r="N194" t="str">
        <f t="shared" si="9"/>
        <v>OK</v>
      </c>
    </row>
    <row r="195" spans="1:14">
      <c r="A195">
        <f>'Input 2 - Transactions'!A197</f>
        <v>0</v>
      </c>
      <c r="B195">
        <f>'Input 2 - Transactions'!B197</f>
        <v>0</v>
      </c>
      <c r="C195">
        <f>'Input 2 - Transactions'!C197</f>
        <v>0</v>
      </c>
      <c r="D195">
        <f>'Input 2 - Transactions'!D197</f>
        <v>0</v>
      </c>
      <c r="E195">
        <f>'Input 2 - Transactions'!E197</f>
        <v>0</v>
      </c>
      <c r="F195" s="29">
        <f>'Input 2 - Transactions'!F197</f>
        <v>0</v>
      </c>
      <c r="G195" s="29">
        <f>'Input 2 - Transactions'!G197</f>
        <v>0</v>
      </c>
      <c r="H195" t="e">
        <f>_xlfn.XLOOKUP(A195,'DB - Identities'!U:U,'DB - Identities'!B:B)</f>
        <v>#N/A</v>
      </c>
      <c r="I195" t="e">
        <f>_xlfn.XLOOKUP(H195,c_parties,'DB - Contracting Parties'!C:C)</f>
        <v>#N/A</v>
      </c>
      <c r="J195" t="e">
        <f>_xlfn.XLOOKUP(A195,'DB - Identities'!U:U,'DB - Identities'!Q:Q)</f>
        <v>#N/A</v>
      </c>
      <c r="K195" t="e">
        <f>_xlfn.XLOOKUP(D195,Static!J:J,Static!K:K)</f>
        <v>#N/A</v>
      </c>
      <c r="L195" t="e">
        <f>IF(I195="Bank",_xlfn.XLOOKUP(J195,'Pricing Sheet'!A:A,'Pricing Sheet'!B:B,'Pricing Sheet'!$B$6),IF(I195="Corporate",_xlfn.XLOOKUP(J195,'Pricing Sheet'!F:F,'Pricing Sheet'!G:G,'Pricing Sheet'!$G$6),0))</f>
        <v>#N/A</v>
      </c>
      <c r="M195" t="str">
        <f t="shared" si="8"/>
        <v>OK</v>
      </c>
      <c r="N195" t="str">
        <f t="shared" si="9"/>
        <v>OK</v>
      </c>
    </row>
    <row r="196" spans="1:14">
      <c r="A196">
        <f>'Input 2 - Transactions'!A198</f>
        <v>0</v>
      </c>
      <c r="B196">
        <f>'Input 2 - Transactions'!B198</f>
        <v>0</v>
      </c>
      <c r="C196">
        <f>'Input 2 - Transactions'!C198</f>
        <v>0</v>
      </c>
      <c r="D196">
        <f>'Input 2 - Transactions'!D198</f>
        <v>0</v>
      </c>
      <c r="E196">
        <f>'Input 2 - Transactions'!E198</f>
        <v>0</v>
      </c>
      <c r="F196" s="29">
        <f>'Input 2 - Transactions'!F198</f>
        <v>0</v>
      </c>
      <c r="G196" s="29">
        <f>'Input 2 - Transactions'!G198</f>
        <v>0</v>
      </c>
      <c r="H196" t="e">
        <f>_xlfn.XLOOKUP(A196,'DB - Identities'!U:U,'DB - Identities'!B:B)</f>
        <v>#N/A</v>
      </c>
      <c r="I196" t="e">
        <f>_xlfn.XLOOKUP(H196,c_parties,'DB - Contracting Parties'!C:C)</f>
        <v>#N/A</v>
      </c>
      <c r="J196" t="e">
        <f>_xlfn.XLOOKUP(A196,'DB - Identities'!U:U,'DB - Identities'!Q:Q)</f>
        <v>#N/A</v>
      </c>
      <c r="K196" t="e">
        <f>_xlfn.XLOOKUP(D196,Static!J:J,Static!K:K)</f>
        <v>#N/A</v>
      </c>
      <c r="L196" t="e">
        <f>IF(I196="Bank",_xlfn.XLOOKUP(J196,'Pricing Sheet'!A:A,'Pricing Sheet'!B:B,'Pricing Sheet'!$B$6),IF(I196="Corporate",_xlfn.XLOOKUP(J196,'Pricing Sheet'!F:F,'Pricing Sheet'!G:G,'Pricing Sheet'!$G$6),0))</f>
        <v>#N/A</v>
      </c>
      <c r="M196" t="str">
        <f t="shared" si="8"/>
        <v>OK</v>
      </c>
      <c r="N196" t="str">
        <f t="shared" si="9"/>
        <v>OK</v>
      </c>
    </row>
    <row r="197" spans="1:14">
      <c r="A197">
        <f>'Input 2 - Transactions'!A199</f>
        <v>0</v>
      </c>
      <c r="B197">
        <f>'Input 2 - Transactions'!B199</f>
        <v>0</v>
      </c>
      <c r="C197">
        <f>'Input 2 - Transactions'!C199</f>
        <v>0</v>
      </c>
      <c r="D197">
        <f>'Input 2 - Transactions'!D199</f>
        <v>0</v>
      </c>
      <c r="E197">
        <f>'Input 2 - Transactions'!E199</f>
        <v>0</v>
      </c>
      <c r="F197" s="29">
        <f>'Input 2 - Transactions'!F199</f>
        <v>0</v>
      </c>
      <c r="G197" s="29">
        <f>'Input 2 - Transactions'!G199</f>
        <v>0</v>
      </c>
      <c r="H197" t="e">
        <f>_xlfn.XLOOKUP(A197,'DB - Identities'!U:U,'DB - Identities'!B:B)</f>
        <v>#N/A</v>
      </c>
      <c r="I197" t="e">
        <f>_xlfn.XLOOKUP(H197,c_parties,'DB - Contracting Parties'!C:C)</f>
        <v>#N/A</v>
      </c>
      <c r="J197" t="e">
        <f>_xlfn.XLOOKUP(A197,'DB - Identities'!U:U,'DB - Identities'!Q:Q)</f>
        <v>#N/A</v>
      </c>
      <c r="K197" t="e">
        <f>_xlfn.XLOOKUP(D197,Static!J:J,Static!K:K)</f>
        <v>#N/A</v>
      </c>
      <c r="L197" t="e">
        <f>IF(I197="Bank",_xlfn.XLOOKUP(J197,'Pricing Sheet'!A:A,'Pricing Sheet'!B:B,'Pricing Sheet'!$B$6),IF(I197="Corporate",_xlfn.XLOOKUP(J197,'Pricing Sheet'!F:F,'Pricing Sheet'!G:G,'Pricing Sheet'!$G$6),0))</f>
        <v>#N/A</v>
      </c>
      <c r="M197" t="str">
        <f t="shared" si="8"/>
        <v>OK</v>
      </c>
      <c r="N197" t="str">
        <f t="shared" si="9"/>
        <v>OK</v>
      </c>
    </row>
    <row r="198" spans="1:14">
      <c r="A198">
        <f>'Input 2 - Transactions'!A200</f>
        <v>0</v>
      </c>
      <c r="B198">
        <f>'Input 2 - Transactions'!B200</f>
        <v>0</v>
      </c>
      <c r="C198">
        <f>'Input 2 - Transactions'!C200</f>
        <v>0</v>
      </c>
      <c r="D198">
        <f>'Input 2 - Transactions'!D200</f>
        <v>0</v>
      </c>
      <c r="E198">
        <f>'Input 2 - Transactions'!E200</f>
        <v>0</v>
      </c>
      <c r="F198" s="29">
        <f>'Input 2 - Transactions'!F200</f>
        <v>0</v>
      </c>
      <c r="G198" s="29">
        <f>'Input 2 - Transactions'!G200</f>
        <v>0</v>
      </c>
      <c r="H198" t="e">
        <f>_xlfn.XLOOKUP(A198,'DB - Identities'!U:U,'DB - Identities'!B:B)</f>
        <v>#N/A</v>
      </c>
      <c r="I198" t="e">
        <f>_xlfn.XLOOKUP(H198,c_parties,'DB - Contracting Parties'!C:C)</f>
        <v>#N/A</v>
      </c>
      <c r="J198" t="e">
        <f>_xlfn.XLOOKUP(A198,'DB - Identities'!U:U,'DB - Identities'!Q:Q)</f>
        <v>#N/A</v>
      </c>
      <c r="K198" t="e">
        <f>_xlfn.XLOOKUP(D198,Static!J:J,Static!K:K)</f>
        <v>#N/A</v>
      </c>
      <c r="L198" t="e">
        <f>IF(I198="Bank",_xlfn.XLOOKUP(J198,'Pricing Sheet'!A:A,'Pricing Sheet'!B:B,'Pricing Sheet'!$B$6),IF(I198="Corporate",_xlfn.XLOOKUP(J198,'Pricing Sheet'!F:F,'Pricing Sheet'!G:G,'Pricing Sheet'!$G$6),0))</f>
        <v>#N/A</v>
      </c>
      <c r="M198" t="str">
        <f t="shared" si="8"/>
        <v>OK</v>
      </c>
      <c r="N198" t="str">
        <f t="shared" si="9"/>
        <v>OK</v>
      </c>
    </row>
    <row r="199" spans="1:14">
      <c r="A199">
        <f>'Input 2 - Transactions'!A201</f>
        <v>0</v>
      </c>
      <c r="B199">
        <f>'Input 2 - Transactions'!B201</f>
        <v>0</v>
      </c>
      <c r="C199">
        <f>'Input 2 - Transactions'!C201</f>
        <v>0</v>
      </c>
      <c r="D199">
        <f>'Input 2 - Transactions'!D201</f>
        <v>0</v>
      </c>
      <c r="E199">
        <f>'Input 2 - Transactions'!E201</f>
        <v>0</v>
      </c>
      <c r="F199" s="29">
        <f>'Input 2 - Transactions'!F201</f>
        <v>0</v>
      </c>
      <c r="G199" s="29">
        <f>'Input 2 - Transactions'!G201</f>
        <v>0</v>
      </c>
      <c r="H199" t="e">
        <f>_xlfn.XLOOKUP(A199,'DB - Identities'!U:U,'DB - Identities'!B:B)</f>
        <v>#N/A</v>
      </c>
      <c r="I199" t="e">
        <f>_xlfn.XLOOKUP(H199,c_parties,'DB - Contracting Parties'!C:C)</f>
        <v>#N/A</v>
      </c>
      <c r="J199" t="e">
        <f>_xlfn.XLOOKUP(A199,'DB - Identities'!U:U,'DB - Identities'!Q:Q)</f>
        <v>#N/A</v>
      </c>
      <c r="K199" t="e">
        <f>_xlfn.XLOOKUP(D199,Static!J:J,Static!K:K)</f>
        <v>#N/A</v>
      </c>
      <c r="L199" t="e">
        <f>IF(I199="Bank",_xlfn.XLOOKUP(J199,'Pricing Sheet'!A:A,'Pricing Sheet'!B:B,'Pricing Sheet'!$B$6),IF(I199="Corporate",_xlfn.XLOOKUP(J199,'Pricing Sheet'!F:F,'Pricing Sheet'!G:G,'Pricing Sheet'!$G$6),0))</f>
        <v>#N/A</v>
      </c>
      <c r="M199" t="str">
        <f t="shared" si="8"/>
        <v>OK</v>
      </c>
      <c r="N199" t="str">
        <f t="shared" si="9"/>
        <v>OK</v>
      </c>
    </row>
    <row r="200" spans="1:14">
      <c r="A200">
        <f>'Input 2 - Transactions'!A202</f>
        <v>0</v>
      </c>
      <c r="B200">
        <f>'Input 2 - Transactions'!B202</f>
        <v>0</v>
      </c>
      <c r="C200">
        <f>'Input 2 - Transactions'!C202</f>
        <v>0</v>
      </c>
      <c r="D200">
        <f>'Input 2 - Transactions'!D202</f>
        <v>0</v>
      </c>
      <c r="E200">
        <f>'Input 2 - Transactions'!E202</f>
        <v>0</v>
      </c>
      <c r="F200" s="29">
        <f>'Input 2 - Transactions'!F202</f>
        <v>0</v>
      </c>
      <c r="G200" s="29">
        <f>'Input 2 - Transactions'!G202</f>
        <v>0</v>
      </c>
      <c r="H200" t="e">
        <f>_xlfn.XLOOKUP(A200,'DB - Identities'!U:U,'DB - Identities'!B:B)</f>
        <v>#N/A</v>
      </c>
      <c r="I200" t="e">
        <f>_xlfn.XLOOKUP(H200,c_parties,'DB - Contracting Parties'!C:C)</f>
        <v>#N/A</v>
      </c>
      <c r="J200" t="e">
        <f>_xlfn.XLOOKUP(A200,'DB - Identities'!U:U,'DB - Identities'!Q:Q)</f>
        <v>#N/A</v>
      </c>
      <c r="K200" t="e">
        <f>_xlfn.XLOOKUP(D200,Static!J:J,Static!K:K)</f>
        <v>#N/A</v>
      </c>
      <c r="L200" t="e">
        <f>IF(I200="Bank",_xlfn.XLOOKUP(J200,'Pricing Sheet'!A:A,'Pricing Sheet'!B:B,'Pricing Sheet'!$B$6),IF(I200="Corporate",_xlfn.XLOOKUP(J200,'Pricing Sheet'!F:F,'Pricing Sheet'!G:G,'Pricing Sheet'!$G$6),0))</f>
        <v>#N/A</v>
      </c>
      <c r="M200" t="str">
        <f t="shared" si="8"/>
        <v>OK</v>
      </c>
      <c r="N200" t="str">
        <f t="shared" si="9"/>
        <v>OK</v>
      </c>
    </row>
    <row r="201" spans="1:14">
      <c r="A201">
        <f>'Input 2 - Transactions'!A203</f>
        <v>0</v>
      </c>
      <c r="B201">
        <f>'Input 2 - Transactions'!B203</f>
        <v>0</v>
      </c>
      <c r="C201">
        <f>'Input 2 - Transactions'!C203</f>
        <v>0</v>
      </c>
      <c r="D201">
        <f>'Input 2 - Transactions'!D203</f>
        <v>0</v>
      </c>
      <c r="E201">
        <f>'Input 2 - Transactions'!E203</f>
        <v>0</v>
      </c>
      <c r="F201" s="29">
        <f>'Input 2 - Transactions'!F203</f>
        <v>0</v>
      </c>
      <c r="G201" s="29">
        <f>'Input 2 - Transactions'!G203</f>
        <v>0</v>
      </c>
      <c r="H201" t="e">
        <f>_xlfn.XLOOKUP(A201,'DB - Identities'!U:U,'DB - Identities'!B:B)</f>
        <v>#N/A</v>
      </c>
      <c r="I201" t="e">
        <f>_xlfn.XLOOKUP(H201,c_parties,'DB - Contracting Parties'!C:C)</f>
        <v>#N/A</v>
      </c>
      <c r="J201" t="e">
        <f>_xlfn.XLOOKUP(A201,'DB - Identities'!U:U,'DB - Identities'!Q:Q)</f>
        <v>#N/A</v>
      </c>
      <c r="K201" t="e">
        <f>_xlfn.XLOOKUP(D201,Static!J:J,Static!K:K)</f>
        <v>#N/A</v>
      </c>
      <c r="L201" t="e">
        <f>IF(I201="Bank",_xlfn.XLOOKUP(J201,'Pricing Sheet'!A:A,'Pricing Sheet'!B:B,'Pricing Sheet'!$B$6),IF(I201="Corporate",_xlfn.XLOOKUP(J201,'Pricing Sheet'!F:F,'Pricing Sheet'!G:G,'Pricing Sheet'!$G$6),0))</f>
        <v>#N/A</v>
      </c>
      <c r="M201" t="str">
        <f t="shared" si="8"/>
        <v>OK</v>
      </c>
      <c r="N201" t="str">
        <f t="shared" si="9"/>
        <v>OK</v>
      </c>
    </row>
    <row r="202" spans="1:14">
      <c r="A202">
        <f>'Input 2 - Transactions'!A204</f>
        <v>0</v>
      </c>
      <c r="B202">
        <f>'Input 2 - Transactions'!B204</f>
        <v>0</v>
      </c>
      <c r="C202">
        <f>'Input 2 - Transactions'!C204</f>
        <v>0</v>
      </c>
      <c r="D202">
        <f>'Input 2 - Transactions'!D204</f>
        <v>0</v>
      </c>
      <c r="E202">
        <f>'Input 2 - Transactions'!E204</f>
        <v>0</v>
      </c>
      <c r="F202" s="29">
        <f>'Input 2 - Transactions'!F204</f>
        <v>0</v>
      </c>
      <c r="G202" s="29">
        <f>'Input 2 - Transactions'!G204</f>
        <v>0</v>
      </c>
      <c r="H202" t="e">
        <f>_xlfn.XLOOKUP(A202,'DB - Identities'!U:U,'DB - Identities'!B:B)</f>
        <v>#N/A</v>
      </c>
      <c r="I202" t="e">
        <f>_xlfn.XLOOKUP(H202,c_parties,'DB - Contracting Parties'!C:C)</f>
        <v>#N/A</v>
      </c>
      <c r="J202" t="e">
        <f>_xlfn.XLOOKUP(A202,'DB - Identities'!U:U,'DB - Identities'!Q:Q)</f>
        <v>#N/A</v>
      </c>
      <c r="K202" t="e">
        <f>_xlfn.XLOOKUP(D202,Static!J:J,Static!K:K)</f>
        <v>#N/A</v>
      </c>
      <c r="L202" t="e">
        <f>IF(I202="Bank",_xlfn.XLOOKUP(J202,'Pricing Sheet'!A:A,'Pricing Sheet'!B:B,'Pricing Sheet'!$B$6),IF(I202="Corporate",_xlfn.XLOOKUP(J202,'Pricing Sheet'!F:F,'Pricing Sheet'!G:G,'Pricing Sheet'!$G$6),0))</f>
        <v>#N/A</v>
      </c>
      <c r="M202" t="str">
        <f t="shared" si="8"/>
        <v>OK</v>
      </c>
      <c r="N202" t="str">
        <f t="shared" si="9"/>
        <v>OK</v>
      </c>
    </row>
    <row r="203" spans="1:14">
      <c r="A203">
        <f>'Input 2 - Transactions'!A205</f>
        <v>0</v>
      </c>
      <c r="B203">
        <f>'Input 2 - Transactions'!B205</f>
        <v>0</v>
      </c>
      <c r="C203">
        <f>'Input 2 - Transactions'!C205</f>
        <v>0</v>
      </c>
      <c r="D203">
        <f>'Input 2 - Transactions'!D205</f>
        <v>0</v>
      </c>
      <c r="E203">
        <f>'Input 2 - Transactions'!E205</f>
        <v>0</v>
      </c>
      <c r="F203" s="29">
        <f>'Input 2 - Transactions'!F205</f>
        <v>0</v>
      </c>
      <c r="G203" s="29">
        <f>'Input 2 - Transactions'!G205</f>
        <v>0</v>
      </c>
      <c r="H203" t="e">
        <f>_xlfn.XLOOKUP(A203,'DB - Identities'!U:U,'DB - Identities'!B:B)</f>
        <v>#N/A</v>
      </c>
      <c r="I203" t="e">
        <f>_xlfn.XLOOKUP(H203,c_parties,'DB - Contracting Parties'!C:C)</f>
        <v>#N/A</v>
      </c>
      <c r="J203" t="e">
        <f>_xlfn.XLOOKUP(A203,'DB - Identities'!U:U,'DB - Identities'!Q:Q)</f>
        <v>#N/A</v>
      </c>
      <c r="K203" t="e">
        <f>_xlfn.XLOOKUP(D203,Static!J:J,Static!K:K)</f>
        <v>#N/A</v>
      </c>
      <c r="L203" t="e">
        <f>IF(I203="Bank",_xlfn.XLOOKUP(J203,'Pricing Sheet'!A:A,'Pricing Sheet'!B:B,'Pricing Sheet'!$B$6),IF(I203="Corporate",_xlfn.XLOOKUP(J203,'Pricing Sheet'!F:F,'Pricing Sheet'!G:G,'Pricing Sheet'!$G$6),0))</f>
        <v>#N/A</v>
      </c>
      <c r="M203" t="str">
        <f t="shared" si="8"/>
        <v>OK</v>
      </c>
      <c r="N203" t="str">
        <f t="shared" si="9"/>
        <v>OK</v>
      </c>
    </row>
    <row r="204" spans="1:14">
      <c r="A204">
        <f>'Input 2 - Transactions'!A206</f>
        <v>0</v>
      </c>
      <c r="B204">
        <f>'Input 2 - Transactions'!B206</f>
        <v>0</v>
      </c>
      <c r="C204">
        <f>'Input 2 - Transactions'!C206</f>
        <v>0</v>
      </c>
      <c r="D204">
        <f>'Input 2 - Transactions'!D206</f>
        <v>0</v>
      </c>
      <c r="E204">
        <f>'Input 2 - Transactions'!E206</f>
        <v>0</v>
      </c>
      <c r="F204" s="29">
        <f>'Input 2 - Transactions'!F206</f>
        <v>0</v>
      </c>
      <c r="G204" s="29">
        <f>'Input 2 - Transactions'!G206</f>
        <v>0</v>
      </c>
      <c r="H204" t="e">
        <f>_xlfn.XLOOKUP(A204,'DB - Identities'!U:U,'DB - Identities'!B:B)</f>
        <v>#N/A</v>
      </c>
      <c r="I204" t="e">
        <f>_xlfn.XLOOKUP(H204,c_parties,'DB - Contracting Parties'!C:C)</f>
        <v>#N/A</v>
      </c>
      <c r="J204" t="e">
        <f>_xlfn.XLOOKUP(A204,'DB - Identities'!U:U,'DB - Identities'!Q:Q)</f>
        <v>#N/A</v>
      </c>
      <c r="K204" t="e">
        <f>_xlfn.XLOOKUP(D204,Static!J:J,Static!K:K)</f>
        <v>#N/A</v>
      </c>
      <c r="L204" t="e">
        <f>IF(I204="Bank",_xlfn.XLOOKUP(J204,'Pricing Sheet'!A:A,'Pricing Sheet'!B:B,'Pricing Sheet'!$B$6),IF(I204="Corporate",_xlfn.XLOOKUP(J204,'Pricing Sheet'!F:F,'Pricing Sheet'!G:G,'Pricing Sheet'!$G$6),0))</f>
        <v>#N/A</v>
      </c>
      <c r="M204" t="str">
        <f t="shared" si="8"/>
        <v>OK</v>
      </c>
      <c r="N204" t="str">
        <f t="shared" si="9"/>
        <v>OK</v>
      </c>
    </row>
    <row r="205" spans="1:14">
      <c r="A205">
        <f>'Input 2 - Transactions'!A207</f>
        <v>0</v>
      </c>
      <c r="B205">
        <f>'Input 2 - Transactions'!B207</f>
        <v>0</v>
      </c>
      <c r="C205">
        <f>'Input 2 - Transactions'!C207</f>
        <v>0</v>
      </c>
      <c r="D205">
        <f>'Input 2 - Transactions'!D207</f>
        <v>0</v>
      </c>
      <c r="E205">
        <f>'Input 2 - Transactions'!E207</f>
        <v>0</v>
      </c>
      <c r="F205" s="29">
        <f>'Input 2 - Transactions'!F207</f>
        <v>0</v>
      </c>
      <c r="G205" s="29">
        <f>'Input 2 - Transactions'!G207</f>
        <v>0</v>
      </c>
      <c r="H205" t="e">
        <f>_xlfn.XLOOKUP(A205,'DB - Identities'!U:U,'DB - Identities'!B:B)</f>
        <v>#N/A</v>
      </c>
      <c r="I205" t="e">
        <f>_xlfn.XLOOKUP(H205,c_parties,'DB - Contracting Parties'!C:C)</f>
        <v>#N/A</v>
      </c>
      <c r="J205" t="e">
        <f>_xlfn.XLOOKUP(A205,'DB - Identities'!U:U,'DB - Identities'!Q:Q)</f>
        <v>#N/A</v>
      </c>
      <c r="K205" t="e">
        <f>_xlfn.XLOOKUP(D205,Static!J:J,Static!K:K)</f>
        <v>#N/A</v>
      </c>
      <c r="L205" t="e">
        <f>IF(I205="Bank",_xlfn.XLOOKUP(J205,'Pricing Sheet'!A:A,'Pricing Sheet'!B:B,'Pricing Sheet'!$B$6),IF(I205="Corporate",_xlfn.XLOOKUP(J205,'Pricing Sheet'!F:F,'Pricing Sheet'!G:G,'Pricing Sheet'!$G$6),0))</f>
        <v>#N/A</v>
      </c>
      <c r="M205" t="str">
        <f t="shared" si="8"/>
        <v>OK</v>
      </c>
      <c r="N205" t="str">
        <f t="shared" si="9"/>
        <v>OK</v>
      </c>
    </row>
    <row r="206" spans="1:14">
      <c r="A206">
        <f>'Input 2 - Transactions'!A208</f>
        <v>0</v>
      </c>
      <c r="B206">
        <f>'Input 2 - Transactions'!B208</f>
        <v>0</v>
      </c>
      <c r="C206">
        <f>'Input 2 - Transactions'!C208</f>
        <v>0</v>
      </c>
      <c r="D206">
        <f>'Input 2 - Transactions'!D208</f>
        <v>0</v>
      </c>
      <c r="E206">
        <f>'Input 2 - Transactions'!E208</f>
        <v>0</v>
      </c>
      <c r="F206" s="29">
        <f>'Input 2 - Transactions'!F208</f>
        <v>0</v>
      </c>
      <c r="G206" s="29">
        <f>'Input 2 - Transactions'!G208</f>
        <v>0</v>
      </c>
      <c r="H206" t="e">
        <f>_xlfn.XLOOKUP(A206,'DB - Identities'!U:U,'DB - Identities'!B:B)</f>
        <v>#N/A</v>
      </c>
      <c r="I206" t="e">
        <f>_xlfn.XLOOKUP(H206,c_parties,'DB - Contracting Parties'!C:C)</f>
        <v>#N/A</v>
      </c>
      <c r="J206" t="e">
        <f>_xlfn.XLOOKUP(A206,'DB - Identities'!U:U,'DB - Identities'!Q:Q)</f>
        <v>#N/A</v>
      </c>
      <c r="K206" t="e">
        <f>_xlfn.XLOOKUP(D206,Static!J:J,Static!K:K)</f>
        <v>#N/A</v>
      </c>
      <c r="L206" t="e">
        <f>IF(I206="Bank",_xlfn.XLOOKUP(J206,'Pricing Sheet'!A:A,'Pricing Sheet'!B:B,'Pricing Sheet'!$B$6),IF(I206="Corporate",_xlfn.XLOOKUP(J206,'Pricing Sheet'!F:F,'Pricing Sheet'!G:G,'Pricing Sheet'!$G$6),0))</f>
        <v>#N/A</v>
      </c>
      <c r="M206" t="str">
        <f t="shared" si="8"/>
        <v>OK</v>
      </c>
      <c r="N206" t="str">
        <f t="shared" si="9"/>
        <v>OK</v>
      </c>
    </row>
    <row r="207" spans="1:14">
      <c r="A207">
        <f>'Input 2 - Transactions'!A209</f>
        <v>0</v>
      </c>
      <c r="B207">
        <f>'Input 2 - Transactions'!B209</f>
        <v>0</v>
      </c>
      <c r="C207">
        <f>'Input 2 - Transactions'!C209</f>
        <v>0</v>
      </c>
      <c r="D207">
        <f>'Input 2 - Transactions'!D209</f>
        <v>0</v>
      </c>
      <c r="E207">
        <f>'Input 2 - Transactions'!E209</f>
        <v>0</v>
      </c>
      <c r="F207" s="29">
        <f>'Input 2 - Transactions'!F209</f>
        <v>0</v>
      </c>
      <c r="G207" s="29">
        <f>'Input 2 - Transactions'!G209</f>
        <v>0</v>
      </c>
      <c r="H207" t="e">
        <f>_xlfn.XLOOKUP(A207,'DB - Identities'!U:U,'DB - Identities'!B:B)</f>
        <v>#N/A</v>
      </c>
      <c r="I207" t="e">
        <f>_xlfn.XLOOKUP(H207,c_parties,'DB - Contracting Parties'!C:C)</f>
        <v>#N/A</v>
      </c>
      <c r="J207" t="e">
        <f>_xlfn.XLOOKUP(A207,'DB - Identities'!U:U,'DB - Identities'!Q:Q)</f>
        <v>#N/A</v>
      </c>
      <c r="K207" t="e">
        <f>_xlfn.XLOOKUP(D207,Static!J:J,Static!K:K)</f>
        <v>#N/A</v>
      </c>
      <c r="L207" t="e">
        <f>IF(I207="Bank",_xlfn.XLOOKUP(J207,'Pricing Sheet'!A:A,'Pricing Sheet'!B:B,'Pricing Sheet'!$B$6),IF(I207="Corporate",_xlfn.XLOOKUP(J207,'Pricing Sheet'!F:F,'Pricing Sheet'!G:G,'Pricing Sheet'!$G$6),0))</f>
        <v>#N/A</v>
      </c>
      <c r="M207" t="str">
        <f t="shared" si="8"/>
        <v>OK</v>
      </c>
      <c r="N207" t="str">
        <f t="shared" si="9"/>
        <v>OK</v>
      </c>
    </row>
    <row r="208" spans="1:14">
      <c r="A208">
        <f>'Input 2 - Transactions'!A210</f>
        <v>0</v>
      </c>
      <c r="B208">
        <f>'Input 2 - Transactions'!B210</f>
        <v>0</v>
      </c>
      <c r="C208">
        <f>'Input 2 - Transactions'!C210</f>
        <v>0</v>
      </c>
      <c r="D208">
        <f>'Input 2 - Transactions'!D210</f>
        <v>0</v>
      </c>
      <c r="E208">
        <f>'Input 2 - Transactions'!E210</f>
        <v>0</v>
      </c>
      <c r="F208" s="29">
        <f>'Input 2 - Transactions'!F210</f>
        <v>0</v>
      </c>
      <c r="G208" s="29">
        <f>'Input 2 - Transactions'!G210</f>
        <v>0</v>
      </c>
      <c r="H208" t="e">
        <f>_xlfn.XLOOKUP(A208,'DB - Identities'!U:U,'DB - Identities'!B:B)</f>
        <v>#N/A</v>
      </c>
      <c r="I208" t="e">
        <f>_xlfn.XLOOKUP(H208,c_parties,'DB - Contracting Parties'!C:C)</f>
        <v>#N/A</v>
      </c>
      <c r="J208" t="e">
        <f>_xlfn.XLOOKUP(A208,'DB - Identities'!U:U,'DB - Identities'!Q:Q)</f>
        <v>#N/A</v>
      </c>
      <c r="K208" t="e">
        <f>_xlfn.XLOOKUP(D208,Static!J:J,Static!K:K)</f>
        <v>#N/A</v>
      </c>
      <c r="L208" t="e">
        <f>IF(I208="Bank",_xlfn.XLOOKUP(J208,'Pricing Sheet'!A:A,'Pricing Sheet'!B:B,'Pricing Sheet'!$B$6),IF(I208="Corporate",_xlfn.XLOOKUP(J208,'Pricing Sheet'!F:F,'Pricing Sheet'!G:G,'Pricing Sheet'!$G$6),0))</f>
        <v>#N/A</v>
      </c>
      <c r="M208" t="str">
        <f t="shared" si="8"/>
        <v>OK</v>
      </c>
      <c r="N208" t="str">
        <f t="shared" si="9"/>
        <v>OK</v>
      </c>
    </row>
    <row r="209" spans="1:14">
      <c r="A209">
        <f>'Input 2 - Transactions'!A211</f>
        <v>0</v>
      </c>
      <c r="B209">
        <f>'Input 2 - Transactions'!B211</f>
        <v>0</v>
      </c>
      <c r="C209">
        <f>'Input 2 - Transactions'!C211</f>
        <v>0</v>
      </c>
      <c r="D209">
        <f>'Input 2 - Transactions'!D211</f>
        <v>0</v>
      </c>
      <c r="E209">
        <f>'Input 2 - Transactions'!E211</f>
        <v>0</v>
      </c>
      <c r="F209" s="29">
        <f>'Input 2 - Transactions'!F211</f>
        <v>0</v>
      </c>
      <c r="G209" s="29">
        <f>'Input 2 - Transactions'!G211</f>
        <v>0</v>
      </c>
      <c r="H209" t="e">
        <f>_xlfn.XLOOKUP(A209,'DB - Identities'!U:U,'DB - Identities'!B:B)</f>
        <v>#N/A</v>
      </c>
      <c r="I209" t="e">
        <f>_xlfn.XLOOKUP(H209,c_parties,'DB - Contracting Parties'!C:C)</f>
        <v>#N/A</v>
      </c>
      <c r="J209" t="e">
        <f>_xlfn.XLOOKUP(A209,'DB - Identities'!U:U,'DB - Identities'!Q:Q)</f>
        <v>#N/A</v>
      </c>
      <c r="K209" t="e">
        <f>_xlfn.XLOOKUP(D209,Static!J:J,Static!K:K)</f>
        <v>#N/A</v>
      </c>
      <c r="L209" t="e">
        <f>IF(I209="Bank",_xlfn.XLOOKUP(J209,'Pricing Sheet'!A:A,'Pricing Sheet'!B:B,'Pricing Sheet'!$B$6),IF(I209="Corporate",_xlfn.XLOOKUP(J209,'Pricing Sheet'!F:F,'Pricing Sheet'!G:G,'Pricing Sheet'!$G$6),0))</f>
        <v>#N/A</v>
      </c>
      <c r="M209" t="str">
        <f t="shared" si="8"/>
        <v>OK</v>
      </c>
      <c r="N209" t="str">
        <f t="shared" si="9"/>
        <v>OK</v>
      </c>
    </row>
    <row r="210" spans="1:14">
      <c r="A210">
        <f>'Input 2 - Transactions'!A212</f>
        <v>0</v>
      </c>
      <c r="B210">
        <f>'Input 2 - Transactions'!B212</f>
        <v>0</v>
      </c>
      <c r="C210">
        <f>'Input 2 - Transactions'!C212</f>
        <v>0</v>
      </c>
      <c r="D210">
        <f>'Input 2 - Transactions'!D212</f>
        <v>0</v>
      </c>
      <c r="E210">
        <f>'Input 2 - Transactions'!E212</f>
        <v>0</v>
      </c>
      <c r="F210" s="29">
        <f>'Input 2 - Transactions'!F212</f>
        <v>0</v>
      </c>
      <c r="G210" s="29">
        <f>'Input 2 - Transactions'!G212</f>
        <v>0</v>
      </c>
      <c r="H210" t="e">
        <f>_xlfn.XLOOKUP(A210,'DB - Identities'!U:U,'DB - Identities'!B:B)</f>
        <v>#N/A</v>
      </c>
      <c r="I210" t="e">
        <f>_xlfn.XLOOKUP(H210,c_parties,'DB - Contracting Parties'!C:C)</f>
        <v>#N/A</v>
      </c>
      <c r="J210" t="e">
        <f>_xlfn.XLOOKUP(A210,'DB - Identities'!U:U,'DB - Identities'!Q:Q)</f>
        <v>#N/A</v>
      </c>
      <c r="K210" t="e">
        <f>_xlfn.XLOOKUP(D210,Static!J:J,Static!K:K)</f>
        <v>#N/A</v>
      </c>
      <c r="L210" t="e">
        <f>IF(I210="Bank",_xlfn.XLOOKUP(J210,'Pricing Sheet'!A:A,'Pricing Sheet'!B:B,'Pricing Sheet'!$B$6),IF(I210="Corporate",_xlfn.XLOOKUP(J210,'Pricing Sheet'!F:F,'Pricing Sheet'!G:G,'Pricing Sheet'!$G$6),0))</f>
        <v>#N/A</v>
      </c>
      <c r="M210" t="str">
        <f t="shared" si="8"/>
        <v>OK</v>
      </c>
      <c r="N210" t="str">
        <f t="shared" si="9"/>
        <v>OK</v>
      </c>
    </row>
    <row r="211" spans="1:14">
      <c r="A211">
        <f>'Input 2 - Transactions'!A213</f>
        <v>0</v>
      </c>
      <c r="B211">
        <f>'Input 2 - Transactions'!B213</f>
        <v>0</v>
      </c>
      <c r="C211">
        <f>'Input 2 - Transactions'!C213</f>
        <v>0</v>
      </c>
      <c r="D211">
        <f>'Input 2 - Transactions'!D213</f>
        <v>0</v>
      </c>
      <c r="E211">
        <f>'Input 2 - Transactions'!E213</f>
        <v>0</v>
      </c>
      <c r="F211" s="29">
        <f>'Input 2 - Transactions'!F213</f>
        <v>0</v>
      </c>
      <c r="G211" s="29">
        <f>'Input 2 - Transactions'!G213</f>
        <v>0</v>
      </c>
      <c r="H211" t="e">
        <f>_xlfn.XLOOKUP(A211,'DB - Identities'!U:U,'DB - Identities'!B:B)</f>
        <v>#N/A</v>
      </c>
      <c r="I211" t="e">
        <f>_xlfn.XLOOKUP(H211,c_parties,'DB - Contracting Parties'!C:C)</f>
        <v>#N/A</v>
      </c>
      <c r="J211" t="e">
        <f>_xlfn.XLOOKUP(A211,'DB - Identities'!U:U,'DB - Identities'!Q:Q)</f>
        <v>#N/A</v>
      </c>
      <c r="K211" t="e">
        <f>_xlfn.XLOOKUP(D211,Static!J:J,Static!K:K)</f>
        <v>#N/A</v>
      </c>
      <c r="L211" t="e">
        <f>IF(I211="Bank",_xlfn.XLOOKUP(J211,'Pricing Sheet'!A:A,'Pricing Sheet'!B:B,'Pricing Sheet'!$B$6),IF(I211="Corporate",_xlfn.XLOOKUP(J211,'Pricing Sheet'!F:F,'Pricing Sheet'!G:G,'Pricing Sheet'!$G$6),0))</f>
        <v>#N/A</v>
      </c>
      <c r="M211" t="str">
        <f t="shared" si="8"/>
        <v>OK</v>
      </c>
      <c r="N211" t="str">
        <f t="shared" si="9"/>
        <v>OK</v>
      </c>
    </row>
    <row r="212" spans="1:14">
      <c r="A212">
        <f>'Input 2 - Transactions'!A214</f>
        <v>0</v>
      </c>
      <c r="B212">
        <f>'Input 2 - Transactions'!B214</f>
        <v>0</v>
      </c>
      <c r="C212">
        <f>'Input 2 - Transactions'!C214</f>
        <v>0</v>
      </c>
      <c r="D212">
        <f>'Input 2 - Transactions'!D214</f>
        <v>0</v>
      </c>
      <c r="E212">
        <f>'Input 2 - Transactions'!E214</f>
        <v>0</v>
      </c>
      <c r="F212" s="29">
        <f>'Input 2 - Transactions'!F214</f>
        <v>0</v>
      </c>
      <c r="G212" s="29">
        <f>'Input 2 - Transactions'!G214</f>
        <v>0</v>
      </c>
      <c r="H212" t="e">
        <f>_xlfn.XLOOKUP(A212,'DB - Identities'!U:U,'DB - Identities'!B:B)</f>
        <v>#N/A</v>
      </c>
      <c r="I212" t="e">
        <f>_xlfn.XLOOKUP(H212,c_parties,'DB - Contracting Parties'!C:C)</f>
        <v>#N/A</v>
      </c>
      <c r="J212" t="e">
        <f>_xlfn.XLOOKUP(A212,'DB - Identities'!U:U,'DB - Identities'!Q:Q)</f>
        <v>#N/A</v>
      </c>
      <c r="K212" t="e">
        <f>_xlfn.XLOOKUP(D212,Static!J:J,Static!K:K)</f>
        <v>#N/A</v>
      </c>
      <c r="L212" t="e">
        <f>IF(I212="Bank",_xlfn.XLOOKUP(J212,'Pricing Sheet'!A:A,'Pricing Sheet'!B:B,'Pricing Sheet'!$B$6),IF(I212="Corporate",_xlfn.XLOOKUP(J212,'Pricing Sheet'!F:F,'Pricing Sheet'!G:G,'Pricing Sheet'!$G$6),0))</f>
        <v>#N/A</v>
      </c>
      <c r="M212" t="str">
        <f t="shared" si="8"/>
        <v>OK</v>
      </c>
      <c r="N212" t="str">
        <f t="shared" si="9"/>
        <v>OK</v>
      </c>
    </row>
    <row r="213" spans="1:14">
      <c r="A213">
        <f>'Input 2 - Transactions'!A215</f>
        <v>0</v>
      </c>
      <c r="B213">
        <f>'Input 2 - Transactions'!B215</f>
        <v>0</v>
      </c>
      <c r="C213">
        <f>'Input 2 - Transactions'!C215</f>
        <v>0</v>
      </c>
      <c r="D213">
        <f>'Input 2 - Transactions'!D215</f>
        <v>0</v>
      </c>
      <c r="E213">
        <f>'Input 2 - Transactions'!E215</f>
        <v>0</v>
      </c>
      <c r="F213" s="29">
        <f>'Input 2 - Transactions'!F215</f>
        <v>0</v>
      </c>
      <c r="G213" s="29">
        <f>'Input 2 - Transactions'!G215</f>
        <v>0</v>
      </c>
      <c r="H213" t="e">
        <f>_xlfn.XLOOKUP(A213,'DB - Identities'!U:U,'DB - Identities'!B:B)</f>
        <v>#N/A</v>
      </c>
      <c r="I213" t="e">
        <f>_xlfn.XLOOKUP(H213,c_parties,'DB - Contracting Parties'!C:C)</f>
        <v>#N/A</v>
      </c>
      <c r="J213" t="e">
        <f>_xlfn.XLOOKUP(A213,'DB - Identities'!U:U,'DB - Identities'!Q:Q)</f>
        <v>#N/A</v>
      </c>
      <c r="K213" t="e">
        <f>_xlfn.XLOOKUP(D213,Static!J:J,Static!K:K)</f>
        <v>#N/A</v>
      </c>
      <c r="L213" t="e">
        <f>IF(I213="Bank",_xlfn.XLOOKUP(J213,'Pricing Sheet'!A:A,'Pricing Sheet'!B:B,'Pricing Sheet'!$B$6),IF(I213="Corporate",_xlfn.XLOOKUP(J213,'Pricing Sheet'!F:F,'Pricing Sheet'!G:G,'Pricing Sheet'!$G$6),0))</f>
        <v>#N/A</v>
      </c>
      <c r="M213" t="str">
        <f t="shared" si="8"/>
        <v>OK</v>
      </c>
      <c r="N213" t="str">
        <f t="shared" si="9"/>
        <v>OK</v>
      </c>
    </row>
    <row r="214" spans="1:14">
      <c r="A214">
        <f>'Input 2 - Transactions'!A216</f>
        <v>0</v>
      </c>
      <c r="B214">
        <f>'Input 2 - Transactions'!B216</f>
        <v>0</v>
      </c>
      <c r="C214">
        <f>'Input 2 - Transactions'!C216</f>
        <v>0</v>
      </c>
      <c r="D214">
        <f>'Input 2 - Transactions'!D216</f>
        <v>0</v>
      </c>
      <c r="E214">
        <f>'Input 2 - Transactions'!E216</f>
        <v>0</v>
      </c>
      <c r="F214" s="29">
        <f>'Input 2 - Transactions'!F216</f>
        <v>0</v>
      </c>
      <c r="G214" s="29">
        <f>'Input 2 - Transactions'!G216</f>
        <v>0</v>
      </c>
      <c r="H214" t="e">
        <f>_xlfn.XLOOKUP(A214,'DB - Identities'!U:U,'DB - Identities'!B:B)</f>
        <v>#N/A</v>
      </c>
      <c r="I214" t="e">
        <f>_xlfn.XLOOKUP(H214,c_parties,'DB - Contracting Parties'!C:C)</f>
        <v>#N/A</v>
      </c>
      <c r="J214" t="e">
        <f>_xlfn.XLOOKUP(A214,'DB - Identities'!U:U,'DB - Identities'!Q:Q)</f>
        <v>#N/A</v>
      </c>
      <c r="K214" t="e">
        <f>_xlfn.XLOOKUP(D214,Static!J:J,Static!K:K)</f>
        <v>#N/A</v>
      </c>
      <c r="L214" t="e">
        <f>IF(I214="Bank",_xlfn.XLOOKUP(J214,'Pricing Sheet'!A:A,'Pricing Sheet'!B:B,'Pricing Sheet'!$B$6),IF(I214="Corporate",_xlfn.XLOOKUP(J214,'Pricing Sheet'!F:F,'Pricing Sheet'!G:G,'Pricing Sheet'!$G$6),0))</f>
        <v>#N/A</v>
      </c>
      <c r="M214" t="str">
        <f t="shared" si="8"/>
        <v>OK</v>
      </c>
      <c r="N214" t="str">
        <f t="shared" si="9"/>
        <v>OK</v>
      </c>
    </row>
    <row r="215" spans="1:14">
      <c r="A215">
        <f>'Input 2 - Transactions'!A217</f>
        <v>0</v>
      </c>
      <c r="B215">
        <f>'Input 2 - Transactions'!B217</f>
        <v>0</v>
      </c>
      <c r="C215">
        <f>'Input 2 - Transactions'!C217</f>
        <v>0</v>
      </c>
      <c r="D215">
        <f>'Input 2 - Transactions'!D217</f>
        <v>0</v>
      </c>
      <c r="E215">
        <f>'Input 2 - Transactions'!E217</f>
        <v>0</v>
      </c>
      <c r="F215" s="29">
        <f>'Input 2 - Transactions'!F217</f>
        <v>0</v>
      </c>
      <c r="G215" s="29">
        <f>'Input 2 - Transactions'!G217</f>
        <v>0</v>
      </c>
      <c r="H215" t="e">
        <f>_xlfn.XLOOKUP(A215,'DB - Identities'!U:U,'DB - Identities'!B:B)</f>
        <v>#N/A</v>
      </c>
      <c r="I215" t="e">
        <f>_xlfn.XLOOKUP(H215,c_parties,'DB - Contracting Parties'!C:C)</f>
        <v>#N/A</v>
      </c>
      <c r="J215" t="e">
        <f>_xlfn.XLOOKUP(A215,'DB - Identities'!U:U,'DB - Identities'!Q:Q)</f>
        <v>#N/A</v>
      </c>
      <c r="K215" t="e">
        <f>_xlfn.XLOOKUP(D215,Static!J:J,Static!K:K)</f>
        <v>#N/A</v>
      </c>
      <c r="L215" t="e">
        <f>IF(I215="Bank",_xlfn.XLOOKUP(J215,'Pricing Sheet'!A:A,'Pricing Sheet'!B:B,'Pricing Sheet'!$B$6),IF(I215="Corporate",_xlfn.XLOOKUP(J215,'Pricing Sheet'!F:F,'Pricing Sheet'!G:G,'Pricing Sheet'!$G$6),0))</f>
        <v>#N/A</v>
      </c>
      <c r="M215" t="str">
        <f t="shared" si="8"/>
        <v>OK</v>
      </c>
      <c r="N215" t="str">
        <f t="shared" si="9"/>
        <v>OK</v>
      </c>
    </row>
    <row r="216" spans="1:14">
      <c r="A216">
        <f>'Input 2 - Transactions'!A218</f>
        <v>0</v>
      </c>
      <c r="B216">
        <f>'Input 2 - Transactions'!B218</f>
        <v>0</v>
      </c>
      <c r="C216">
        <f>'Input 2 - Transactions'!C218</f>
        <v>0</v>
      </c>
      <c r="D216">
        <f>'Input 2 - Transactions'!D218</f>
        <v>0</v>
      </c>
      <c r="E216">
        <f>'Input 2 - Transactions'!E218</f>
        <v>0</v>
      </c>
      <c r="F216" s="29">
        <f>'Input 2 - Transactions'!F218</f>
        <v>0</v>
      </c>
      <c r="G216" s="29">
        <f>'Input 2 - Transactions'!G218</f>
        <v>0</v>
      </c>
      <c r="H216" t="e">
        <f>_xlfn.XLOOKUP(A216,'DB - Identities'!U:U,'DB - Identities'!B:B)</f>
        <v>#N/A</v>
      </c>
      <c r="I216" t="e">
        <f>_xlfn.XLOOKUP(H216,c_parties,'DB - Contracting Parties'!C:C)</f>
        <v>#N/A</v>
      </c>
      <c r="J216" t="e">
        <f>_xlfn.XLOOKUP(A216,'DB - Identities'!U:U,'DB - Identities'!Q:Q)</f>
        <v>#N/A</v>
      </c>
      <c r="K216" t="e">
        <f>_xlfn.XLOOKUP(D216,Static!J:J,Static!K:K)</f>
        <v>#N/A</v>
      </c>
      <c r="L216" t="e">
        <f>IF(I216="Bank",_xlfn.XLOOKUP(J216,'Pricing Sheet'!A:A,'Pricing Sheet'!B:B,'Pricing Sheet'!$B$6),IF(I216="Corporate",_xlfn.XLOOKUP(J216,'Pricing Sheet'!F:F,'Pricing Sheet'!G:G,'Pricing Sheet'!$G$6),0))</f>
        <v>#N/A</v>
      </c>
      <c r="M216" t="str">
        <f t="shared" si="8"/>
        <v>OK</v>
      </c>
      <c r="N216" t="str">
        <f t="shared" si="9"/>
        <v>OK</v>
      </c>
    </row>
    <row r="217" spans="1:14">
      <c r="A217">
        <f>'Input 2 - Transactions'!A219</f>
        <v>0</v>
      </c>
      <c r="B217">
        <f>'Input 2 - Transactions'!B219</f>
        <v>0</v>
      </c>
      <c r="C217">
        <f>'Input 2 - Transactions'!C219</f>
        <v>0</v>
      </c>
      <c r="D217">
        <f>'Input 2 - Transactions'!D219</f>
        <v>0</v>
      </c>
      <c r="E217">
        <f>'Input 2 - Transactions'!E219</f>
        <v>0</v>
      </c>
      <c r="F217" s="29">
        <f>'Input 2 - Transactions'!F219</f>
        <v>0</v>
      </c>
      <c r="G217" s="29">
        <f>'Input 2 - Transactions'!G219</f>
        <v>0</v>
      </c>
      <c r="H217" t="e">
        <f>_xlfn.XLOOKUP(A217,'DB - Identities'!U:U,'DB - Identities'!B:B)</f>
        <v>#N/A</v>
      </c>
      <c r="I217" t="e">
        <f>_xlfn.XLOOKUP(H217,c_parties,'DB - Contracting Parties'!C:C)</f>
        <v>#N/A</v>
      </c>
      <c r="J217" t="e">
        <f>_xlfn.XLOOKUP(A217,'DB - Identities'!U:U,'DB - Identities'!Q:Q)</f>
        <v>#N/A</v>
      </c>
      <c r="K217" t="e">
        <f>_xlfn.XLOOKUP(D217,Static!J:J,Static!K:K)</f>
        <v>#N/A</v>
      </c>
      <c r="L217" t="e">
        <f>IF(I217="Bank",_xlfn.XLOOKUP(J217,'Pricing Sheet'!A:A,'Pricing Sheet'!B:B,'Pricing Sheet'!$B$6),IF(I217="Corporate",_xlfn.XLOOKUP(J217,'Pricing Sheet'!F:F,'Pricing Sheet'!G:G,'Pricing Sheet'!$G$6),0))</f>
        <v>#N/A</v>
      </c>
      <c r="M217" t="str">
        <f t="shared" si="8"/>
        <v>OK</v>
      </c>
      <c r="N217" t="str">
        <f t="shared" si="9"/>
        <v>OK</v>
      </c>
    </row>
    <row r="218" spans="1:14">
      <c r="A218">
        <f>'Input 2 - Transactions'!A220</f>
        <v>0</v>
      </c>
      <c r="B218">
        <f>'Input 2 - Transactions'!B220</f>
        <v>0</v>
      </c>
      <c r="C218">
        <f>'Input 2 - Transactions'!C220</f>
        <v>0</v>
      </c>
      <c r="D218">
        <f>'Input 2 - Transactions'!D220</f>
        <v>0</v>
      </c>
      <c r="E218">
        <f>'Input 2 - Transactions'!E220</f>
        <v>0</v>
      </c>
      <c r="F218" s="29">
        <f>'Input 2 - Transactions'!F220</f>
        <v>0</v>
      </c>
      <c r="G218" s="29">
        <f>'Input 2 - Transactions'!G220</f>
        <v>0</v>
      </c>
      <c r="H218" t="e">
        <f>_xlfn.XLOOKUP(A218,'DB - Identities'!U:U,'DB - Identities'!B:B)</f>
        <v>#N/A</v>
      </c>
      <c r="I218" t="e">
        <f>_xlfn.XLOOKUP(H218,c_parties,'DB - Contracting Parties'!C:C)</f>
        <v>#N/A</v>
      </c>
      <c r="J218" t="e">
        <f>_xlfn.XLOOKUP(A218,'DB - Identities'!U:U,'DB - Identities'!Q:Q)</f>
        <v>#N/A</v>
      </c>
      <c r="K218" t="e">
        <f>_xlfn.XLOOKUP(D218,Static!J:J,Static!K:K)</f>
        <v>#N/A</v>
      </c>
      <c r="L218" t="e">
        <f>IF(I218="Bank",_xlfn.XLOOKUP(J218,'Pricing Sheet'!A:A,'Pricing Sheet'!B:B,'Pricing Sheet'!$B$6),IF(I218="Corporate",_xlfn.XLOOKUP(J218,'Pricing Sheet'!F:F,'Pricing Sheet'!G:G,'Pricing Sheet'!$G$6),0))</f>
        <v>#N/A</v>
      </c>
      <c r="M218" t="str">
        <f t="shared" si="8"/>
        <v>OK</v>
      </c>
      <c r="N218" t="str">
        <f t="shared" si="9"/>
        <v>OK</v>
      </c>
    </row>
    <row r="219" spans="1:14">
      <c r="A219">
        <f>'Input 2 - Transactions'!A221</f>
        <v>0</v>
      </c>
      <c r="B219">
        <f>'Input 2 - Transactions'!B221</f>
        <v>0</v>
      </c>
      <c r="C219">
        <f>'Input 2 - Transactions'!C221</f>
        <v>0</v>
      </c>
      <c r="D219">
        <f>'Input 2 - Transactions'!D221</f>
        <v>0</v>
      </c>
      <c r="E219">
        <f>'Input 2 - Transactions'!E221</f>
        <v>0</v>
      </c>
      <c r="F219" s="29">
        <f>'Input 2 - Transactions'!F221</f>
        <v>0</v>
      </c>
      <c r="G219" s="29">
        <f>'Input 2 - Transactions'!G221</f>
        <v>0</v>
      </c>
      <c r="H219" t="e">
        <f>_xlfn.XLOOKUP(A219,'DB - Identities'!U:U,'DB - Identities'!B:B)</f>
        <v>#N/A</v>
      </c>
      <c r="I219" t="e">
        <f>_xlfn.XLOOKUP(H219,c_parties,'DB - Contracting Parties'!C:C)</f>
        <v>#N/A</v>
      </c>
      <c r="J219" t="e">
        <f>_xlfn.XLOOKUP(A219,'DB - Identities'!U:U,'DB - Identities'!Q:Q)</f>
        <v>#N/A</v>
      </c>
      <c r="K219" t="e">
        <f>_xlfn.XLOOKUP(D219,Static!J:J,Static!K:K)</f>
        <v>#N/A</v>
      </c>
      <c r="L219" t="e">
        <f>IF(I219="Bank",_xlfn.XLOOKUP(J219,'Pricing Sheet'!A:A,'Pricing Sheet'!B:B,'Pricing Sheet'!$B$6),IF(I219="Corporate",_xlfn.XLOOKUP(J219,'Pricing Sheet'!F:F,'Pricing Sheet'!G:G,'Pricing Sheet'!$G$6),0))</f>
        <v>#N/A</v>
      </c>
      <c r="M219" t="str">
        <f t="shared" si="8"/>
        <v>OK</v>
      </c>
      <c r="N219" t="str">
        <f t="shared" si="9"/>
        <v>OK</v>
      </c>
    </row>
    <row r="220" spans="1:14">
      <c r="A220">
        <f>'Input 2 - Transactions'!A222</f>
        <v>0</v>
      </c>
      <c r="B220">
        <f>'Input 2 - Transactions'!B222</f>
        <v>0</v>
      </c>
      <c r="C220">
        <f>'Input 2 - Transactions'!C222</f>
        <v>0</v>
      </c>
      <c r="D220">
        <f>'Input 2 - Transactions'!D222</f>
        <v>0</v>
      </c>
      <c r="E220">
        <f>'Input 2 - Transactions'!E222</f>
        <v>0</v>
      </c>
      <c r="F220" s="29">
        <f>'Input 2 - Transactions'!F222</f>
        <v>0</v>
      </c>
      <c r="G220" s="29">
        <f>'Input 2 - Transactions'!G222</f>
        <v>0</v>
      </c>
      <c r="H220" t="e">
        <f>_xlfn.XLOOKUP(A220,'DB - Identities'!U:U,'DB - Identities'!B:B)</f>
        <v>#N/A</v>
      </c>
      <c r="I220" t="e">
        <f>_xlfn.XLOOKUP(H220,c_parties,'DB - Contracting Parties'!C:C)</f>
        <v>#N/A</v>
      </c>
      <c r="J220" t="e">
        <f>_xlfn.XLOOKUP(A220,'DB - Identities'!U:U,'DB - Identities'!Q:Q)</f>
        <v>#N/A</v>
      </c>
      <c r="K220" t="e">
        <f>_xlfn.XLOOKUP(D220,Static!J:J,Static!K:K)</f>
        <v>#N/A</v>
      </c>
      <c r="L220" t="e">
        <f>IF(I220="Bank",_xlfn.XLOOKUP(J220,'Pricing Sheet'!A:A,'Pricing Sheet'!B:B,'Pricing Sheet'!$B$6),IF(I220="Corporate",_xlfn.XLOOKUP(J220,'Pricing Sheet'!F:F,'Pricing Sheet'!G:G,'Pricing Sheet'!$G$6),0))</f>
        <v>#N/A</v>
      </c>
      <c r="M220" t="str">
        <f t="shared" si="8"/>
        <v>OK</v>
      </c>
      <c r="N220" t="str">
        <f t="shared" si="9"/>
        <v>OK</v>
      </c>
    </row>
    <row r="221" spans="1:14">
      <c r="A221">
        <f>'Input 2 - Transactions'!A223</f>
        <v>0</v>
      </c>
      <c r="B221">
        <f>'Input 2 - Transactions'!B223</f>
        <v>0</v>
      </c>
      <c r="C221">
        <f>'Input 2 - Transactions'!C223</f>
        <v>0</v>
      </c>
      <c r="D221">
        <f>'Input 2 - Transactions'!D223</f>
        <v>0</v>
      </c>
      <c r="E221">
        <f>'Input 2 - Transactions'!E223</f>
        <v>0</v>
      </c>
      <c r="F221" s="29">
        <f>'Input 2 - Transactions'!F223</f>
        <v>0</v>
      </c>
      <c r="G221" s="29">
        <f>'Input 2 - Transactions'!G223</f>
        <v>0</v>
      </c>
      <c r="H221" t="e">
        <f>_xlfn.XLOOKUP(A221,'DB - Identities'!U:U,'DB - Identities'!B:B)</f>
        <v>#N/A</v>
      </c>
      <c r="I221" t="e">
        <f>_xlfn.XLOOKUP(H221,c_parties,'DB - Contracting Parties'!C:C)</f>
        <v>#N/A</v>
      </c>
      <c r="J221" t="e">
        <f>_xlfn.XLOOKUP(A221,'DB - Identities'!U:U,'DB - Identities'!Q:Q)</f>
        <v>#N/A</v>
      </c>
      <c r="K221" t="e">
        <f>_xlfn.XLOOKUP(D221,Static!J:J,Static!K:K)</f>
        <v>#N/A</v>
      </c>
      <c r="L221" t="e">
        <f>IF(I221="Bank",_xlfn.XLOOKUP(J221,'Pricing Sheet'!A:A,'Pricing Sheet'!B:B,'Pricing Sheet'!$B$6),IF(I221="Corporate",_xlfn.XLOOKUP(J221,'Pricing Sheet'!F:F,'Pricing Sheet'!G:G,'Pricing Sheet'!$G$6),0))</f>
        <v>#N/A</v>
      </c>
      <c r="M221" t="str">
        <f t="shared" si="8"/>
        <v>OK</v>
      </c>
      <c r="N221" t="str">
        <f t="shared" si="9"/>
        <v>OK</v>
      </c>
    </row>
    <row r="222" spans="1:14">
      <c r="A222">
        <f>'Input 2 - Transactions'!A224</f>
        <v>0</v>
      </c>
      <c r="B222">
        <f>'Input 2 - Transactions'!B224</f>
        <v>0</v>
      </c>
      <c r="C222">
        <f>'Input 2 - Transactions'!C224</f>
        <v>0</v>
      </c>
      <c r="D222">
        <f>'Input 2 - Transactions'!D224</f>
        <v>0</v>
      </c>
      <c r="E222">
        <f>'Input 2 - Transactions'!E224</f>
        <v>0</v>
      </c>
      <c r="F222" s="29">
        <f>'Input 2 - Transactions'!F224</f>
        <v>0</v>
      </c>
      <c r="G222" s="29">
        <f>'Input 2 - Transactions'!G224</f>
        <v>0</v>
      </c>
      <c r="H222" t="e">
        <f>_xlfn.XLOOKUP(A222,'DB - Identities'!U:U,'DB - Identities'!B:B)</f>
        <v>#N/A</v>
      </c>
      <c r="I222" t="e">
        <f>_xlfn.XLOOKUP(H222,c_parties,'DB - Contracting Parties'!C:C)</f>
        <v>#N/A</v>
      </c>
      <c r="J222" t="e">
        <f>_xlfn.XLOOKUP(A222,'DB - Identities'!U:U,'DB - Identities'!Q:Q)</f>
        <v>#N/A</v>
      </c>
      <c r="K222" t="e">
        <f>_xlfn.XLOOKUP(D222,Static!J:J,Static!K:K)</f>
        <v>#N/A</v>
      </c>
      <c r="L222" t="e">
        <f>IF(I222="Bank",_xlfn.XLOOKUP(J222,'Pricing Sheet'!A:A,'Pricing Sheet'!B:B,'Pricing Sheet'!$B$6),IF(I222="Corporate",_xlfn.XLOOKUP(J222,'Pricing Sheet'!F:F,'Pricing Sheet'!G:G,'Pricing Sheet'!$G$6),0))</f>
        <v>#N/A</v>
      </c>
      <c r="M222" t="str">
        <f t="shared" si="8"/>
        <v>OK</v>
      </c>
      <c r="N222" t="str">
        <f t="shared" si="9"/>
        <v>OK</v>
      </c>
    </row>
    <row r="223" spans="1:14">
      <c r="A223">
        <f>'Input 2 - Transactions'!A225</f>
        <v>0</v>
      </c>
      <c r="B223">
        <f>'Input 2 - Transactions'!B225</f>
        <v>0</v>
      </c>
      <c r="C223">
        <f>'Input 2 - Transactions'!C225</f>
        <v>0</v>
      </c>
      <c r="D223">
        <f>'Input 2 - Transactions'!D225</f>
        <v>0</v>
      </c>
      <c r="E223">
        <f>'Input 2 - Transactions'!E225</f>
        <v>0</v>
      </c>
      <c r="F223" s="29">
        <f>'Input 2 - Transactions'!F225</f>
        <v>0</v>
      </c>
      <c r="G223" s="29">
        <f>'Input 2 - Transactions'!G225</f>
        <v>0</v>
      </c>
      <c r="H223" t="e">
        <f>_xlfn.XLOOKUP(A223,'DB - Identities'!U:U,'DB - Identities'!B:B)</f>
        <v>#N/A</v>
      </c>
      <c r="I223" t="e">
        <f>_xlfn.XLOOKUP(H223,c_parties,'DB - Contracting Parties'!C:C)</f>
        <v>#N/A</v>
      </c>
      <c r="J223" t="e">
        <f>_xlfn.XLOOKUP(A223,'DB - Identities'!U:U,'DB - Identities'!Q:Q)</f>
        <v>#N/A</v>
      </c>
      <c r="K223" t="e">
        <f>_xlfn.XLOOKUP(D223,Static!J:J,Static!K:K)</f>
        <v>#N/A</v>
      </c>
      <c r="L223" t="e">
        <f>IF(I223="Bank",_xlfn.XLOOKUP(J223,'Pricing Sheet'!A:A,'Pricing Sheet'!B:B,'Pricing Sheet'!$B$6),IF(I223="Corporate",_xlfn.XLOOKUP(J223,'Pricing Sheet'!F:F,'Pricing Sheet'!G:G,'Pricing Sheet'!$G$6),0))</f>
        <v>#N/A</v>
      </c>
      <c r="M223" t="str">
        <f t="shared" si="8"/>
        <v>OK</v>
      </c>
      <c r="N223" t="str">
        <f t="shared" si="9"/>
        <v>OK</v>
      </c>
    </row>
    <row r="224" spans="1:14">
      <c r="A224">
        <f>'Input 2 - Transactions'!A226</f>
        <v>0</v>
      </c>
      <c r="B224">
        <f>'Input 2 - Transactions'!B226</f>
        <v>0</v>
      </c>
      <c r="C224">
        <f>'Input 2 - Transactions'!C226</f>
        <v>0</v>
      </c>
      <c r="D224">
        <f>'Input 2 - Transactions'!D226</f>
        <v>0</v>
      </c>
      <c r="E224">
        <f>'Input 2 - Transactions'!E226</f>
        <v>0</v>
      </c>
      <c r="F224" s="29">
        <f>'Input 2 - Transactions'!F226</f>
        <v>0</v>
      </c>
      <c r="G224" s="29">
        <f>'Input 2 - Transactions'!G226</f>
        <v>0</v>
      </c>
      <c r="H224" t="e">
        <f>_xlfn.XLOOKUP(A224,'DB - Identities'!U:U,'DB - Identities'!B:B)</f>
        <v>#N/A</v>
      </c>
      <c r="I224" t="e">
        <f>_xlfn.XLOOKUP(H224,c_parties,'DB - Contracting Parties'!C:C)</f>
        <v>#N/A</v>
      </c>
      <c r="J224" t="e">
        <f>_xlfn.XLOOKUP(A224,'DB - Identities'!U:U,'DB - Identities'!Q:Q)</f>
        <v>#N/A</v>
      </c>
      <c r="K224" t="e">
        <f>_xlfn.XLOOKUP(D224,Static!J:J,Static!K:K)</f>
        <v>#N/A</v>
      </c>
      <c r="L224" t="e">
        <f>IF(I224="Bank",_xlfn.XLOOKUP(J224,'Pricing Sheet'!A:A,'Pricing Sheet'!B:B,'Pricing Sheet'!$B$6),IF(I224="Corporate",_xlfn.XLOOKUP(J224,'Pricing Sheet'!F:F,'Pricing Sheet'!G:G,'Pricing Sheet'!$G$6),0))</f>
        <v>#N/A</v>
      </c>
      <c r="M224" t="str">
        <f t="shared" si="8"/>
        <v>OK</v>
      </c>
      <c r="N224" t="str">
        <f t="shared" si="9"/>
        <v>OK</v>
      </c>
    </row>
    <row r="225" spans="1:14">
      <c r="A225">
        <f>'Input 2 - Transactions'!A227</f>
        <v>0</v>
      </c>
      <c r="B225">
        <f>'Input 2 - Transactions'!B227</f>
        <v>0</v>
      </c>
      <c r="C225">
        <f>'Input 2 - Transactions'!C227</f>
        <v>0</v>
      </c>
      <c r="D225">
        <f>'Input 2 - Transactions'!D227</f>
        <v>0</v>
      </c>
      <c r="E225">
        <f>'Input 2 - Transactions'!E227</f>
        <v>0</v>
      </c>
      <c r="F225" s="29">
        <f>'Input 2 - Transactions'!F227</f>
        <v>0</v>
      </c>
      <c r="G225" s="29">
        <f>'Input 2 - Transactions'!G227</f>
        <v>0</v>
      </c>
      <c r="H225" t="e">
        <f>_xlfn.XLOOKUP(A225,'DB - Identities'!U:U,'DB - Identities'!B:B)</f>
        <v>#N/A</v>
      </c>
      <c r="I225" t="e">
        <f>_xlfn.XLOOKUP(H225,c_parties,'DB - Contracting Parties'!C:C)</f>
        <v>#N/A</v>
      </c>
      <c r="J225" t="e">
        <f>_xlfn.XLOOKUP(A225,'DB - Identities'!U:U,'DB - Identities'!Q:Q)</f>
        <v>#N/A</v>
      </c>
      <c r="K225" t="e">
        <f>_xlfn.XLOOKUP(D225,Static!J:J,Static!K:K)</f>
        <v>#N/A</v>
      </c>
      <c r="L225" t="e">
        <f>IF(I225="Bank",_xlfn.XLOOKUP(J225,'Pricing Sheet'!A:A,'Pricing Sheet'!B:B,'Pricing Sheet'!$B$6),IF(I225="Corporate",_xlfn.XLOOKUP(J225,'Pricing Sheet'!F:F,'Pricing Sheet'!G:G,'Pricing Sheet'!$G$6),0))</f>
        <v>#N/A</v>
      </c>
      <c r="M225" t="str">
        <f t="shared" si="8"/>
        <v>OK</v>
      </c>
      <c r="N225" t="str">
        <f t="shared" si="9"/>
        <v>OK</v>
      </c>
    </row>
    <row r="226" spans="1:14">
      <c r="A226">
        <f>'Input 2 - Transactions'!A228</f>
        <v>0</v>
      </c>
      <c r="B226">
        <f>'Input 2 - Transactions'!B228</f>
        <v>0</v>
      </c>
      <c r="C226">
        <f>'Input 2 - Transactions'!C228</f>
        <v>0</v>
      </c>
      <c r="D226">
        <f>'Input 2 - Transactions'!D228</f>
        <v>0</v>
      </c>
      <c r="E226">
        <f>'Input 2 - Transactions'!E228</f>
        <v>0</v>
      </c>
      <c r="F226" s="29">
        <f>'Input 2 - Transactions'!F228</f>
        <v>0</v>
      </c>
      <c r="G226" s="29">
        <f>'Input 2 - Transactions'!G228</f>
        <v>0</v>
      </c>
      <c r="H226" t="e">
        <f>_xlfn.XLOOKUP(A226,'DB - Identities'!U:U,'DB - Identities'!B:B)</f>
        <v>#N/A</v>
      </c>
      <c r="I226" t="e">
        <f>_xlfn.XLOOKUP(H226,c_parties,'DB - Contracting Parties'!C:C)</f>
        <v>#N/A</v>
      </c>
      <c r="J226" t="e">
        <f>_xlfn.XLOOKUP(A226,'DB - Identities'!U:U,'DB - Identities'!Q:Q)</f>
        <v>#N/A</v>
      </c>
      <c r="K226" t="e">
        <f>_xlfn.XLOOKUP(D226,Static!J:J,Static!K:K)</f>
        <v>#N/A</v>
      </c>
      <c r="L226" t="e">
        <f>IF(I226="Bank",_xlfn.XLOOKUP(J226,'Pricing Sheet'!A:A,'Pricing Sheet'!B:B,'Pricing Sheet'!$B$6),IF(I226="Corporate",_xlfn.XLOOKUP(J226,'Pricing Sheet'!F:F,'Pricing Sheet'!G:G,'Pricing Sheet'!$G$6),0))</f>
        <v>#N/A</v>
      </c>
      <c r="M226" t="str">
        <f t="shared" si="8"/>
        <v>OK</v>
      </c>
      <c r="N226" t="str">
        <f t="shared" si="9"/>
        <v>OK</v>
      </c>
    </row>
    <row r="227" spans="1:14">
      <c r="A227">
        <f>'Input 2 - Transactions'!A229</f>
        <v>0</v>
      </c>
      <c r="B227">
        <f>'Input 2 - Transactions'!B229</f>
        <v>0</v>
      </c>
      <c r="C227">
        <f>'Input 2 - Transactions'!C229</f>
        <v>0</v>
      </c>
      <c r="D227">
        <f>'Input 2 - Transactions'!D229</f>
        <v>0</v>
      </c>
      <c r="E227">
        <f>'Input 2 - Transactions'!E229</f>
        <v>0</v>
      </c>
      <c r="F227" s="29">
        <f>'Input 2 - Transactions'!F229</f>
        <v>0</v>
      </c>
      <c r="G227" s="29">
        <f>'Input 2 - Transactions'!G229</f>
        <v>0</v>
      </c>
      <c r="H227" t="e">
        <f>_xlfn.XLOOKUP(A227,'DB - Identities'!U:U,'DB - Identities'!B:B)</f>
        <v>#N/A</v>
      </c>
      <c r="I227" t="e">
        <f>_xlfn.XLOOKUP(H227,c_parties,'DB - Contracting Parties'!C:C)</f>
        <v>#N/A</v>
      </c>
      <c r="J227" t="e">
        <f>_xlfn.XLOOKUP(A227,'DB - Identities'!U:U,'DB - Identities'!Q:Q)</f>
        <v>#N/A</v>
      </c>
      <c r="K227" t="e">
        <f>_xlfn.XLOOKUP(D227,Static!J:J,Static!K:K)</f>
        <v>#N/A</v>
      </c>
      <c r="L227" t="e">
        <f>IF(I227="Bank",_xlfn.XLOOKUP(J227,'Pricing Sheet'!A:A,'Pricing Sheet'!B:B,'Pricing Sheet'!$B$6),IF(I227="Corporate",_xlfn.XLOOKUP(J227,'Pricing Sheet'!F:F,'Pricing Sheet'!G:G,'Pricing Sheet'!$G$6),0))</f>
        <v>#N/A</v>
      </c>
      <c r="M227" t="str">
        <f t="shared" si="8"/>
        <v>OK</v>
      </c>
      <c r="N227" t="str">
        <f t="shared" si="9"/>
        <v>OK</v>
      </c>
    </row>
    <row r="228" spans="1:14">
      <c r="A228">
        <f>'Input 2 - Transactions'!A230</f>
        <v>0</v>
      </c>
      <c r="B228">
        <f>'Input 2 - Transactions'!B230</f>
        <v>0</v>
      </c>
      <c r="C228">
        <f>'Input 2 - Transactions'!C230</f>
        <v>0</v>
      </c>
      <c r="D228">
        <f>'Input 2 - Transactions'!D230</f>
        <v>0</v>
      </c>
      <c r="E228">
        <f>'Input 2 - Transactions'!E230</f>
        <v>0</v>
      </c>
      <c r="F228" s="29">
        <f>'Input 2 - Transactions'!F230</f>
        <v>0</v>
      </c>
      <c r="G228" s="29">
        <f>'Input 2 - Transactions'!G230</f>
        <v>0</v>
      </c>
      <c r="H228" t="e">
        <f>_xlfn.XLOOKUP(A228,'DB - Identities'!U:U,'DB - Identities'!B:B)</f>
        <v>#N/A</v>
      </c>
      <c r="I228" t="e">
        <f>_xlfn.XLOOKUP(H228,c_parties,'DB - Contracting Parties'!C:C)</f>
        <v>#N/A</v>
      </c>
      <c r="J228" t="e">
        <f>_xlfn.XLOOKUP(A228,'DB - Identities'!U:U,'DB - Identities'!Q:Q)</f>
        <v>#N/A</v>
      </c>
      <c r="K228" t="e">
        <f>_xlfn.XLOOKUP(D228,Static!J:J,Static!K:K)</f>
        <v>#N/A</v>
      </c>
      <c r="L228" t="e">
        <f>IF(I228="Bank",_xlfn.XLOOKUP(J228,'Pricing Sheet'!A:A,'Pricing Sheet'!B:B,'Pricing Sheet'!$B$6),IF(I228="Corporate",_xlfn.XLOOKUP(J228,'Pricing Sheet'!F:F,'Pricing Sheet'!G:G,'Pricing Sheet'!$G$6),0))</f>
        <v>#N/A</v>
      </c>
      <c r="M228" t="str">
        <f t="shared" si="8"/>
        <v>OK</v>
      </c>
      <c r="N228" t="str">
        <f t="shared" si="9"/>
        <v>OK</v>
      </c>
    </row>
    <row r="229" spans="1:14">
      <c r="A229">
        <f>'Input 2 - Transactions'!A231</f>
        <v>0</v>
      </c>
      <c r="B229">
        <f>'Input 2 - Transactions'!B231</f>
        <v>0</v>
      </c>
      <c r="C229">
        <f>'Input 2 - Transactions'!C231</f>
        <v>0</v>
      </c>
      <c r="D229">
        <f>'Input 2 - Transactions'!D231</f>
        <v>0</v>
      </c>
      <c r="E229">
        <f>'Input 2 - Transactions'!E231</f>
        <v>0</v>
      </c>
      <c r="F229" s="29">
        <f>'Input 2 - Transactions'!F231</f>
        <v>0</v>
      </c>
      <c r="G229" s="29">
        <f>'Input 2 - Transactions'!G231</f>
        <v>0</v>
      </c>
      <c r="H229" t="e">
        <f>_xlfn.XLOOKUP(A229,'DB - Identities'!U:U,'DB - Identities'!B:B)</f>
        <v>#N/A</v>
      </c>
      <c r="I229" t="e">
        <f>_xlfn.XLOOKUP(H229,c_parties,'DB - Contracting Parties'!C:C)</f>
        <v>#N/A</v>
      </c>
      <c r="J229" t="e">
        <f>_xlfn.XLOOKUP(A229,'DB - Identities'!U:U,'DB - Identities'!Q:Q)</f>
        <v>#N/A</v>
      </c>
      <c r="K229" t="e">
        <f>_xlfn.XLOOKUP(D229,Static!J:J,Static!K:K)</f>
        <v>#N/A</v>
      </c>
      <c r="L229" t="e">
        <f>IF(I229="Bank",_xlfn.XLOOKUP(J229,'Pricing Sheet'!A:A,'Pricing Sheet'!B:B,'Pricing Sheet'!$B$6),IF(I229="Corporate",_xlfn.XLOOKUP(J229,'Pricing Sheet'!F:F,'Pricing Sheet'!G:G,'Pricing Sheet'!$G$6),0))</f>
        <v>#N/A</v>
      </c>
      <c r="M229" t="str">
        <f t="shared" si="8"/>
        <v>OK</v>
      </c>
      <c r="N229" t="str">
        <f t="shared" si="9"/>
        <v>OK</v>
      </c>
    </row>
    <row r="230" spans="1:14">
      <c r="A230">
        <f>'Input 2 - Transactions'!A232</f>
        <v>0</v>
      </c>
      <c r="B230">
        <f>'Input 2 - Transactions'!B232</f>
        <v>0</v>
      </c>
      <c r="C230">
        <f>'Input 2 - Transactions'!C232</f>
        <v>0</v>
      </c>
      <c r="D230">
        <f>'Input 2 - Transactions'!D232</f>
        <v>0</v>
      </c>
      <c r="E230">
        <f>'Input 2 - Transactions'!E232</f>
        <v>0</v>
      </c>
      <c r="F230" s="29">
        <f>'Input 2 - Transactions'!F232</f>
        <v>0</v>
      </c>
      <c r="G230" s="29">
        <f>'Input 2 - Transactions'!G232</f>
        <v>0</v>
      </c>
      <c r="H230" t="e">
        <f>_xlfn.XLOOKUP(A230,'DB - Identities'!U:U,'DB - Identities'!B:B)</f>
        <v>#N/A</v>
      </c>
      <c r="I230" t="e">
        <f>_xlfn.XLOOKUP(H230,c_parties,'DB - Contracting Parties'!C:C)</f>
        <v>#N/A</v>
      </c>
      <c r="J230" t="e">
        <f>_xlfn.XLOOKUP(A230,'DB - Identities'!U:U,'DB - Identities'!Q:Q)</f>
        <v>#N/A</v>
      </c>
      <c r="K230" t="e">
        <f>_xlfn.XLOOKUP(D230,Static!J:J,Static!K:K)</f>
        <v>#N/A</v>
      </c>
      <c r="L230" t="e">
        <f>IF(I230="Bank",_xlfn.XLOOKUP(J230,'Pricing Sheet'!A:A,'Pricing Sheet'!B:B,'Pricing Sheet'!$B$6),IF(I230="Corporate",_xlfn.XLOOKUP(J230,'Pricing Sheet'!F:F,'Pricing Sheet'!G:G,'Pricing Sheet'!$G$6),0))</f>
        <v>#N/A</v>
      </c>
      <c r="M230" t="str">
        <f t="shared" si="8"/>
        <v>OK</v>
      </c>
      <c r="N230" t="str">
        <f t="shared" si="9"/>
        <v>OK</v>
      </c>
    </row>
    <row r="231" spans="1:14">
      <c r="A231">
        <f>'Input 2 - Transactions'!A233</f>
        <v>0</v>
      </c>
      <c r="B231">
        <f>'Input 2 - Transactions'!B233</f>
        <v>0</v>
      </c>
      <c r="C231">
        <f>'Input 2 - Transactions'!C233</f>
        <v>0</v>
      </c>
      <c r="D231">
        <f>'Input 2 - Transactions'!D233</f>
        <v>0</v>
      </c>
      <c r="E231">
        <f>'Input 2 - Transactions'!E233</f>
        <v>0</v>
      </c>
      <c r="F231" s="29">
        <f>'Input 2 - Transactions'!F233</f>
        <v>0</v>
      </c>
      <c r="G231" s="29">
        <f>'Input 2 - Transactions'!G233</f>
        <v>0</v>
      </c>
      <c r="H231" t="e">
        <f>_xlfn.XLOOKUP(A231,'DB - Identities'!U:U,'DB - Identities'!B:B)</f>
        <v>#N/A</v>
      </c>
      <c r="I231" t="e">
        <f>_xlfn.XLOOKUP(H231,c_parties,'DB - Contracting Parties'!C:C)</f>
        <v>#N/A</v>
      </c>
      <c r="J231" t="e">
        <f>_xlfn.XLOOKUP(A231,'DB - Identities'!U:U,'DB - Identities'!Q:Q)</f>
        <v>#N/A</v>
      </c>
      <c r="K231" t="e">
        <f>_xlfn.XLOOKUP(D231,Static!J:J,Static!K:K)</f>
        <v>#N/A</v>
      </c>
      <c r="L231" t="e">
        <f>IF(I231="Bank",_xlfn.XLOOKUP(J231,'Pricing Sheet'!A:A,'Pricing Sheet'!B:B,'Pricing Sheet'!$B$6),IF(I231="Corporate",_xlfn.XLOOKUP(J231,'Pricing Sheet'!F:F,'Pricing Sheet'!G:G,'Pricing Sheet'!$G$6),0))</f>
        <v>#N/A</v>
      </c>
      <c r="M231" t="str">
        <f t="shared" si="8"/>
        <v>OK</v>
      </c>
      <c r="N231" t="str">
        <f t="shared" si="9"/>
        <v>OK</v>
      </c>
    </row>
    <row r="232" spans="1:14">
      <c r="A232">
        <f>'Input 2 - Transactions'!A234</f>
        <v>0</v>
      </c>
      <c r="B232">
        <f>'Input 2 - Transactions'!B234</f>
        <v>0</v>
      </c>
      <c r="C232">
        <f>'Input 2 - Transactions'!C234</f>
        <v>0</v>
      </c>
      <c r="D232">
        <f>'Input 2 - Transactions'!D234</f>
        <v>0</v>
      </c>
      <c r="E232">
        <f>'Input 2 - Transactions'!E234</f>
        <v>0</v>
      </c>
      <c r="F232" s="29">
        <f>'Input 2 - Transactions'!F234</f>
        <v>0</v>
      </c>
      <c r="G232" s="29">
        <f>'Input 2 - Transactions'!G234</f>
        <v>0</v>
      </c>
      <c r="H232" t="e">
        <f>_xlfn.XLOOKUP(A232,'DB - Identities'!U:U,'DB - Identities'!B:B)</f>
        <v>#N/A</v>
      </c>
      <c r="I232" t="e">
        <f>_xlfn.XLOOKUP(H232,c_parties,'DB - Contracting Parties'!C:C)</f>
        <v>#N/A</v>
      </c>
      <c r="J232" t="e">
        <f>_xlfn.XLOOKUP(A232,'DB - Identities'!U:U,'DB - Identities'!Q:Q)</f>
        <v>#N/A</v>
      </c>
      <c r="K232" t="e">
        <f>_xlfn.XLOOKUP(D232,Static!J:J,Static!K:K)</f>
        <v>#N/A</v>
      </c>
      <c r="L232" t="e">
        <f>IF(I232="Bank",_xlfn.XLOOKUP(J232,'Pricing Sheet'!A:A,'Pricing Sheet'!B:B,'Pricing Sheet'!$B$6),IF(I232="Corporate",_xlfn.XLOOKUP(J232,'Pricing Sheet'!F:F,'Pricing Sheet'!G:G,'Pricing Sheet'!$G$6),0))</f>
        <v>#N/A</v>
      </c>
      <c r="M232" t="str">
        <f t="shared" si="8"/>
        <v>OK</v>
      </c>
      <c r="N232" t="str">
        <f t="shared" si="9"/>
        <v>OK</v>
      </c>
    </row>
    <row r="233" spans="1:14">
      <c r="A233">
        <f>'Input 2 - Transactions'!A235</f>
        <v>0</v>
      </c>
      <c r="B233">
        <f>'Input 2 - Transactions'!B235</f>
        <v>0</v>
      </c>
      <c r="C233">
        <f>'Input 2 - Transactions'!C235</f>
        <v>0</v>
      </c>
      <c r="D233">
        <f>'Input 2 - Transactions'!D235</f>
        <v>0</v>
      </c>
      <c r="E233">
        <f>'Input 2 - Transactions'!E235</f>
        <v>0</v>
      </c>
      <c r="F233" s="29">
        <f>'Input 2 - Transactions'!F235</f>
        <v>0</v>
      </c>
      <c r="G233" s="29">
        <f>'Input 2 - Transactions'!G235</f>
        <v>0</v>
      </c>
      <c r="H233" t="e">
        <f>_xlfn.XLOOKUP(A233,'DB - Identities'!U:U,'DB - Identities'!B:B)</f>
        <v>#N/A</v>
      </c>
      <c r="I233" t="e">
        <f>_xlfn.XLOOKUP(H233,c_parties,'DB - Contracting Parties'!C:C)</f>
        <v>#N/A</v>
      </c>
      <c r="J233" t="e">
        <f>_xlfn.XLOOKUP(A233,'DB - Identities'!U:U,'DB - Identities'!Q:Q)</f>
        <v>#N/A</v>
      </c>
      <c r="K233" t="e">
        <f>_xlfn.XLOOKUP(D233,Static!J:J,Static!K:K)</f>
        <v>#N/A</v>
      </c>
      <c r="L233" t="e">
        <f>IF(I233="Bank",_xlfn.XLOOKUP(J233,'Pricing Sheet'!A:A,'Pricing Sheet'!B:B,'Pricing Sheet'!$B$6),IF(I233="Corporate",_xlfn.XLOOKUP(J233,'Pricing Sheet'!F:F,'Pricing Sheet'!G:G,'Pricing Sheet'!$G$6),0))</f>
        <v>#N/A</v>
      </c>
      <c r="M233" t="str">
        <f t="shared" si="8"/>
        <v>OK</v>
      </c>
      <c r="N233" t="str">
        <f t="shared" si="9"/>
        <v>OK</v>
      </c>
    </row>
    <row r="234" spans="1:14">
      <c r="A234">
        <f>'Input 2 - Transactions'!A236</f>
        <v>0</v>
      </c>
      <c r="B234">
        <f>'Input 2 - Transactions'!B236</f>
        <v>0</v>
      </c>
      <c r="C234">
        <f>'Input 2 - Transactions'!C236</f>
        <v>0</v>
      </c>
      <c r="D234">
        <f>'Input 2 - Transactions'!D236</f>
        <v>0</v>
      </c>
      <c r="E234">
        <f>'Input 2 - Transactions'!E236</f>
        <v>0</v>
      </c>
      <c r="F234" s="29">
        <f>'Input 2 - Transactions'!F236</f>
        <v>0</v>
      </c>
      <c r="G234" s="29">
        <f>'Input 2 - Transactions'!G236</f>
        <v>0</v>
      </c>
      <c r="H234" t="e">
        <f>_xlfn.XLOOKUP(A234,'DB - Identities'!U:U,'DB - Identities'!B:B)</f>
        <v>#N/A</v>
      </c>
      <c r="I234" t="e">
        <f>_xlfn.XLOOKUP(H234,c_parties,'DB - Contracting Parties'!C:C)</f>
        <v>#N/A</v>
      </c>
      <c r="J234" t="e">
        <f>_xlfn.XLOOKUP(A234,'DB - Identities'!U:U,'DB - Identities'!Q:Q)</f>
        <v>#N/A</v>
      </c>
      <c r="K234" t="e">
        <f>_xlfn.XLOOKUP(D234,Static!J:J,Static!K:K)</f>
        <v>#N/A</v>
      </c>
      <c r="L234" t="e">
        <f>IF(I234="Bank",_xlfn.XLOOKUP(J234,'Pricing Sheet'!A:A,'Pricing Sheet'!B:B,'Pricing Sheet'!$B$6),IF(I234="Corporate",_xlfn.XLOOKUP(J234,'Pricing Sheet'!F:F,'Pricing Sheet'!G:G,'Pricing Sheet'!$G$6),0))</f>
        <v>#N/A</v>
      </c>
      <c r="M234" t="str">
        <f t="shared" si="8"/>
        <v>OK</v>
      </c>
      <c r="N234" t="str">
        <f t="shared" si="9"/>
        <v>OK</v>
      </c>
    </row>
    <row r="235" spans="1:14">
      <c r="A235">
        <f>'Input 2 - Transactions'!A237</f>
        <v>0</v>
      </c>
      <c r="B235">
        <f>'Input 2 - Transactions'!B237</f>
        <v>0</v>
      </c>
      <c r="C235">
        <f>'Input 2 - Transactions'!C237</f>
        <v>0</v>
      </c>
      <c r="D235">
        <f>'Input 2 - Transactions'!D237</f>
        <v>0</v>
      </c>
      <c r="E235">
        <f>'Input 2 - Transactions'!E237</f>
        <v>0</v>
      </c>
      <c r="F235" s="29">
        <f>'Input 2 - Transactions'!F237</f>
        <v>0</v>
      </c>
      <c r="G235" s="29">
        <f>'Input 2 - Transactions'!G237</f>
        <v>0</v>
      </c>
      <c r="H235" t="e">
        <f>_xlfn.XLOOKUP(A235,'DB - Identities'!U:U,'DB - Identities'!B:B)</f>
        <v>#N/A</v>
      </c>
      <c r="I235" t="e">
        <f>_xlfn.XLOOKUP(H235,c_parties,'DB - Contracting Parties'!C:C)</f>
        <v>#N/A</v>
      </c>
      <c r="J235" t="e">
        <f>_xlfn.XLOOKUP(A235,'DB - Identities'!U:U,'DB - Identities'!Q:Q)</f>
        <v>#N/A</v>
      </c>
      <c r="K235" t="e">
        <f>_xlfn.XLOOKUP(D235,Static!J:J,Static!K:K)</f>
        <v>#N/A</v>
      </c>
      <c r="L235" t="e">
        <f>IF(I235="Bank",_xlfn.XLOOKUP(J235,'Pricing Sheet'!A:A,'Pricing Sheet'!B:B,'Pricing Sheet'!$B$6),IF(I235="Corporate",_xlfn.XLOOKUP(J235,'Pricing Sheet'!F:F,'Pricing Sheet'!G:G,'Pricing Sheet'!$G$6),0))</f>
        <v>#N/A</v>
      </c>
      <c r="M235" t="str">
        <f t="shared" si="8"/>
        <v>OK</v>
      </c>
      <c r="N235" t="str">
        <f t="shared" si="9"/>
        <v>OK</v>
      </c>
    </row>
    <row r="236" spans="1:14">
      <c r="A236">
        <f>'Input 2 - Transactions'!A238</f>
        <v>0</v>
      </c>
      <c r="B236">
        <f>'Input 2 - Transactions'!B238</f>
        <v>0</v>
      </c>
      <c r="C236">
        <f>'Input 2 - Transactions'!C238</f>
        <v>0</v>
      </c>
      <c r="D236">
        <f>'Input 2 - Transactions'!D238</f>
        <v>0</v>
      </c>
      <c r="E236">
        <f>'Input 2 - Transactions'!E238</f>
        <v>0</v>
      </c>
      <c r="F236" s="29">
        <f>'Input 2 - Transactions'!F238</f>
        <v>0</v>
      </c>
      <c r="G236" s="29">
        <f>'Input 2 - Transactions'!G238</f>
        <v>0</v>
      </c>
      <c r="H236" t="e">
        <f>_xlfn.XLOOKUP(A236,'DB - Identities'!U:U,'DB - Identities'!B:B)</f>
        <v>#N/A</v>
      </c>
      <c r="I236" t="e">
        <f>_xlfn.XLOOKUP(H236,c_parties,'DB - Contracting Parties'!C:C)</f>
        <v>#N/A</v>
      </c>
      <c r="J236" t="e">
        <f>_xlfn.XLOOKUP(A236,'DB - Identities'!U:U,'DB - Identities'!Q:Q)</f>
        <v>#N/A</v>
      </c>
      <c r="K236" t="e">
        <f>_xlfn.XLOOKUP(D236,Static!J:J,Static!K:K)</f>
        <v>#N/A</v>
      </c>
      <c r="L236" t="e">
        <f>IF(I236="Bank",_xlfn.XLOOKUP(J236,'Pricing Sheet'!A:A,'Pricing Sheet'!B:B,'Pricing Sheet'!$B$6),IF(I236="Corporate",_xlfn.XLOOKUP(J236,'Pricing Sheet'!F:F,'Pricing Sheet'!G:G,'Pricing Sheet'!$G$6),0))</f>
        <v>#N/A</v>
      </c>
      <c r="M236" t="str">
        <f t="shared" si="8"/>
        <v>OK</v>
      </c>
      <c r="N236" t="str">
        <f t="shared" si="9"/>
        <v>OK</v>
      </c>
    </row>
    <row r="237" spans="1:14">
      <c r="A237">
        <f>'Input 2 - Transactions'!A239</f>
        <v>0</v>
      </c>
      <c r="B237">
        <f>'Input 2 - Transactions'!B239</f>
        <v>0</v>
      </c>
      <c r="C237">
        <f>'Input 2 - Transactions'!C239</f>
        <v>0</v>
      </c>
      <c r="D237">
        <f>'Input 2 - Transactions'!D239</f>
        <v>0</v>
      </c>
      <c r="E237">
        <f>'Input 2 - Transactions'!E239</f>
        <v>0</v>
      </c>
      <c r="F237" s="29">
        <f>'Input 2 - Transactions'!F239</f>
        <v>0</v>
      </c>
      <c r="G237" s="29">
        <f>'Input 2 - Transactions'!G239</f>
        <v>0</v>
      </c>
      <c r="H237" t="e">
        <f>_xlfn.XLOOKUP(A237,'DB - Identities'!U:U,'DB - Identities'!B:B)</f>
        <v>#N/A</v>
      </c>
      <c r="I237" t="e">
        <f>_xlfn.XLOOKUP(H237,c_parties,'DB - Contracting Parties'!C:C)</f>
        <v>#N/A</v>
      </c>
      <c r="J237" t="e">
        <f>_xlfn.XLOOKUP(A237,'DB - Identities'!U:U,'DB - Identities'!Q:Q)</f>
        <v>#N/A</v>
      </c>
      <c r="K237" t="e">
        <f>_xlfn.XLOOKUP(D237,Static!J:J,Static!K:K)</f>
        <v>#N/A</v>
      </c>
      <c r="L237" t="e">
        <f>IF(I237="Bank",_xlfn.XLOOKUP(J237,'Pricing Sheet'!A:A,'Pricing Sheet'!B:B,'Pricing Sheet'!$B$6),IF(I237="Corporate",_xlfn.XLOOKUP(J237,'Pricing Sheet'!F:F,'Pricing Sheet'!G:G,'Pricing Sheet'!$G$6),0))</f>
        <v>#N/A</v>
      </c>
      <c r="M237" t="str">
        <f t="shared" si="8"/>
        <v>OK</v>
      </c>
      <c r="N237" t="str">
        <f t="shared" si="9"/>
        <v>OK</v>
      </c>
    </row>
    <row r="238" spans="1:14">
      <c r="A238">
        <f>'Input 2 - Transactions'!A240</f>
        <v>0</v>
      </c>
      <c r="B238">
        <f>'Input 2 - Transactions'!B240</f>
        <v>0</v>
      </c>
      <c r="C238">
        <f>'Input 2 - Transactions'!C240</f>
        <v>0</v>
      </c>
      <c r="D238">
        <f>'Input 2 - Transactions'!D240</f>
        <v>0</v>
      </c>
      <c r="E238">
        <f>'Input 2 - Transactions'!E240</f>
        <v>0</v>
      </c>
      <c r="F238" s="29">
        <f>'Input 2 - Transactions'!F240</f>
        <v>0</v>
      </c>
      <c r="G238" s="29">
        <f>'Input 2 - Transactions'!G240</f>
        <v>0</v>
      </c>
      <c r="H238" t="e">
        <f>_xlfn.XLOOKUP(A238,'DB - Identities'!U:U,'DB - Identities'!B:B)</f>
        <v>#N/A</v>
      </c>
      <c r="I238" t="e">
        <f>_xlfn.XLOOKUP(H238,c_parties,'DB - Contracting Parties'!C:C)</f>
        <v>#N/A</v>
      </c>
      <c r="J238" t="e">
        <f>_xlfn.XLOOKUP(A238,'DB - Identities'!U:U,'DB - Identities'!Q:Q)</f>
        <v>#N/A</v>
      </c>
      <c r="K238" t="e">
        <f>_xlfn.XLOOKUP(D238,Static!J:J,Static!K:K)</f>
        <v>#N/A</v>
      </c>
      <c r="L238" t="e">
        <f>IF(I238="Bank",_xlfn.XLOOKUP(J238,'Pricing Sheet'!A:A,'Pricing Sheet'!B:B,'Pricing Sheet'!$B$6),IF(I238="Corporate",_xlfn.XLOOKUP(J238,'Pricing Sheet'!F:F,'Pricing Sheet'!G:G,'Pricing Sheet'!$G$6),0))</f>
        <v>#N/A</v>
      </c>
      <c r="M238" t="str">
        <f t="shared" si="8"/>
        <v>OK</v>
      </c>
      <c r="N238" t="str">
        <f t="shared" si="9"/>
        <v>OK</v>
      </c>
    </row>
    <row r="239" spans="1:14">
      <c r="A239">
        <f>'Input 2 - Transactions'!A241</f>
        <v>0</v>
      </c>
      <c r="B239">
        <f>'Input 2 - Transactions'!B241</f>
        <v>0</v>
      </c>
      <c r="C239">
        <f>'Input 2 - Transactions'!C241</f>
        <v>0</v>
      </c>
      <c r="D239">
        <f>'Input 2 - Transactions'!D241</f>
        <v>0</v>
      </c>
      <c r="E239">
        <f>'Input 2 - Transactions'!E241</f>
        <v>0</v>
      </c>
      <c r="F239" s="29">
        <f>'Input 2 - Transactions'!F241</f>
        <v>0</v>
      </c>
      <c r="G239" s="29">
        <f>'Input 2 - Transactions'!G241</f>
        <v>0</v>
      </c>
      <c r="H239" t="e">
        <f>_xlfn.XLOOKUP(A239,'DB - Identities'!U:U,'DB - Identities'!B:B)</f>
        <v>#N/A</v>
      </c>
      <c r="I239" t="e">
        <f>_xlfn.XLOOKUP(H239,c_parties,'DB - Contracting Parties'!C:C)</f>
        <v>#N/A</v>
      </c>
      <c r="J239" t="e">
        <f>_xlfn.XLOOKUP(A239,'DB - Identities'!U:U,'DB - Identities'!Q:Q)</f>
        <v>#N/A</v>
      </c>
      <c r="K239" t="e">
        <f>_xlfn.XLOOKUP(D239,Static!J:J,Static!K:K)</f>
        <v>#N/A</v>
      </c>
      <c r="L239" t="e">
        <f>IF(I239="Bank",_xlfn.XLOOKUP(J239,'Pricing Sheet'!A:A,'Pricing Sheet'!B:B,'Pricing Sheet'!$B$6),IF(I239="Corporate",_xlfn.XLOOKUP(J239,'Pricing Sheet'!F:F,'Pricing Sheet'!G:G,'Pricing Sheet'!$G$6),0))</f>
        <v>#N/A</v>
      </c>
      <c r="M239" t="str">
        <f t="shared" si="8"/>
        <v>OK</v>
      </c>
      <c r="N239" t="str">
        <f t="shared" si="9"/>
        <v>OK</v>
      </c>
    </row>
    <row r="240" spans="1:14">
      <c r="A240">
        <f>'Input 2 - Transactions'!A242</f>
        <v>0</v>
      </c>
      <c r="B240">
        <f>'Input 2 - Transactions'!B242</f>
        <v>0</v>
      </c>
      <c r="C240">
        <f>'Input 2 - Transactions'!C242</f>
        <v>0</v>
      </c>
      <c r="D240">
        <f>'Input 2 - Transactions'!D242</f>
        <v>0</v>
      </c>
      <c r="E240">
        <f>'Input 2 - Transactions'!E242</f>
        <v>0</v>
      </c>
      <c r="F240" s="29">
        <f>'Input 2 - Transactions'!F242</f>
        <v>0</v>
      </c>
      <c r="G240" s="29">
        <f>'Input 2 - Transactions'!G242</f>
        <v>0</v>
      </c>
      <c r="H240" t="e">
        <f>_xlfn.XLOOKUP(A240,'DB - Identities'!U:U,'DB - Identities'!B:B)</f>
        <v>#N/A</v>
      </c>
      <c r="I240" t="e">
        <f>_xlfn.XLOOKUP(H240,c_parties,'DB - Contracting Parties'!C:C)</f>
        <v>#N/A</v>
      </c>
      <c r="J240" t="e">
        <f>_xlfn.XLOOKUP(A240,'DB - Identities'!U:U,'DB - Identities'!Q:Q)</f>
        <v>#N/A</v>
      </c>
      <c r="K240" t="e">
        <f>_xlfn.XLOOKUP(D240,Static!J:J,Static!K:K)</f>
        <v>#N/A</v>
      </c>
      <c r="L240" t="e">
        <f>IF(I240="Bank",_xlfn.XLOOKUP(J240,'Pricing Sheet'!A:A,'Pricing Sheet'!B:B,'Pricing Sheet'!$B$6),IF(I240="Corporate",_xlfn.XLOOKUP(J240,'Pricing Sheet'!F:F,'Pricing Sheet'!G:G,'Pricing Sheet'!$G$6),0))</f>
        <v>#N/A</v>
      </c>
      <c r="M240" t="str">
        <f t="shared" si="8"/>
        <v>OK</v>
      </c>
      <c r="N240" t="str">
        <f t="shared" si="9"/>
        <v>OK</v>
      </c>
    </row>
    <row r="241" spans="1:14">
      <c r="A241">
        <f>'Input 2 - Transactions'!A243</f>
        <v>0</v>
      </c>
      <c r="B241">
        <f>'Input 2 - Transactions'!B243</f>
        <v>0</v>
      </c>
      <c r="C241">
        <f>'Input 2 - Transactions'!C243</f>
        <v>0</v>
      </c>
      <c r="D241">
        <f>'Input 2 - Transactions'!D243</f>
        <v>0</v>
      </c>
      <c r="E241">
        <f>'Input 2 - Transactions'!E243</f>
        <v>0</v>
      </c>
      <c r="F241" s="29">
        <f>'Input 2 - Transactions'!F243</f>
        <v>0</v>
      </c>
      <c r="G241" s="29">
        <f>'Input 2 - Transactions'!G243</f>
        <v>0</v>
      </c>
      <c r="H241" t="e">
        <f>_xlfn.XLOOKUP(A241,'DB - Identities'!U:U,'DB - Identities'!B:B)</f>
        <v>#N/A</v>
      </c>
      <c r="I241" t="e">
        <f>_xlfn.XLOOKUP(H241,c_parties,'DB - Contracting Parties'!C:C)</f>
        <v>#N/A</v>
      </c>
      <c r="J241" t="e">
        <f>_xlfn.XLOOKUP(A241,'DB - Identities'!U:U,'DB - Identities'!Q:Q)</f>
        <v>#N/A</v>
      </c>
      <c r="K241" t="e">
        <f>_xlfn.XLOOKUP(D241,Static!J:J,Static!K:K)</f>
        <v>#N/A</v>
      </c>
      <c r="L241" t="e">
        <f>IF(I241="Bank",_xlfn.XLOOKUP(J241,'Pricing Sheet'!A:A,'Pricing Sheet'!B:B,'Pricing Sheet'!$B$6),IF(I241="Corporate",_xlfn.XLOOKUP(J241,'Pricing Sheet'!F:F,'Pricing Sheet'!G:G,'Pricing Sheet'!$G$6),0))</f>
        <v>#N/A</v>
      </c>
      <c r="M241" t="str">
        <f t="shared" si="8"/>
        <v>OK</v>
      </c>
      <c r="N241" t="str">
        <f t="shared" si="9"/>
        <v>OK</v>
      </c>
    </row>
    <row r="242" spans="1:14">
      <c r="A242">
        <f>'Input 2 - Transactions'!A244</f>
        <v>0</v>
      </c>
      <c r="B242">
        <f>'Input 2 - Transactions'!B244</f>
        <v>0</v>
      </c>
      <c r="C242">
        <f>'Input 2 - Transactions'!C244</f>
        <v>0</v>
      </c>
      <c r="D242">
        <f>'Input 2 - Transactions'!D244</f>
        <v>0</v>
      </c>
      <c r="E242">
        <f>'Input 2 - Transactions'!E244</f>
        <v>0</v>
      </c>
      <c r="F242" s="29">
        <f>'Input 2 - Transactions'!F244</f>
        <v>0</v>
      </c>
      <c r="G242" s="29">
        <f>'Input 2 - Transactions'!G244</f>
        <v>0</v>
      </c>
      <c r="H242" t="e">
        <f>_xlfn.XLOOKUP(A242,'DB - Identities'!U:U,'DB - Identities'!B:B)</f>
        <v>#N/A</v>
      </c>
      <c r="I242" t="e">
        <f>_xlfn.XLOOKUP(H242,c_parties,'DB - Contracting Parties'!C:C)</f>
        <v>#N/A</v>
      </c>
      <c r="J242" t="e">
        <f>_xlfn.XLOOKUP(A242,'DB - Identities'!U:U,'DB - Identities'!Q:Q)</f>
        <v>#N/A</v>
      </c>
      <c r="K242" t="e">
        <f>_xlfn.XLOOKUP(D242,Static!J:J,Static!K:K)</f>
        <v>#N/A</v>
      </c>
      <c r="L242" t="e">
        <f>IF(I242="Bank",_xlfn.XLOOKUP(J242,'Pricing Sheet'!A:A,'Pricing Sheet'!B:B,'Pricing Sheet'!$B$6),IF(I242="Corporate",_xlfn.XLOOKUP(J242,'Pricing Sheet'!F:F,'Pricing Sheet'!G:G,'Pricing Sheet'!$G$6),0))</f>
        <v>#N/A</v>
      </c>
      <c r="M242" t="str">
        <f t="shared" si="8"/>
        <v>OK</v>
      </c>
      <c r="N242" t="str">
        <f t="shared" si="9"/>
        <v>OK</v>
      </c>
    </row>
    <row r="243" spans="1:14">
      <c r="A243">
        <f>'Input 2 - Transactions'!A245</f>
        <v>0</v>
      </c>
      <c r="B243">
        <f>'Input 2 - Transactions'!B245</f>
        <v>0</v>
      </c>
      <c r="C243">
        <f>'Input 2 - Transactions'!C245</f>
        <v>0</v>
      </c>
      <c r="D243">
        <f>'Input 2 - Transactions'!D245</f>
        <v>0</v>
      </c>
      <c r="E243">
        <f>'Input 2 - Transactions'!E245</f>
        <v>0</v>
      </c>
      <c r="F243" s="29">
        <f>'Input 2 - Transactions'!F245</f>
        <v>0</v>
      </c>
      <c r="G243" s="29">
        <f>'Input 2 - Transactions'!G245</f>
        <v>0</v>
      </c>
      <c r="H243" t="e">
        <f>_xlfn.XLOOKUP(A243,'DB - Identities'!U:U,'DB - Identities'!B:B)</f>
        <v>#N/A</v>
      </c>
      <c r="I243" t="e">
        <f>_xlfn.XLOOKUP(H243,c_parties,'DB - Contracting Parties'!C:C)</f>
        <v>#N/A</v>
      </c>
      <c r="J243" t="e">
        <f>_xlfn.XLOOKUP(A243,'DB - Identities'!U:U,'DB - Identities'!Q:Q)</f>
        <v>#N/A</v>
      </c>
      <c r="K243" t="e">
        <f>_xlfn.XLOOKUP(D243,Static!J:J,Static!K:K)</f>
        <v>#N/A</v>
      </c>
      <c r="L243" t="e">
        <f>IF(I243="Bank",_xlfn.XLOOKUP(J243,'Pricing Sheet'!A:A,'Pricing Sheet'!B:B,'Pricing Sheet'!$B$6),IF(I243="Corporate",_xlfn.XLOOKUP(J243,'Pricing Sheet'!F:F,'Pricing Sheet'!G:G,'Pricing Sheet'!$G$6),0))</f>
        <v>#N/A</v>
      </c>
      <c r="M243" t="str">
        <f t="shared" si="8"/>
        <v>OK</v>
      </c>
      <c r="N243" t="str">
        <f t="shared" si="9"/>
        <v>OK</v>
      </c>
    </row>
    <row r="244" spans="1:14">
      <c r="A244">
        <f>'Input 2 - Transactions'!A246</f>
        <v>0</v>
      </c>
      <c r="B244">
        <f>'Input 2 - Transactions'!B246</f>
        <v>0</v>
      </c>
      <c r="C244">
        <f>'Input 2 - Transactions'!C246</f>
        <v>0</v>
      </c>
      <c r="D244">
        <f>'Input 2 - Transactions'!D246</f>
        <v>0</v>
      </c>
      <c r="E244">
        <f>'Input 2 - Transactions'!E246</f>
        <v>0</v>
      </c>
      <c r="F244" s="29">
        <f>'Input 2 - Transactions'!F246</f>
        <v>0</v>
      </c>
      <c r="G244" s="29">
        <f>'Input 2 - Transactions'!G246</f>
        <v>0</v>
      </c>
      <c r="H244" t="e">
        <f>_xlfn.XLOOKUP(A244,'DB - Identities'!U:U,'DB - Identities'!B:B)</f>
        <v>#N/A</v>
      </c>
      <c r="I244" t="e">
        <f>_xlfn.XLOOKUP(H244,c_parties,'DB - Contracting Parties'!C:C)</f>
        <v>#N/A</v>
      </c>
      <c r="J244" t="e">
        <f>_xlfn.XLOOKUP(A244,'DB - Identities'!U:U,'DB - Identities'!Q:Q)</f>
        <v>#N/A</v>
      </c>
      <c r="K244" t="e">
        <f>_xlfn.XLOOKUP(D244,Static!J:J,Static!K:K)</f>
        <v>#N/A</v>
      </c>
      <c r="L244" t="e">
        <f>IF(I244="Bank",_xlfn.XLOOKUP(J244,'Pricing Sheet'!A:A,'Pricing Sheet'!B:B,'Pricing Sheet'!$B$6),IF(I244="Corporate",_xlfn.XLOOKUP(J244,'Pricing Sheet'!F:F,'Pricing Sheet'!G:G,'Pricing Sheet'!$G$6),0))</f>
        <v>#N/A</v>
      </c>
      <c r="M244" t="str">
        <f t="shared" si="8"/>
        <v>OK</v>
      </c>
      <c r="N244" t="str">
        <f t="shared" si="9"/>
        <v>OK</v>
      </c>
    </row>
    <row r="245" spans="1:14">
      <c r="A245">
        <f>'Input 2 - Transactions'!A247</f>
        <v>0</v>
      </c>
      <c r="B245">
        <f>'Input 2 - Transactions'!B247</f>
        <v>0</v>
      </c>
      <c r="C245">
        <f>'Input 2 - Transactions'!C247</f>
        <v>0</v>
      </c>
      <c r="D245">
        <f>'Input 2 - Transactions'!D247</f>
        <v>0</v>
      </c>
      <c r="E245">
        <f>'Input 2 - Transactions'!E247</f>
        <v>0</v>
      </c>
      <c r="F245" s="29">
        <f>'Input 2 - Transactions'!F247</f>
        <v>0</v>
      </c>
      <c r="G245" s="29">
        <f>'Input 2 - Transactions'!G247</f>
        <v>0</v>
      </c>
      <c r="H245" t="e">
        <f>_xlfn.XLOOKUP(A245,'DB - Identities'!U:U,'DB - Identities'!B:B)</f>
        <v>#N/A</v>
      </c>
      <c r="I245" t="e">
        <f>_xlfn.XLOOKUP(H245,c_parties,'DB - Contracting Parties'!C:C)</f>
        <v>#N/A</v>
      </c>
      <c r="J245" t="e">
        <f>_xlfn.XLOOKUP(A245,'DB - Identities'!U:U,'DB - Identities'!Q:Q)</f>
        <v>#N/A</v>
      </c>
      <c r="K245" t="e">
        <f>_xlfn.XLOOKUP(D245,Static!J:J,Static!K:K)</f>
        <v>#N/A</v>
      </c>
      <c r="L245" t="e">
        <f>IF(I245="Bank",_xlfn.XLOOKUP(J245,'Pricing Sheet'!A:A,'Pricing Sheet'!B:B,'Pricing Sheet'!$B$6),IF(I245="Corporate",_xlfn.XLOOKUP(J245,'Pricing Sheet'!F:F,'Pricing Sheet'!G:G,'Pricing Sheet'!$G$6),0))</f>
        <v>#N/A</v>
      </c>
      <c r="M245" t="str">
        <f t="shared" si="8"/>
        <v>OK</v>
      </c>
      <c r="N245" t="str">
        <f t="shared" si="9"/>
        <v>OK</v>
      </c>
    </row>
    <row r="246" spans="1:14">
      <c r="A246">
        <f>'Input 2 - Transactions'!A248</f>
        <v>0</v>
      </c>
      <c r="B246">
        <f>'Input 2 - Transactions'!B248</f>
        <v>0</v>
      </c>
      <c r="C246">
        <f>'Input 2 - Transactions'!C248</f>
        <v>0</v>
      </c>
      <c r="D246">
        <f>'Input 2 - Transactions'!D248</f>
        <v>0</v>
      </c>
      <c r="E246">
        <f>'Input 2 - Transactions'!E248</f>
        <v>0</v>
      </c>
      <c r="F246" s="29">
        <f>'Input 2 - Transactions'!F248</f>
        <v>0</v>
      </c>
      <c r="G246" s="29">
        <f>'Input 2 - Transactions'!G248</f>
        <v>0</v>
      </c>
      <c r="H246" t="e">
        <f>_xlfn.XLOOKUP(A246,'DB - Identities'!U:U,'DB - Identities'!B:B)</f>
        <v>#N/A</v>
      </c>
      <c r="I246" t="e">
        <f>_xlfn.XLOOKUP(H246,c_parties,'DB - Contracting Parties'!C:C)</f>
        <v>#N/A</v>
      </c>
      <c r="J246" t="e">
        <f>_xlfn.XLOOKUP(A246,'DB - Identities'!U:U,'DB - Identities'!Q:Q)</f>
        <v>#N/A</v>
      </c>
      <c r="K246" t="e">
        <f>_xlfn.XLOOKUP(D246,Static!J:J,Static!K:K)</f>
        <v>#N/A</v>
      </c>
      <c r="L246" t="e">
        <f>IF(I246="Bank",_xlfn.XLOOKUP(J246,'Pricing Sheet'!A:A,'Pricing Sheet'!B:B,'Pricing Sheet'!$B$6),IF(I246="Corporate",_xlfn.XLOOKUP(J246,'Pricing Sheet'!F:F,'Pricing Sheet'!G:G,'Pricing Sheet'!$G$6),0))</f>
        <v>#N/A</v>
      </c>
      <c r="M246" t="str">
        <f t="shared" si="8"/>
        <v>OK</v>
      </c>
      <c r="N246" t="str">
        <f t="shared" si="9"/>
        <v>OK</v>
      </c>
    </row>
    <row r="247" spans="1:14">
      <c r="A247">
        <f>'Input 2 - Transactions'!A249</f>
        <v>0</v>
      </c>
      <c r="B247">
        <f>'Input 2 - Transactions'!B249</f>
        <v>0</v>
      </c>
      <c r="C247">
        <f>'Input 2 - Transactions'!C249</f>
        <v>0</v>
      </c>
      <c r="D247">
        <f>'Input 2 - Transactions'!D249</f>
        <v>0</v>
      </c>
      <c r="E247">
        <f>'Input 2 - Transactions'!E249</f>
        <v>0</v>
      </c>
      <c r="F247" s="29">
        <f>'Input 2 - Transactions'!F249</f>
        <v>0</v>
      </c>
      <c r="G247" s="29">
        <f>'Input 2 - Transactions'!G249</f>
        <v>0</v>
      </c>
      <c r="H247" t="e">
        <f>_xlfn.XLOOKUP(A247,'DB - Identities'!U:U,'DB - Identities'!B:B)</f>
        <v>#N/A</v>
      </c>
      <c r="I247" t="e">
        <f>_xlfn.XLOOKUP(H247,c_parties,'DB - Contracting Parties'!C:C)</f>
        <v>#N/A</v>
      </c>
      <c r="J247" t="e">
        <f>_xlfn.XLOOKUP(A247,'DB - Identities'!U:U,'DB - Identities'!Q:Q)</f>
        <v>#N/A</v>
      </c>
      <c r="K247" t="e">
        <f>_xlfn.XLOOKUP(D247,Static!J:J,Static!K:K)</f>
        <v>#N/A</v>
      </c>
      <c r="L247" t="e">
        <f>IF(I247="Bank",_xlfn.XLOOKUP(J247,'Pricing Sheet'!A:A,'Pricing Sheet'!B:B,'Pricing Sheet'!$B$6),IF(I247="Corporate",_xlfn.XLOOKUP(J247,'Pricing Sheet'!F:F,'Pricing Sheet'!G:G,'Pricing Sheet'!$G$6),0))</f>
        <v>#N/A</v>
      </c>
      <c r="M247" t="str">
        <f t="shared" si="8"/>
        <v>OK</v>
      </c>
      <c r="N247" t="str">
        <f t="shared" si="9"/>
        <v>OK</v>
      </c>
    </row>
    <row r="248" spans="1:14">
      <c r="A248">
        <f>'Input 2 - Transactions'!A250</f>
        <v>0</v>
      </c>
      <c r="B248">
        <f>'Input 2 - Transactions'!B250</f>
        <v>0</v>
      </c>
      <c r="C248">
        <f>'Input 2 - Transactions'!C250</f>
        <v>0</v>
      </c>
      <c r="D248">
        <f>'Input 2 - Transactions'!D250</f>
        <v>0</v>
      </c>
      <c r="E248">
        <f>'Input 2 - Transactions'!E250</f>
        <v>0</v>
      </c>
      <c r="F248" s="29">
        <f>'Input 2 - Transactions'!F250</f>
        <v>0</v>
      </c>
      <c r="G248" s="29">
        <f>'Input 2 - Transactions'!G250</f>
        <v>0</v>
      </c>
      <c r="H248" t="e">
        <f>_xlfn.XLOOKUP(A248,'DB - Identities'!U:U,'DB - Identities'!B:B)</f>
        <v>#N/A</v>
      </c>
      <c r="I248" t="e">
        <f>_xlfn.XLOOKUP(H248,c_parties,'DB - Contracting Parties'!C:C)</f>
        <v>#N/A</v>
      </c>
      <c r="J248" t="e">
        <f>_xlfn.XLOOKUP(A248,'DB - Identities'!U:U,'DB - Identities'!Q:Q)</f>
        <v>#N/A</v>
      </c>
      <c r="K248" t="e">
        <f>_xlfn.XLOOKUP(D248,Static!J:J,Static!K:K)</f>
        <v>#N/A</v>
      </c>
      <c r="L248" t="e">
        <f>IF(I248="Bank",_xlfn.XLOOKUP(J248,'Pricing Sheet'!A:A,'Pricing Sheet'!B:B,'Pricing Sheet'!$B$6),IF(I248="Corporate",_xlfn.XLOOKUP(J248,'Pricing Sheet'!F:F,'Pricing Sheet'!G:G,'Pricing Sheet'!$G$6),0))</f>
        <v>#N/A</v>
      </c>
      <c r="M248" t="str">
        <f t="shared" si="8"/>
        <v>OK</v>
      </c>
      <c r="N248" t="str">
        <f t="shared" si="9"/>
        <v>OK</v>
      </c>
    </row>
    <row r="249" spans="1:14">
      <c r="A249">
        <f>'Input 2 - Transactions'!A251</f>
        <v>0</v>
      </c>
      <c r="B249">
        <f>'Input 2 - Transactions'!B251</f>
        <v>0</v>
      </c>
      <c r="C249">
        <f>'Input 2 - Transactions'!C251</f>
        <v>0</v>
      </c>
      <c r="D249">
        <f>'Input 2 - Transactions'!D251</f>
        <v>0</v>
      </c>
      <c r="E249">
        <f>'Input 2 - Transactions'!E251</f>
        <v>0</v>
      </c>
      <c r="F249" s="29">
        <f>'Input 2 - Transactions'!F251</f>
        <v>0</v>
      </c>
      <c r="G249" s="29">
        <f>'Input 2 - Transactions'!G251</f>
        <v>0</v>
      </c>
      <c r="H249" t="e">
        <f>_xlfn.XLOOKUP(A249,'DB - Identities'!U:U,'DB - Identities'!B:B)</f>
        <v>#N/A</v>
      </c>
      <c r="I249" t="e">
        <f>_xlfn.XLOOKUP(H249,c_parties,'DB - Contracting Parties'!C:C)</f>
        <v>#N/A</v>
      </c>
      <c r="J249" t="e">
        <f>_xlfn.XLOOKUP(A249,'DB - Identities'!U:U,'DB - Identities'!Q:Q)</f>
        <v>#N/A</v>
      </c>
      <c r="K249" t="e">
        <f>_xlfn.XLOOKUP(D249,Static!J:J,Static!K:K)</f>
        <v>#N/A</v>
      </c>
      <c r="L249" t="e">
        <f>IF(I249="Bank",_xlfn.XLOOKUP(J249,'Pricing Sheet'!A:A,'Pricing Sheet'!B:B,'Pricing Sheet'!$B$6),IF(I249="Corporate",_xlfn.XLOOKUP(J249,'Pricing Sheet'!F:F,'Pricing Sheet'!G:G,'Pricing Sheet'!$G$6),0))</f>
        <v>#N/A</v>
      </c>
      <c r="M249" t="str">
        <f t="shared" si="8"/>
        <v>OK</v>
      </c>
      <c r="N249" t="str">
        <f t="shared" si="9"/>
        <v>OK</v>
      </c>
    </row>
    <row r="250" spans="1:14">
      <c r="A250">
        <f>'Input 2 - Transactions'!A252</f>
        <v>0</v>
      </c>
      <c r="B250">
        <f>'Input 2 - Transactions'!B252</f>
        <v>0</v>
      </c>
      <c r="C250">
        <f>'Input 2 - Transactions'!C252</f>
        <v>0</v>
      </c>
      <c r="D250">
        <f>'Input 2 - Transactions'!D252</f>
        <v>0</v>
      </c>
      <c r="E250">
        <f>'Input 2 - Transactions'!E252</f>
        <v>0</v>
      </c>
      <c r="F250" s="29">
        <f>'Input 2 - Transactions'!F252</f>
        <v>0</v>
      </c>
      <c r="G250" s="29">
        <f>'Input 2 - Transactions'!G252</f>
        <v>0</v>
      </c>
      <c r="H250" t="e">
        <f>_xlfn.XLOOKUP(A250,'DB - Identities'!U:U,'DB - Identities'!B:B)</f>
        <v>#N/A</v>
      </c>
      <c r="I250" t="e">
        <f>_xlfn.XLOOKUP(H250,c_parties,'DB - Contracting Parties'!C:C)</f>
        <v>#N/A</v>
      </c>
      <c r="J250" t="e">
        <f>_xlfn.XLOOKUP(A250,'DB - Identities'!U:U,'DB - Identities'!Q:Q)</f>
        <v>#N/A</v>
      </c>
      <c r="K250" t="e">
        <f>_xlfn.XLOOKUP(D250,Static!J:J,Static!K:K)</f>
        <v>#N/A</v>
      </c>
      <c r="L250" t="e">
        <f>IF(I250="Bank",_xlfn.XLOOKUP(J250,'Pricing Sheet'!A:A,'Pricing Sheet'!B:B,'Pricing Sheet'!$B$6),IF(I250="Corporate",_xlfn.XLOOKUP(J250,'Pricing Sheet'!F:F,'Pricing Sheet'!G:G,'Pricing Sheet'!$G$6),0))</f>
        <v>#N/A</v>
      </c>
      <c r="M250" t="str">
        <f t="shared" si="8"/>
        <v>OK</v>
      </c>
      <c r="N250" t="str">
        <f t="shared" si="9"/>
        <v>OK</v>
      </c>
    </row>
    <row r="251" spans="1:14">
      <c r="A251">
        <f>'Input 2 - Transactions'!A253</f>
        <v>0</v>
      </c>
      <c r="B251">
        <f>'Input 2 - Transactions'!B253</f>
        <v>0</v>
      </c>
      <c r="C251">
        <f>'Input 2 - Transactions'!C253</f>
        <v>0</v>
      </c>
      <c r="D251">
        <f>'Input 2 - Transactions'!D253</f>
        <v>0</v>
      </c>
      <c r="E251">
        <f>'Input 2 - Transactions'!E253</f>
        <v>0</v>
      </c>
      <c r="F251" s="29">
        <f>'Input 2 - Transactions'!F253</f>
        <v>0</v>
      </c>
      <c r="G251" s="29">
        <f>'Input 2 - Transactions'!G253</f>
        <v>0</v>
      </c>
      <c r="H251" t="e">
        <f>_xlfn.XLOOKUP(A251,'DB - Identities'!U:U,'DB - Identities'!B:B)</f>
        <v>#N/A</v>
      </c>
      <c r="I251" t="e">
        <f>_xlfn.XLOOKUP(H251,c_parties,'DB - Contracting Parties'!C:C)</f>
        <v>#N/A</v>
      </c>
      <c r="J251" t="e">
        <f>_xlfn.XLOOKUP(A251,'DB - Identities'!U:U,'DB - Identities'!Q:Q)</f>
        <v>#N/A</v>
      </c>
      <c r="K251" t="e">
        <f>_xlfn.XLOOKUP(D251,Static!J:J,Static!K:K)</f>
        <v>#N/A</v>
      </c>
      <c r="L251" t="e">
        <f>IF(I251="Bank",_xlfn.XLOOKUP(J251,'Pricing Sheet'!A:A,'Pricing Sheet'!B:B,'Pricing Sheet'!$B$6),IF(I251="Corporate",_xlfn.XLOOKUP(J251,'Pricing Sheet'!F:F,'Pricing Sheet'!G:G,'Pricing Sheet'!$G$6),0))</f>
        <v>#N/A</v>
      </c>
      <c r="M251" t="str">
        <f t="shared" si="8"/>
        <v>OK</v>
      </c>
      <c r="N251" t="str">
        <f t="shared" si="9"/>
        <v>OK</v>
      </c>
    </row>
    <row r="252" spans="1:14">
      <c r="A252">
        <f>'Input 2 - Transactions'!A254</f>
        <v>0</v>
      </c>
      <c r="B252">
        <f>'Input 2 - Transactions'!B254</f>
        <v>0</v>
      </c>
      <c r="C252">
        <f>'Input 2 - Transactions'!C254</f>
        <v>0</v>
      </c>
      <c r="D252">
        <f>'Input 2 - Transactions'!D254</f>
        <v>0</v>
      </c>
      <c r="E252">
        <f>'Input 2 - Transactions'!E254</f>
        <v>0</v>
      </c>
      <c r="F252" s="29">
        <f>'Input 2 - Transactions'!F254</f>
        <v>0</v>
      </c>
      <c r="G252" s="29">
        <f>'Input 2 - Transactions'!G254</f>
        <v>0</v>
      </c>
      <c r="H252" t="e">
        <f>_xlfn.XLOOKUP(A252,'DB - Identities'!U:U,'DB - Identities'!B:B)</f>
        <v>#N/A</v>
      </c>
      <c r="I252" t="e">
        <f>_xlfn.XLOOKUP(H252,c_parties,'DB - Contracting Parties'!C:C)</f>
        <v>#N/A</v>
      </c>
      <c r="J252" t="e">
        <f>_xlfn.XLOOKUP(A252,'DB - Identities'!U:U,'DB - Identities'!Q:Q)</f>
        <v>#N/A</v>
      </c>
      <c r="K252" t="e">
        <f>_xlfn.XLOOKUP(D252,Static!J:J,Static!K:K)</f>
        <v>#N/A</v>
      </c>
      <c r="L252" t="e">
        <f>IF(I252="Bank",_xlfn.XLOOKUP(J252,'Pricing Sheet'!A:A,'Pricing Sheet'!B:B,'Pricing Sheet'!$B$6),IF(I252="Corporate",_xlfn.XLOOKUP(J252,'Pricing Sheet'!F:F,'Pricing Sheet'!G:G,'Pricing Sheet'!$G$6),0))</f>
        <v>#N/A</v>
      </c>
      <c r="M252" t="str">
        <f t="shared" si="8"/>
        <v>OK</v>
      </c>
      <c r="N252" t="str">
        <f t="shared" si="9"/>
        <v>OK</v>
      </c>
    </row>
    <row r="253" spans="1:14">
      <c r="A253">
        <f>'Input 2 - Transactions'!A255</f>
        <v>0</v>
      </c>
      <c r="B253">
        <f>'Input 2 - Transactions'!B255</f>
        <v>0</v>
      </c>
      <c r="C253">
        <f>'Input 2 - Transactions'!C255</f>
        <v>0</v>
      </c>
      <c r="D253">
        <f>'Input 2 - Transactions'!D255</f>
        <v>0</v>
      </c>
      <c r="E253">
        <f>'Input 2 - Transactions'!E255</f>
        <v>0</v>
      </c>
      <c r="F253" s="29">
        <f>'Input 2 - Transactions'!F255</f>
        <v>0</v>
      </c>
      <c r="G253" s="29">
        <f>'Input 2 - Transactions'!G255</f>
        <v>0</v>
      </c>
      <c r="H253" t="e">
        <f>_xlfn.XLOOKUP(A253,'DB - Identities'!U:U,'DB - Identities'!B:B)</f>
        <v>#N/A</v>
      </c>
      <c r="I253" t="e">
        <f>_xlfn.XLOOKUP(H253,c_parties,'DB - Contracting Parties'!C:C)</f>
        <v>#N/A</v>
      </c>
      <c r="J253" t="e">
        <f>_xlfn.XLOOKUP(A253,'DB - Identities'!U:U,'DB - Identities'!Q:Q)</f>
        <v>#N/A</v>
      </c>
      <c r="K253" t="e">
        <f>_xlfn.XLOOKUP(D253,Static!J:J,Static!K:K)</f>
        <v>#N/A</v>
      </c>
      <c r="L253" t="e">
        <f>IF(I253="Bank",_xlfn.XLOOKUP(J253,'Pricing Sheet'!A:A,'Pricing Sheet'!B:B,'Pricing Sheet'!$B$6),IF(I253="Corporate",_xlfn.XLOOKUP(J253,'Pricing Sheet'!F:F,'Pricing Sheet'!G:G,'Pricing Sheet'!$G$6),0))</f>
        <v>#N/A</v>
      </c>
      <c r="M253" t="str">
        <f t="shared" si="8"/>
        <v>OK</v>
      </c>
      <c r="N253" t="str">
        <f t="shared" si="9"/>
        <v>OK</v>
      </c>
    </row>
    <row r="254" spans="1:14">
      <c r="A254">
        <f>'Input 2 - Transactions'!A256</f>
        <v>0</v>
      </c>
      <c r="B254">
        <f>'Input 2 - Transactions'!B256</f>
        <v>0</v>
      </c>
      <c r="C254">
        <f>'Input 2 - Transactions'!C256</f>
        <v>0</v>
      </c>
      <c r="D254">
        <f>'Input 2 - Transactions'!D256</f>
        <v>0</v>
      </c>
      <c r="E254">
        <f>'Input 2 - Transactions'!E256</f>
        <v>0</v>
      </c>
      <c r="F254" s="29">
        <f>'Input 2 - Transactions'!F256</f>
        <v>0</v>
      </c>
      <c r="G254" s="29">
        <f>'Input 2 - Transactions'!G256</f>
        <v>0</v>
      </c>
      <c r="H254" t="e">
        <f>_xlfn.XLOOKUP(A254,'DB - Identities'!U:U,'DB - Identities'!B:B)</f>
        <v>#N/A</v>
      </c>
      <c r="I254" t="e">
        <f>_xlfn.XLOOKUP(H254,c_parties,'DB - Contracting Parties'!C:C)</f>
        <v>#N/A</v>
      </c>
      <c r="J254" t="e">
        <f>_xlfn.XLOOKUP(A254,'DB - Identities'!U:U,'DB - Identities'!Q:Q)</f>
        <v>#N/A</v>
      </c>
      <c r="K254" t="e">
        <f>_xlfn.XLOOKUP(D254,Static!J:J,Static!K:K)</f>
        <v>#N/A</v>
      </c>
      <c r="L254" t="e">
        <f>IF(I254="Bank",_xlfn.XLOOKUP(J254,'Pricing Sheet'!A:A,'Pricing Sheet'!B:B,'Pricing Sheet'!$B$6),IF(I254="Corporate",_xlfn.XLOOKUP(J254,'Pricing Sheet'!F:F,'Pricing Sheet'!G:G,'Pricing Sheet'!$G$6),0))</f>
        <v>#N/A</v>
      </c>
      <c r="M254" t="str">
        <f t="shared" si="8"/>
        <v>OK</v>
      </c>
      <c r="N254" t="str">
        <f t="shared" si="9"/>
        <v>OK</v>
      </c>
    </row>
    <row r="255" spans="1:14">
      <c r="A255">
        <f>'Input 2 - Transactions'!A257</f>
        <v>0</v>
      </c>
      <c r="B255">
        <f>'Input 2 - Transactions'!B257</f>
        <v>0</v>
      </c>
      <c r="C255">
        <f>'Input 2 - Transactions'!C257</f>
        <v>0</v>
      </c>
      <c r="D255">
        <f>'Input 2 - Transactions'!D257</f>
        <v>0</v>
      </c>
      <c r="E255">
        <f>'Input 2 - Transactions'!E257</f>
        <v>0</v>
      </c>
      <c r="F255" s="29">
        <f>'Input 2 - Transactions'!F257</f>
        <v>0</v>
      </c>
      <c r="G255" s="29">
        <f>'Input 2 - Transactions'!G257</f>
        <v>0</v>
      </c>
      <c r="H255" t="e">
        <f>_xlfn.XLOOKUP(A255,'DB - Identities'!U:U,'DB - Identities'!B:B)</f>
        <v>#N/A</v>
      </c>
      <c r="I255" t="e">
        <f>_xlfn.XLOOKUP(H255,c_parties,'DB - Contracting Parties'!C:C)</f>
        <v>#N/A</v>
      </c>
      <c r="J255" t="e">
        <f>_xlfn.XLOOKUP(A255,'DB - Identities'!U:U,'DB - Identities'!Q:Q)</f>
        <v>#N/A</v>
      </c>
      <c r="K255" t="e">
        <f>_xlfn.XLOOKUP(D255,Static!J:J,Static!K:K)</f>
        <v>#N/A</v>
      </c>
      <c r="L255" t="e">
        <f>IF(I255="Bank",_xlfn.XLOOKUP(J255,'Pricing Sheet'!A:A,'Pricing Sheet'!B:B,'Pricing Sheet'!$B$6),IF(I255="Corporate",_xlfn.XLOOKUP(J255,'Pricing Sheet'!F:F,'Pricing Sheet'!G:G,'Pricing Sheet'!$G$6),0))</f>
        <v>#N/A</v>
      </c>
      <c r="M255" t="str">
        <f t="shared" si="8"/>
        <v>OK</v>
      </c>
      <c r="N255" t="str">
        <f t="shared" si="9"/>
        <v>OK</v>
      </c>
    </row>
    <row r="256" spans="1:14">
      <c r="A256">
        <f>'Input 2 - Transactions'!A258</f>
        <v>0</v>
      </c>
      <c r="B256">
        <f>'Input 2 - Transactions'!B258</f>
        <v>0</v>
      </c>
      <c r="C256">
        <f>'Input 2 - Transactions'!C258</f>
        <v>0</v>
      </c>
      <c r="D256">
        <f>'Input 2 - Transactions'!D258</f>
        <v>0</v>
      </c>
      <c r="E256">
        <f>'Input 2 - Transactions'!E258</f>
        <v>0</v>
      </c>
      <c r="F256" s="29">
        <f>'Input 2 - Transactions'!F258</f>
        <v>0</v>
      </c>
      <c r="G256" s="29">
        <f>'Input 2 - Transactions'!G258</f>
        <v>0</v>
      </c>
      <c r="H256" t="e">
        <f>_xlfn.XLOOKUP(A256,'DB - Identities'!U:U,'DB - Identities'!B:B)</f>
        <v>#N/A</v>
      </c>
      <c r="I256" t="e">
        <f>_xlfn.XLOOKUP(H256,c_parties,'DB - Contracting Parties'!C:C)</f>
        <v>#N/A</v>
      </c>
      <c r="J256" t="e">
        <f>_xlfn.XLOOKUP(A256,'DB - Identities'!U:U,'DB - Identities'!Q:Q)</f>
        <v>#N/A</v>
      </c>
      <c r="K256" t="e">
        <f>_xlfn.XLOOKUP(D256,Static!J:J,Static!K:K)</f>
        <v>#N/A</v>
      </c>
      <c r="L256" t="e">
        <f>IF(I256="Bank",_xlfn.XLOOKUP(J256,'Pricing Sheet'!A:A,'Pricing Sheet'!B:B,'Pricing Sheet'!$B$6),IF(I256="Corporate",_xlfn.XLOOKUP(J256,'Pricing Sheet'!F:F,'Pricing Sheet'!G:G,'Pricing Sheet'!$G$6),0))</f>
        <v>#N/A</v>
      </c>
      <c r="M256" t="str">
        <f t="shared" si="8"/>
        <v>OK</v>
      </c>
      <c r="N256" t="str">
        <f t="shared" si="9"/>
        <v>OK</v>
      </c>
    </row>
    <row r="257" spans="1:14">
      <c r="A257">
        <f>'Input 2 - Transactions'!A259</f>
        <v>0</v>
      </c>
      <c r="B257">
        <f>'Input 2 - Transactions'!B259</f>
        <v>0</v>
      </c>
      <c r="C257">
        <f>'Input 2 - Transactions'!C259</f>
        <v>0</v>
      </c>
      <c r="D257">
        <f>'Input 2 - Transactions'!D259</f>
        <v>0</v>
      </c>
      <c r="E257">
        <f>'Input 2 - Transactions'!E259</f>
        <v>0</v>
      </c>
      <c r="F257" s="29">
        <f>'Input 2 - Transactions'!F259</f>
        <v>0</v>
      </c>
      <c r="G257" s="29">
        <f>'Input 2 - Transactions'!G259</f>
        <v>0</v>
      </c>
      <c r="H257" t="e">
        <f>_xlfn.XLOOKUP(A257,'DB - Identities'!U:U,'DB - Identities'!B:B)</f>
        <v>#N/A</v>
      </c>
      <c r="I257" t="e">
        <f>_xlfn.XLOOKUP(H257,c_parties,'DB - Contracting Parties'!C:C)</f>
        <v>#N/A</v>
      </c>
      <c r="J257" t="e">
        <f>_xlfn.XLOOKUP(A257,'DB - Identities'!U:U,'DB - Identities'!Q:Q)</f>
        <v>#N/A</v>
      </c>
      <c r="K257" t="e">
        <f>_xlfn.XLOOKUP(D257,Static!J:J,Static!K:K)</f>
        <v>#N/A</v>
      </c>
      <c r="L257" t="e">
        <f>IF(I257="Bank",_xlfn.XLOOKUP(J257,'Pricing Sheet'!A:A,'Pricing Sheet'!B:B,'Pricing Sheet'!$B$6),IF(I257="Corporate",_xlfn.XLOOKUP(J257,'Pricing Sheet'!F:F,'Pricing Sheet'!G:G,'Pricing Sheet'!$G$6),0))</f>
        <v>#N/A</v>
      </c>
      <c r="M257" t="str">
        <f t="shared" ref="M257:M320" si="10">IF(AND(A257&lt;&gt;0,ISNA(H257)),"ERROR", "OK")</f>
        <v>OK</v>
      </c>
      <c r="N257" t="str">
        <f t="shared" ref="N257:N320" si="11">IF(AND(A257&lt;&gt;0,ISNA(J257)),"ERROR", "OK")</f>
        <v>OK</v>
      </c>
    </row>
    <row r="258" spans="1:14">
      <c r="A258">
        <f>'Input 2 - Transactions'!A260</f>
        <v>0</v>
      </c>
      <c r="B258">
        <f>'Input 2 - Transactions'!B260</f>
        <v>0</v>
      </c>
      <c r="C258">
        <f>'Input 2 - Transactions'!C260</f>
        <v>0</v>
      </c>
      <c r="D258">
        <f>'Input 2 - Transactions'!D260</f>
        <v>0</v>
      </c>
      <c r="E258">
        <f>'Input 2 - Transactions'!E260</f>
        <v>0</v>
      </c>
      <c r="F258" s="29">
        <f>'Input 2 - Transactions'!F260</f>
        <v>0</v>
      </c>
      <c r="G258" s="29">
        <f>'Input 2 - Transactions'!G260</f>
        <v>0</v>
      </c>
      <c r="H258" t="e">
        <f>_xlfn.XLOOKUP(A258,'DB - Identities'!U:U,'DB - Identities'!B:B)</f>
        <v>#N/A</v>
      </c>
      <c r="I258" t="e">
        <f>_xlfn.XLOOKUP(H258,c_parties,'DB - Contracting Parties'!C:C)</f>
        <v>#N/A</v>
      </c>
      <c r="J258" t="e">
        <f>_xlfn.XLOOKUP(A258,'DB - Identities'!U:U,'DB - Identities'!Q:Q)</f>
        <v>#N/A</v>
      </c>
      <c r="K258" t="e">
        <f>_xlfn.XLOOKUP(D258,Static!J:J,Static!K:K)</f>
        <v>#N/A</v>
      </c>
      <c r="L258" t="e">
        <f>IF(I258="Bank",_xlfn.XLOOKUP(J258,'Pricing Sheet'!A:A,'Pricing Sheet'!B:B,'Pricing Sheet'!$B$6),IF(I258="Corporate",_xlfn.XLOOKUP(J258,'Pricing Sheet'!F:F,'Pricing Sheet'!G:G,'Pricing Sheet'!$G$6),0))</f>
        <v>#N/A</v>
      </c>
      <c r="M258" t="str">
        <f t="shared" si="10"/>
        <v>OK</v>
      </c>
      <c r="N258" t="str">
        <f t="shared" si="11"/>
        <v>OK</v>
      </c>
    </row>
    <row r="259" spans="1:14">
      <c r="A259">
        <f>'Input 2 - Transactions'!A261</f>
        <v>0</v>
      </c>
      <c r="B259">
        <f>'Input 2 - Transactions'!B261</f>
        <v>0</v>
      </c>
      <c r="C259">
        <f>'Input 2 - Transactions'!C261</f>
        <v>0</v>
      </c>
      <c r="D259">
        <f>'Input 2 - Transactions'!D261</f>
        <v>0</v>
      </c>
      <c r="E259">
        <f>'Input 2 - Transactions'!E261</f>
        <v>0</v>
      </c>
      <c r="F259" s="29">
        <f>'Input 2 - Transactions'!F261</f>
        <v>0</v>
      </c>
      <c r="G259" s="29">
        <f>'Input 2 - Transactions'!G261</f>
        <v>0</v>
      </c>
      <c r="H259" t="e">
        <f>_xlfn.XLOOKUP(A259,'DB - Identities'!U:U,'DB - Identities'!B:B)</f>
        <v>#N/A</v>
      </c>
      <c r="I259" t="e">
        <f>_xlfn.XLOOKUP(H259,c_parties,'DB - Contracting Parties'!C:C)</f>
        <v>#N/A</v>
      </c>
      <c r="J259" t="e">
        <f>_xlfn.XLOOKUP(A259,'DB - Identities'!U:U,'DB - Identities'!Q:Q)</f>
        <v>#N/A</v>
      </c>
      <c r="K259" t="e">
        <f>_xlfn.XLOOKUP(D259,Static!J:J,Static!K:K)</f>
        <v>#N/A</v>
      </c>
      <c r="L259" t="e">
        <f>IF(I259="Bank",_xlfn.XLOOKUP(J259,'Pricing Sheet'!A:A,'Pricing Sheet'!B:B,'Pricing Sheet'!$B$6),IF(I259="Corporate",_xlfn.XLOOKUP(J259,'Pricing Sheet'!F:F,'Pricing Sheet'!G:G,'Pricing Sheet'!$G$6),0))</f>
        <v>#N/A</v>
      </c>
      <c r="M259" t="str">
        <f t="shared" si="10"/>
        <v>OK</v>
      </c>
      <c r="N259" t="str">
        <f t="shared" si="11"/>
        <v>OK</v>
      </c>
    </row>
    <row r="260" spans="1:14">
      <c r="A260">
        <f>'Input 2 - Transactions'!A262</f>
        <v>0</v>
      </c>
      <c r="B260">
        <f>'Input 2 - Transactions'!B262</f>
        <v>0</v>
      </c>
      <c r="C260">
        <f>'Input 2 - Transactions'!C262</f>
        <v>0</v>
      </c>
      <c r="D260">
        <f>'Input 2 - Transactions'!D262</f>
        <v>0</v>
      </c>
      <c r="E260">
        <f>'Input 2 - Transactions'!E262</f>
        <v>0</v>
      </c>
      <c r="F260" s="29">
        <f>'Input 2 - Transactions'!F262</f>
        <v>0</v>
      </c>
      <c r="G260" s="29">
        <f>'Input 2 - Transactions'!G262</f>
        <v>0</v>
      </c>
      <c r="H260" t="e">
        <f>_xlfn.XLOOKUP(A260,'DB - Identities'!U:U,'DB - Identities'!B:B)</f>
        <v>#N/A</v>
      </c>
      <c r="I260" t="e">
        <f>_xlfn.XLOOKUP(H260,c_parties,'DB - Contracting Parties'!C:C)</f>
        <v>#N/A</v>
      </c>
      <c r="J260" t="e">
        <f>_xlfn.XLOOKUP(A260,'DB - Identities'!U:U,'DB - Identities'!Q:Q)</f>
        <v>#N/A</v>
      </c>
      <c r="K260" t="e">
        <f>_xlfn.XLOOKUP(D260,Static!J:J,Static!K:K)</f>
        <v>#N/A</v>
      </c>
      <c r="L260" t="e">
        <f>IF(I260="Bank",_xlfn.XLOOKUP(J260,'Pricing Sheet'!A:A,'Pricing Sheet'!B:B,'Pricing Sheet'!$B$6),IF(I260="Corporate",_xlfn.XLOOKUP(J260,'Pricing Sheet'!F:F,'Pricing Sheet'!G:G,'Pricing Sheet'!$G$6),0))</f>
        <v>#N/A</v>
      </c>
      <c r="M260" t="str">
        <f t="shared" si="10"/>
        <v>OK</v>
      </c>
      <c r="N260" t="str">
        <f t="shared" si="11"/>
        <v>OK</v>
      </c>
    </row>
    <row r="261" spans="1:14">
      <c r="A261">
        <f>'Input 2 - Transactions'!A263</f>
        <v>0</v>
      </c>
      <c r="B261">
        <f>'Input 2 - Transactions'!B263</f>
        <v>0</v>
      </c>
      <c r="C261">
        <f>'Input 2 - Transactions'!C263</f>
        <v>0</v>
      </c>
      <c r="D261">
        <f>'Input 2 - Transactions'!D263</f>
        <v>0</v>
      </c>
      <c r="E261">
        <f>'Input 2 - Transactions'!E263</f>
        <v>0</v>
      </c>
      <c r="F261" s="29">
        <f>'Input 2 - Transactions'!F263</f>
        <v>0</v>
      </c>
      <c r="G261" s="29">
        <f>'Input 2 - Transactions'!G263</f>
        <v>0</v>
      </c>
      <c r="H261" t="e">
        <f>_xlfn.XLOOKUP(A261,'DB - Identities'!U:U,'DB - Identities'!B:B)</f>
        <v>#N/A</v>
      </c>
      <c r="I261" t="e">
        <f>_xlfn.XLOOKUP(H261,c_parties,'DB - Contracting Parties'!C:C)</f>
        <v>#N/A</v>
      </c>
      <c r="J261" t="e">
        <f>_xlfn.XLOOKUP(A261,'DB - Identities'!U:U,'DB - Identities'!Q:Q)</f>
        <v>#N/A</v>
      </c>
      <c r="K261" t="e">
        <f>_xlfn.XLOOKUP(D261,Static!J:J,Static!K:K)</f>
        <v>#N/A</v>
      </c>
      <c r="L261" t="e">
        <f>IF(I261="Bank",_xlfn.XLOOKUP(J261,'Pricing Sheet'!A:A,'Pricing Sheet'!B:B,'Pricing Sheet'!$B$6),IF(I261="Corporate",_xlfn.XLOOKUP(J261,'Pricing Sheet'!F:F,'Pricing Sheet'!G:G,'Pricing Sheet'!$G$6),0))</f>
        <v>#N/A</v>
      </c>
      <c r="M261" t="str">
        <f t="shared" si="10"/>
        <v>OK</v>
      </c>
      <c r="N261" t="str">
        <f t="shared" si="11"/>
        <v>OK</v>
      </c>
    </row>
    <row r="262" spans="1:14">
      <c r="A262">
        <f>'Input 2 - Transactions'!A264</f>
        <v>0</v>
      </c>
      <c r="B262">
        <f>'Input 2 - Transactions'!B264</f>
        <v>0</v>
      </c>
      <c r="C262">
        <f>'Input 2 - Transactions'!C264</f>
        <v>0</v>
      </c>
      <c r="D262">
        <f>'Input 2 - Transactions'!D264</f>
        <v>0</v>
      </c>
      <c r="E262">
        <f>'Input 2 - Transactions'!E264</f>
        <v>0</v>
      </c>
      <c r="F262" s="29">
        <f>'Input 2 - Transactions'!F264</f>
        <v>0</v>
      </c>
      <c r="G262" s="29">
        <f>'Input 2 - Transactions'!G264</f>
        <v>0</v>
      </c>
      <c r="H262" t="e">
        <f>_xlfn.XLOOKUP(A262,'DB - Identities'!U:U,'DB - Identities'!B:B)</f>
        <v>#N/A</v>
      </c>
      <c r="I262" t="e">
        <f>_xlfn.XLOOKUP(H262,c_parties,'DB - Contracting Parties'!C:C)</f>
        <v>#N/A</v>
      </c>
      <c r="J262" t="e">
        <f>_xlfn.XLOOKUP(A262,'DB - Identities'!U:U,'DB - Identities'!Q:Q)</f>
        <v>#N/A</v>
      </c>
      <c r="K262" t="e">
        <f>_xlfn.XLOOKUP(D262,Static!J:J,Static!K:K)</f>
        <v>#N/A</v>
      </c>
      <c r="L262" t="e">
        <f>IF(I262="Bank",_xlfn.XLOOKUP(J262,'Pricing Sheet'!A:A,'Pricing Sheet'!B:B,'Pricing Sheet'!$B$6),IF(I262="Corporate",_xlfn.XLOOKUP(J262,'Pricing Sheet'!F:F,'Pricing Sheet'!G:G,'Pricing Sheet'!$G$6),0))</f>
        <v>#N/A</v>
      </c>
      <c r="M262" t="str">
        <f t="shared" si="10"/>
        <v>OK</v>
      </c>
      <c r="N262" t="str">
        <f t="shared" si="11"/>
        <v>OK</v>
      </c>
    </row>
    <row r="263" spans="1:14">
      <c r="A263">
        <f>'Input 2 - Transactions'!A265</f>
        <v>0</v>
      </c>
      <c r="B263">
        <f>'Input 2 - Transactions'!B265</f>
        <v>0</v>
      </c>
      <c r="C263">
        <f>'Input 2 - Transactions'!C265</f>
        <v>0</v>
      </c>
      <c r="D263">
        <f>'Input 2 - Transactions'!D265</f>
        <v>0</v>
      </c>
      <c r="E263">
        <f>'Input 2 - Transactions'!E265</f>
        <v>0</v>
      </c>
      <c r="F263" s="29">
        <f>'Input 2 - Transactions'!F265</f>
        <v>0</v>
      </c>
      <c r="G263" s="29">
        <f>'Input 2 - Transactions'!G265</f>
        <v>0</v>
      </c>
      <c r="H263" t="e">
        <f>_xlfn.XLOOKUP(A263,'DB - Identities'!U:U,'DB - Identities'!B:B)</f>
        <v>#N/A</v>
      </c>
      <c r="I263" t="e">
        <f>_xlfn.XLOOKUP(H263,c_parties,'DB - Contracting Parties'!C:C)</f>
        <v>#N/A</v>
      </c>
      <c r="J263" t="e">
        <f>_xlfn.XLOOKUP(A263,'DB - Identities'!U:U,'DB - Identities'!Q:Q)</f>
        <v>#N/A</v>
      </c>
      <c r="K263" t="e">
        <f>_xlfn.XLOOKUP(D263,Static!J:J,Static!K:K)</f>
        <v>#N/A</v>
      </c>
      <c r="L263" t="e">
        <f>IF(I263="Bank",_xlfn.XLOOKUP(J263,'Pricing Sheet'!A:A,'Pricing Sheet'!B:B,'Pricing Sheet'!$B$6),IF(I263="Corporate",_xlfn.XLOOKUP(J263,'Pricing Sheet'!F:F,'Pricing Sheet'!G:G,'Pricing Sheet'!$G$6),0))</f>
        <v>#N/A</v>
      </c>
      <c r="M263" t="str">
        <f t="shared" si="10"/>
        <v>OK</v>
      </c>
      <c r="N263" t="str">
        <f t="shared" si="11"/>
        <v>OK</v>
      </c>
    </row>
    <row r="264" spans="1:14">
      <c r="A264">
        <f>'Input 2 - Transactions'!A266</f>
        <v>0</v>
      </c>
      <c r="B264">
        <f>'Input 2 - Transactions'!B266</f>
        <v>0</v>
      </c>
      <c r="C264">
        <f>'Input 2 - Transactions'!C266</f>
        <v>0</v>
      </c>
      <c r="D264">
        <f>'Input 2 - Transactions'!D266</f>
        <v>0</v>
      </c>
      <c r="E264">
        <f>'Input 2 - Transactions'!E266</f>
        <v>0</v>
      </c>
      <c r="F264" s="29">
        <f>'Input 2 - Transactions'!F266</f>
        <v>0</v>
      </c>
      <c r="G264" s="29">
        <f>'Input 2 - Transactions'!G266</f>
        <v>0</v>
      </c>
      <c r="H264" t="e">
        <f>_xlfn.XLOOKUP(A264,'DB - Identities'!U:U,'DB - Identities'!B:B)</f>
        <v>#N/A</v>
      </c>
      <c r="I264" t="e">
        <f>_xlfn.XLOOKUP(H264,c_parties,'DB - Contracting Parties'!C:C)</f>
        <v>#N/A</v>
      </c>
      <c r="J264" t="e">
        <f>_xlfn.XLOOKUP(A264,'DB - Identities'!U:U,'DB - Identities'!Q:Q)</f>
        <v>#N/A</v>
      </c>
      <c r="K264" t="e">
        <f>_xlfn.XLOOKUP(D264,Static!J:J,Static!K:K)</f>
        <v>#N/A</v>
      </c>
      <c r="L264" t="e">
        <f>IF(I264="Bank",_xlfn.XLOOKUP(J264,'Pricing Sheet'!A:A,'Pricing Sheet'!B:B,'Pricing Sheet'!$B$6),IF(I264="Corporate",_xlfn.XLOOKUP(J264,'Pricing Sheet'!F:F,'Pricing Sheet'!G:G,'Pricing Sheet'!$G$6),0))</f>
        <v>#N/A</v>
      </c>
      <c r="M264" t="str">
        <f t="shared" si="10"/>
        <v>OK</v>
      </c>
      <c r="N264" t="str">
        <f t="shared" si="11"/>
        <v>OK</v>
      </c>
    </row>
    <row r="265" spans="1:14">
      <c r="A265">
        <f>'Input 2 - Transactions'!A267</f>
        <v>0</v>
      </c>
      <c r="B265">
        <f>'Input 2 - Transactions'!B267</f>
        <v>0</v>
      </c>
      <c r="C265">
        <f>'Input 2 - Transactions'!C267</f>
        <v>0</v>
      </c>
      <c r="D265">
        <f>'Input 2 - Transactions'!D267</f>
        <v>0</v>
      </c>
      <c r="E265">
        <f>'Input 2 - Transactions'!E267</f>
        <v>0</v>
      </c>
      <c r="F265" s="29">
        <f>'Input 2 - Transactions'!F267</f>
        <v>0</v>
      </c>
      <c r="G265" s="29">
        <f>'Input 2 - Transactions'!G267</f>
        <v>0</v>
      </c>
      <c r="H265" t="e">
        <f>_xlfn.XLOOKUP(A265,'DB - Identities'!U:U,'DB - Identities'!B:B)</f>
        <v>#N/A</v>
      </c>
      <c r="I265" t="e">
        <f>_xlfn.XLOOKUP(H265,c_parties,'DB - Contracting Parties'!C:C)</f>
        <v>#N/A</v>
      </c>
      <c r="J265" t="e">
        <f>_xlfn.XLOOKUP(A265,'DB - Identities'!U:U,'DB - Identities'!Q:Q)</f>
        <v>#N/A</v>
      </c>
      <c r="K265" t="e">
        <f>_xlfn.XLOOKUP(D265,Static!J:J,Static!K:K)</f>
        <v>#N/A</v>
      </c>
      <c r="L265" t="e">
        <f>IF(I265="Bank",_xlfn.XLOOKUP(J265,'Pricing Sheet'!A:A,'Pricing Sheet'!B:B,'Pricing Sheet'!$B$6),IF(I265="Corporate",_xlfn.XLOOKUP(J265,'Pricing Sheet'!F:F,'Pricing Sheet'!G:G,'Pricing Sheet'!$G$6),0))</f>
        <v>#N/A</v>
      </c>
      <c r="M265" t="str">
        <f t="shared" si="10"/>
        <v>OK</v>
      </c>
      <c r="N265" t="str">
        <f t="shared" si="11"/>
        <v>OK</v>
      </c>
    </row>
    <row r="266" spans="1:14">
      <c r="A266">
        <f>'Input 2 - Transactions'!A268</f>
        <v>0</v>
      </c>
      <c r="B266">
        <f>'Input 2 - Transactions'!B268</f>
        <v>0</v>
      </c>
      <c r="C266">
        <f>'Input 2 - Transactions'!C268</f>
        <v>0</v>
      </c>
      <c r="D266">
        <f>'Input 2 - Transactions'!D268</f>
        <v>0</v>
      </c>
      <c r="E266">
        <f>'Input 2 - Transactions'!E268</f>
        <v>0</v>
      </c>
      <c r="F266" s="29">
        <f>'Input 2 - Transactions'!F268</f>
        <v>0</v>
      </c>
      <c r="G266" s="29">
        <f>'Input 2 - Transactions'!G268</f>
        <v>0</v>
      </c>
      <c r="H266" t="e">
        <f>_xlfn.XLOOKUP(A266,'DB - Identities'!U:U,'DB - Identities'!B:B)</f>
        <v>#N/A</v>
      </c>
      <c r="I266" t="e">
        <f>_xlfn.XLOOKUP(H266,c_parties,'DB - Contracting Parties'!C:C)</f>
        <v>#N/A</v>
      </c>
      <c r="J266" t="e">
        <f>_xlfn.XLOOKUP(A266,'DB - Identities'!U:U,'DB - Identities'!Q:Q)</f>
        <v>#N/A</v>
      </c>
      <c r="K266" t="e">
        <f>_xlfn.XLOOKUP(D266,Static!J:J,Static!K:K)</f>
        <v>#N/A</v>
      </c>
      <c r="L266" t="e">
        <f>IF(I266="Bank",_xlfn.XLOOKUP(J266,'Pricing Sheet'!A:A,'Pricing Sheet'!B:B,'Pricing Sheet'!$B$6),IF(I266="Corporate",_xlfn.XLOOKUP(J266,'Pricing Sheet'!F:F,'Pricing Sheet'!G:G,'Pricing Sheet'!$G$6),0))</f>
        <v>#N/A</v>
      </c>
      <c r="M266" t="str">
        <f t="shared" si="10"/>
        <v>OK</v>
      </c>
      <c r="N266" t="str">
        <f t="shared" si="11"/>
        <v>OK</v>
      </c>
    </row>
    <row r="267" spans="1:14">
      <c r="A267">
        <f>'Input 2 - Transactions'!A269</f>
        <v>0</v>
      </c>
      <c r="B267">
        <f>'Input 2 - Transactions'!B269</f>
        <v>0</v>
      </c>
      <c r="C267">
        <f>'Input 2 - Transactions'!C269</f>
        <v>0</v>
      </c>
      <c r="D267">
        <f>'Input 2 - Transactions'!D269</f>
        <v>0</v>
      </c>
      <c r="E267">
        <f>'Input 2 - Transactions'!E269</f>
        <v>0</v>
      </c>
      <c r="F267" s="29">
        <f>'Input 2 - Transactions'!F269</f>
        <v>0</v>
      </c>
      <c r="G267" s="29">
        <f>'Input 2 - Transactions'!G269</f>
        <v>0</v>
      </c>
      <c r="H267" t="e">
        <f>_xlfn.XLOOKUP(A267,'DB - Identities'!U:U,'DB - Identities'!B:B)</f>
        <v>#N/A</v>
      </c>
      <c r="I267" t="e">
        <f>_xlfn.XLOOKUP(H267,c_parties,'DB - Contracting Parties'!C:C)</f>
        <v>#N/A</v>
      </c>
      <c r="J267" t="e">
        <f>_xlfn.XLOOKUP(A267,'DB - Identities'!U:U,'DB - Identities'!Q:Q)</f>
        <v>#N/A</v>
      </c>
      <c r="K267" t="e">
        <f>_xlfn.XLOOKUP(D267,Static!J:J,Static!K:K)</f>
        <v>#N/A</v>
      </c>
      <c r="L267" t="e">
        <f>IF(I267="Bank",_xlfn.XLOOKUP(J267,'Pricing Sheet'!A:A,'Pricing Sheet'!B:B,'Pricing Sheet'!$B$6),IF(I267="Corporate",_xlfn.XLOOKUP(J267,'Pricing Sheet'!F:F,'Pricing Sheet'!G:G,'Pricing Sheet'!$G$6),0))</f>
        <v>#N/A</v>
      </c>
      <c r="M267" t="str">
        <f t="shared" si="10"/>
        <v>OK</v>
      </c>
      <c r="N267" t="str">
        <f t="shared" si="11"/>
        <v>OK</v>
      </c>
    </row>
    <row r="268" spans="1:14">
      <c r="A268">
        <f>'Input 2 - Transactions'!A270</f>
        <v>0</v>
      </c>
      <c r="B268">
        <f>'Input 2 - Transactions'!B270</f>
        <v>0</v>
      </c>
      <c r="C268">
        <f>'Input 2 - Transactions'!C270</f>
        <v>0</v>
      </c>
      <c r="D268">
        <f>'Input 2 - Transactions'!D270</f>
        <v>0</v>
      </c>
      <c r="E268">
        <f>'Input 2 - Transactions'!E270</f>
        <v>0</v>
      </c>
      <c r="F268" s="29">
        <f>'Input 2 - Transactions'!F270</f>
        <v>0</v>
      </c>
      <c r="G268" s="29">
        <f>'Input 2 - Transactions'!G270</f>
        <v>0</v>
      </c>
      <c r="H268" t="e">
        <f>_xlfn.XLOOKUP(A268,'DB - Identities'!U:U,'DB - Identities'!B:B)</f>
        <v>#N/A</v>
      </c>
      <c r="I268" t="e">
        <f>_xlfn.XLOOKUP(H268,c_parties,'DB - Contracting Parties'!C:C)</f>
        <v>#N/A</v>
      </c>
      <c r="J268" t="e">
        <f>_xlfn.XLOOKUP(A268,'DB - Identities'!U:U,'DB - Identities'!Q:Q)</f>
        <v>#N/A</v>
      </c>
      <c r="K268" t="e">
        <f>_xlfn.XLOOKUP(D268,Static!J:J,Static!K:K)</f>
        <v>#N/A</v>
      </c>
      <c r="L268" t="e">
        <f>IF(I268="Bank",_xlfn.XLOOKUP(J268,'Pricing Sheet'!A:A,'Pricing Sheet'!B:B,'Pricing Sheet'!$B$6),IF(I268="Corporate",_xlfn.XLOOKUP(J268,'Pricing Sheet'!F:F,'Pricing Sheet'!G:G,'Pricing Sheet'!$G$6),0))</f>
        <v>#N/A</v>
      </c>
      <c r="M268" t="str">
        <f t="shared" si="10"/>
        <v>OK</v>
      </c>
      <c r="N268" t="str">
        <f t="shared" si="11"/>
        <v>OK</v>
      </c>
    </row>
    <row r="269" spans="1:14">
      <c r="A269">
        <f>'Input 2 - Transactions'!A271</f>
        <v>0</v>
      </c>
      <c r="B269">
        <f>'Input 2 - Transactions'!B271</f>
        <v>0</v>
      </c>
      <c r="C269">
        <f>'Input 2 - Transactions'!C271</f>
        <v>0</v>
      </c>
      <c r="D269">
        <f>'Input 2 - Transactions'!D271</f>
        <v>0</v>
      </c>
      <c r="E269">
        <f>'Input 2 - Transactions'!E271</f>
        <v>0</v>
      </c>
      <c r="F269" s="29">
        <f>'Input 2 - Transactions'!F271</f>
        <v>0</v>
      </c>
      <c r="G269" s="29">
        <f>'Input 2 - Transactions'!G271</f>
        <v>0</v>
      </c>
      <c r="H269" t="e">
        <f>_xlfn.XLOOKUP(A269,'DB - Identities'!U:U,'DB - Identities'!B:B)</f>
        <v>#N/A</v>
      </c>
      <c r="I269" t="e">
        <f>_xlfn.XLOOKUP(H269,c_parties,'DB - Contracting Parties'!C:C)</f>
        <v>#N/A</v>
      </c>
      <c r="J269" t="e">
        <f>_xlfn.XLOOKUP(A269,'DB - Identities'!U:U,'DB - Identities'!Q:Q)</f>
        <v>#N/A</v>
      </c>
      <c r="K269" t="e">
        <f>_xlfn.XLOOKUP(D269,Static!J:J,Static!K:K)</f>
        <v>#N/A</v>
      </c>
      <c r="L269" t="e">
        <f>IF(I269="Bank",_xlfn.XLOOKUP(J269,'Pricing Sheet'!A:A,'Pricing Sheet'!B:B,'Pricing Sheet'!$B$6),IF(I269="Corporate",_xlfn.XLOOKUP(J269,'Pricing Sheet'!F:F,'Pricing Sheet'!G:G,'Pricing Sheet'!$G$6),0))</f>
        <v>#N/A</v>
      </c>
      <c r="M269" t="str">
        <f t="shared" si="10"/>
        <v>OK</v>
      </c>
      <c r="N269" t="str">
        <f t="shared" si="11"/>
        <v>OK</v>
      </c>
    </row>
    <row r="270" spans="1:14">
      <c r="A270">
        <f>'Input 2 - Transactions'!A272</f>
        <v>0</v>
      </c>
      <c r="B270">
        <f>'Input 2 - Transactions'!B272</f>
        <v>0</v>
      </c>
      <c r="C270">
        <f>'Input 2 - Transactions'!C272</f>
        <v>0</v>
      </c>
      <c r="D270">
        <f>'Input 2 - Transactions'!D272</f>
        <v>0</v>
      </c>
      <c r="E270">
        <f>'Input 2 - Transactions'!E272</f>
        <v>0</v>
      </c>
      <c r="F270" s="29">
        <f>'Input 2 - Transactions'!F272</f>
        <v>0</v>
      </c>
      <c r="G270" s="29">
        <f>'Input 2 - Transactions'!G272</f>
        <v>0</v>
      </c>
      <c r="H270" t="e">
        <f>_xlfn.XLOOKUP(A270,'DB - Identities'!U:U,'DB - Identities'!B:B)</f>
        <v>#N/A</v>
      </c>
      <c r="I270" t="e">
        <f>_xlfn.XLOOKUP(H270,c_parties,'DB - Contracting Parties'!C:C)</f>
        <v>#N/A</v>
      </c>
      <c r="J270" t="e">
        <f>_xlfn.XLOOKUP(A270,'DB - Identities'!U:U,'DB - Identities'!Q:Q)</f>
        <v>#N/A</v>
      </c>
      <c r="K270" t="e">
        <f>_xlfn.XLOOKUP(D270,Static!J:J,Static!K:K)</f>
        <v>#N/A</v>
      </c>
      <c r="L270" t="e">
        <f>IF(I270="Bank",_xlfn.XLOOKUP(J270,'Pricing Sheet'!A:A,'Pricing Sheet'!B:B,'Pricing Sheet'!$B$6),IF(I270="Corporate",_xlfn.XLOOKUP(J270,'Pricing Sheet'!F:F,'Pricing Sheet'!G:G,'Pricing Sheet'!$G$6),0))</f>
        <v>#N/A</v>
      </c>
      <c r="M270" t="str">
        <f t="shared" si="10"/>
        <v>OK</v>
      </c>
      <c r="N270" t="str">
        <f t="shared" si="11"/>
        <v>OK</v>
      </c>
    </row>
    <row r="271" spans="1:14">
      <c r="A271">
        <f>'Input 2 - Transactions'!A273</f>
        <v>0</v>
      </c>
      <c r="B271">
        <f>'Input 2 - Transactions'!B273</f>
        <v>0</v>
      </c>
      <c r="C271">
        <f>'Input 2 - Transactions'!C273</f>
        <v>0</v>
      </c>
      <c r="D271">
        <f>'Input 2 - Transactions'!D273</f>
        <v>0</v>
      </c>
      <c r="E271">
        <f>'Input 2 - Transactions'!E273</f>
        <v>0</v>
      </c>
      <c r="F271" s="29">
        <f>'Input 2 - Transactions'!F273</f>
        <v>0</v>
      </c>
      <c r="G271" s="29">
        <f>'Input 2 - Transactions'!G273</f>
        <v>0</v>
      </c>
      <c r="H271" t="e">
        <f>_xlfn.XLOOKUP(A271,'DB - Identities'!U:U,'DB - Identities'!B:B)</f>
        <v>#N/A</v>
      </c>
      <c r="I271" t="e">
        <f>_xlfn.XLOOKUP(H271,c_parties,'DB - Contracting Parties'!C:C)</f>
        <v>#N/A</v>
      </c>
      <c r="J271" t="e">
        <f>_xlfn.XLOOKUP(A271,'DB - Identities'!U:U,'DB - Identities'!Q:Q)</f>
        <v>#N/A</v>
      </c>
      <c r="K271" t="e">
        <f>_xlfn.XLOOKUP(D271,Static!J:J,Static!K:K)</f>
        <v>#N/A</v>
      </c>
      <c r="L271" t="e">
        <f>IF(I271="Bank",_xlfn.XLOOKUP(J271,'Pricing Sheet'!A:A,'Pricing Sheet'!B:B,'Pricing Sheet'!$B$6),IF(I271="Corporate",_xlfn.XLOOKUP(J271,'Pricing Sheet'!F:F,'Pricing Sheet'!G:G,'Pricing Sheet'!$G$6),0))</f>
        <v>#N/A</v>
      </c>
      <c r="M271" t="str">
        <f t="shared" si="10"/>
        <v>OK</v>
      </c>
      <c r="N271" t="str">
        <f t="shared" si="11"/>
        <v>OK</v>
      </c>
    </row>
    <row r="272" spans="1:14">
      <c r="A272">
        <f>'Input 2 - Transactions'!A274</f>
        <v>0</v>
      </c>
      <c r="B272">
        <f>'Input 2 - Transactions'!B274</f>
        <v>0</v>
      </c>
      <c r="C272">
        <f>'Input 2 - Transactions'!C274</f>
        <v>0</v>
      </c>
      <c r="D272">
        <f>'Input 2 - Transactions'!D274</f>
        <v>0</v>
      </c>
      <c r="E272">
        <f>'Input 2 - Transactions'!E274</f>
        <v>0</v>
      </c>
      <c r="F272" s="29">
        <f>'Input 2 - Transactions'!F274</f>
        <v>0</v>
      </c>
      <c r="G272" s="29">
        <f>'Input 2 - Transactions'!G274</f>
        <v>0</v>
      </c>
      <c r="H272" t="e">
        <f>_xlfn.XLOOKUP(A272,'DB - Identities'!U:U,'DB - Identities'!B:B)</f>
        <v>#N/A</v>
      </c>
      <c r="I272" t="e">
        <f>_xlfn.XLOOKUP(H272,c_parties,'DB - Contracting Parties'!C:C)</f>
        <v>#N/A</v>
      </c>
      <c r="J272" t="e">
        <f>_xlfn.XLOOKUP(A272,'DB - Identities'!U:U,'DB - Identities'!Q:Q)</f>
        <v>#N/A</v>
      </c>
      <c r="K272" t="e">
        <f>_xlfn.XLOOKUP(D272,Static!J:J,Static!K:K)</f>
        <v>#N/A</v>
      </c>
      <c r="L272" t="e">
        <f>IF(I272="Bank",_xlfn.XLOOKUP(J272,'Pricing Sheet'!A:A,'Pricing Sheet'!B:B,'Pricing Sheet'!$B$6),IF(I272="Corporate",_xlfn.XLOOKUP(J272,'Pricing Sheet'!F:F,'Pricing Sheet'!G:G,'Pricing Sheet'!$G$6),0))</f>
        <v>#N/A</v>
      </c>
      <c r="M272" t="str">
        <f t="shared" si="10"/>
        <v>OK</v>
      </c>
      <c r="N272" t="str">
        <f t="shared" si="11"/>
        <v>OK</v>
      </c>
    </row>
    <row r="273" spans="1:14">
      <c r="A273">
        <f>'Input 2 - Transactions'!A275</f>
        <v>0</v>
      </c>
      <c r="B273">
        <f>'Input 2 - Transactions'!B275</f>
        <v>0</v>
      </c>
      <c r="C273">
        <f>'Input 2 - Transactions'!C275</f>
        <v>0</v>
      </c>
      <c r="D273">
        <f>'Input 2 - Transactions'!D275</f>
        <v>0</v>
      </c>
      <c r="E273">
        <f>'Input 2 - Transactions'!E275</f>
        <v>0</v>
      </c>
      <c r="F273" s="29">
        <f>'Input 2 - Transactions'!F275</f>
        <v>0</v>
      </c>
      <c r="G273" s="29">
        <f>'Input 2 - Transactions'!G275</f>
        <v>0</v>
      </c>
      <c r="H273" t="e">
        <f>_xlfn.XLOOKUP(A273,'DB - Identities'!U:U,'DB - Identities'!B:B)</f>
        <v>#N/A</v>
      </c>
      <c r="I273" t="e">
        <f>_xlfn.XLOOKUP(H273,c_parties,'DB - Contracting Parties'!C:C)</f>
        <v>#N/A</v>
      </c>
      <c r="J273" t="e">
        <f>_xlfn.XLOOKUP(A273,'DB - Identities'!U:U,'DB - Identities'!Q:Q)</f>
        <v>#N/A</v>
      </c>
      <c r="K273" t="e">
        <f>_xlfn.XLOOKUP(D273,Static!J:J,Static!K:K)</f>
        <v>#N/A</v>
      </c>
      <c r="L273" t="e">
        <f>IF(I273="Bank",_xlfn.XLOOKUP(J273,'Pricing Sheet'!A:A,'Pricing Sheet'!B:B,'Pricing Sheet'!$B$6),IF(I273="Corporate",_xlfn.XLOOKUP(J273,'Pricing Sheet'!F:F,'Pricing Sheet'!G:G,'Pricing Sheet'!$G$6),0))</f>
        <v>#N/A</v>
      </c>
      <c r="M273" t="str">
        <f t="shared" si="10"/>
        <v>OK</v>
      </c>
      <c r="N273" t="str">
        <f t="shared" si="11"/>
        <v>OK</v>
      </c>
    </row>
    <row r="274" spans="1:14">
      <c r="A274">
        <f>'Input 2 - Transactions'!A276</f>
        <v>0</v>
      </c>
      <c r="B274">
        <f>'Input 2 - Transactions'!B276</f>
        <v>0</v>
      </c>
      <c r="C274">
        <f>'Input 2 - Transactions'!C276</f>
        <v>0</v>
      </c>
      <c r="D274">
        <f>'Input 2 - Transactions'!D276</f>
        <v>0</v>
      </c>
      <c r="E274">
        <f>'Input 2 - Transactions'!E276</f>
        <v>0</v>
      </c>
      <c r="F274" s="29">
        <f>'Input 2 - Transactions'!F276</f>
        <v>0</v>
      </c>
      <c r="G274" s="29">
        <f>'Input 2 - Transactions'!G276</f>
        <v>0</v>
      </c>
      <c r="H274" t="e">
        <f>_xlfn.XLOOKUP(A274,'DB - Identities'!U:U,'DB - Identities'!B:B)</f>
        <v>#N/A</v>
      </c>
      <c r="I274" t="e">
        <f>_xlfn.XLOOKUP(H274,c_parties,'DB - Contracting Parties'!C:C)</f>
        <v>#N/A</v>
      </c>
      <c r="J274" t="e">
        <f>_xlfn.XLOOKUP(A274,'DB - Identities'!U:U,'DB - Identities'!Q:Q)</f>
        <v>#N/A</v>
      </c>
      <c r="K274" t="e">
        <f>_xlfn.XLOOKUP(D274,Static!J:J,Static!K:K)</f>
        <v>#N/A</v>
      </c>
      <c r="L274" t="e">
        <f>IF(I274="Bank",_xlfn.XLOOKUP(J274,'Pricing Sheet'!A:A,'Pricing Sheet'!B:B,'Pricing Sheet'!$B$6),IF(I274="Corporate",_xlfn.XLOOKUP(J274,'Pricing Sheet'!F:F,'Pricing Sheet'!G:G,'Pricing Sheet'!$G$6),0))</f>
        <v>#N/A</v>
      </c>
      <c r="M274" t="str">
        <f t="shared" si="10"/>
        <v>OK</v>
      </c>
      <c r="N274" t="str">
        <f t="shared" si="11"/>
        <v>OK</v>
      </c>
    </row>
    <row r="275" spans="1:14">
      <c r="A275">
        <f>'Input 2 - Transactions'!A277</f>
        <v>0</v>
      </c>
      <c r="B275">
        <f>'Input 2 - Transactions'!B277</f>
        <v>0</v>
      </c>
      <c r="C275">
        <f>'Input 2 - Transactions'!C277</f>
        <v>0</v>
      </c>
      <c r="D275">
        <f>'Input 2 - Transactions'!D277</f>
        <v>0</v>
      </c>
      <c r="E275">
        <f>'Input 2 - Transactions'!E277</f>
        <v>0</v>
      </c>
      <c r="F275" s="29">
        <f>'Input 2 - Transactions'!F277</f>
        <v>0</v>
      </c>
      <c r="G275" s="29">
        <f>'Input 2 - Transactions'!G277</f>
        <v>0</v>
      </c>
      <c r="H275" t="e">
        <f>_xlfn.XLOOKUP(A275,'DB - Identities'!U:U,'DB - Identities'!B:B)</f>
        <v>#N/A</v>
      </c>
      <c r="I275" t="e">
        <f>_xlfn.XLOOKUP(H275,c_parties,'DB - Contracting Parties'!C:C)</f>
        <v>#N/A</v>
      </c>
      <c r="J275" t="e">
        <f>_xlfn.XLOOKUP(A275,'DB - Identities'!U:U,'DB - Identities'!Q:Q)</f>
        <v>#N/A</v>
      </c>
      <c r="K275" t="e">
        <f>_xlfn.XLOOKUP(D275,Static!J:J,Static!K:K)</f>
        <v>#N/A</v>
      </c>
      <c r="L275" t="e">
        <f>IF(I275="Bank",_xlfn.XLOOKUP(J275,'Pricing Sheet'!A:A,'Pricing Sheet'!B:B,'Pricing Sheet'!$B$6),IF(I275="Corporate",_xlfn.XLOOKUP(J275,'Pricing Sheet'!F:F,'Pricing Sheet'!G:G,'Pricing Sheet'!$G$6),0))</f>
        <v>#N/A</v>
      </c>
      <c r="M275" t="str">
        <f t="shared" si="10"/>
        <v>OK</v>
      </c>
      <c r="N275" t="str">
        <f t="shared" si="11"/>
        <v>OK</v>
      </c>
    </row>
    <row r="276" spans="1:14">
      <c r="A276">
        <f>'Input 2 - Transactions'!A278</f>
        <v>0</v>
      </c>
      <c r="B276">
        <f>'Input 2 - Transactions'!B278</f>
        <v>0</v>
      </c>
      <c r="C276">
        <f>'Input 2 - Transactions'!C278</f>
        <v>0</v>
      </c>
      <c r="D276">
        <f>'Input 2 - Transactions'!D278</f>
        <v>0</v>
      </c>
      <c r="E276">
        <f>'Input 2 - Transactions'!E278</f>
        <v>0</v>
      </c>
      <c r="F276" s="29">
        <f>'Input 2 - Transactions'!F278</f>
        <v>0</v>
      </c>
      <c r="G276" s="29">
        <f>'Input 2 - Transactions'!G278</f>
        <v>0</v>
      </c>
      <c r="H276" t="e">
        <f>_xlfn.XLOOKUP(A276,'DB - Identities'!U:U,'DB - Identities'!B:B)</f>
        <v>#N/A</v>
      </c>
      <c r="I276" t="e">
        <f>_xlfn.XLOOKUP(H276,c_parties,'DB - Contracting Parties'!C:C)</f>
        <v>#N/A</v>
      </c>
      <c r="J276" t="e">
        <f>_xlfn.XLOOKUP(A276,'DB - Identities'!U:U,'DB - Identities'!Q:Q)</f>
        <v>#N/A</v>
      </c>
      <c r="K276" t="e">
        <f>_xlfn.XLOOKUP(D276,Static!J:J,Static!K:K)</f>
        <v>#N/A</v>
      </c>
      <c r="L276" t="e">
        <f>IF(I276="Bank",_xlfn.XLOOKUP(J276,'Pricing Sheet'!A:A,'Pricing Sheet'!B:B,'Pricing Sheet'!$B$6),IF(I276="Corporate",_xlfn.XLOOKUP(J276,'Pricing Sheet'!F:F,'Pricing Sheet'!G:G,'Pricing Sheet'!$G$6),0))</f>
        <v>#N/A</v>
      </c>
      <c r="M276" t="str">
        <f t="shared" si="10"/>
        <v>OK</v>
      </c>
      <c r="N276" t="str">
        <f t="shared" si="11"/>
        <v>OK</v>
      </c>
    </row>
    <row r="277" spans="1:14">
      <c r="A277">
        <f>'Input 2 - Transactions'!A279</f>
        <v>0</v>
      </c>
      <c r="B277">
        <f>'Input 2 - Transactions'!B279</f>
        <v>0</v>
      </c>
      <c r="C277">
        <f>'Input 2 - Transactions'!C279</f>
        <v>0</v>
      </c>
      <c r="D277">
        <f>'Input 2 - Transactions'!D279</f>
        <v>0</v>
      </c>
      <c r="E277">
        <f>'Input 2 - Transactions'!E279</f>
        <v>0</v>
      </c>
      <c r="F277" s="29">
        <f>'Input 2 - Transactions'!F279</f>
        <v>0</v>
      </c>
      <c r="G277" s="29">
        <f>'Input 2 - Transactions'!G279</f>
        <v>0</v>
      </c>
      <c r="H277" t="e">
        <f>_xlfn.XLOOKUP(A277,'DB - Identities'!U:U,'DB - Identities'!B:B)</f>
        <v>#N/A</v>
      </c>
      <c r="I277" t="e">
        <f>_xlfn.XLOOKUP(H277,c_parties,'DB - Contracting Parties'!C:C)</f>
        <v>#N/A</v>
      </c>
      <c r="J277" t="e">
        <f>_xlfn.XLOOKUP(A277,'DB - Identities'!U:U,'DB - Identities'!Q:Q)</f>
        <v>#N/A</v>
      </c>
      <c r="K277" t="e">
        <f>_xlfn.XLOOKUP(D277,Static!J:J,Static!K:K)</f>
        <v>#N/A</v>
      </c>
      <c r="L277" t="e">
        <f>IF(I277="Bank",_xlfn.XLOOKUP(J277,'Pricing Sheet'!A:A,'Pricing Sheet'!B:B,'Pricing Sheet'!$B$6),IF(I277="Corporate",_xlfn.XLOOKUP(J277,'Pricing Sheet'!F:F,'Pricing Sheet'!G:G,'Pricing Sheet'!$G$6),0))</f>
        <v>#N/A</v>
      </c>
      <c r="M277" t="str">
        <f t="shared" si="10"/>
        <v>OK</v>
      </c>
      <c r="N277" t="str">
        <f t="shared" si="11"/>
        <v>OK</v>
      </c>
    </row>
    <row r="278" spans="1:14">
      <c r="A278">
        <f>'Input 2 - Transactions'!A280</f>
        <v>0</v>
      </c>
      <c r="B278">
        <f>'Input 2 - Transactions'!B280</f>
        <v>0</v>
      </c>
      <c r="C278">
        <f>'Input 2 - Transactions'!C280</f>
        <v>0</v>
      </c>
      <c r="D278">
        <f>'Input 2 - Transactions'!D280</f>
        <v>0</v>
      </c>
      <c r="E278">
        <f>'Input 2 - Transactions'!E280</f>
        <v>0</v>
      </c>
      <c r="F278" s="29">
        <f>'Input 2 - Transactions'!F280</f>
        <v>0</v>
      </c>
      <c r="G278" s="29">
        <f>'Input 2 - Transactions'!G280</f>
        <v>0</v>
      </c>
      <c r="H278" t="e">
        <f>_xlfn.XLOOKUP(A278,'DB - Identities'!U:U,'DB - Identities'!B:B)</f>
        <v>#N/A</v>
      </c>
      <c r="I278" t="e">
        <f>_xlfn.XLOOKUP(H278,c_parties,'DB - Contracting Parties'!C:C)</f>
        <v>#N/A</v>
      </c>
      <c r="J278" t="e">
        <f>_xlfn.XLOOKUP(A278,'DB - Identities'!U:U,'DB - Identities'!Q:Q)</f>
        <v>#N/A</v>
      </c>
      <c r="K278" t="e">
        <f>_xlfn.XLOOKUP(D278,Static!J:J,Static!K:K)</f>
        <v>#N/A</v>
      </c>
      <c r="L278" t="e">
        <f>IF(I278="Bank",_xlfn.XLOOKUP(J278,'Pricing Sheet'!A:A,'Pricing Sheet'!B:B,'Pricing Sheet'!$B$6),IF(I278="Corporate",_xlfn.XLOOKUP(J278,'Pricing Sheet'!F:F,'Pricing Sheet'!G:G,'Pricing Sheet'!$G$6),0))</f>
        <v>#N/A</v>
      </c>
      <c r="M278" t="str">
        <f t="shared" si="10"/>
        <v>OK</v>
      </c>
      <c r="N278" t="str">
        <f t="shared" si="11"/>
        <v>OK</v>
      </c>
    </row>
    <row r="279" spans="1:14">
      <c r="A279">
        <f>'Input 2 - Transactions'!A281</f>
        <v>0</v>
      </c>
      <c r="B279">
        <f>'Input 2 - Transactions'!B281</f>
        <v>0</v>
      </c>
      <c r="C279">
        <f>'Input 2 - Transactions'!C281</f>
        <v>0</v>
      </c>
      <c r="D279">
        <f>'Input 2 - Transactions'!D281</f>
        <v>0</v>
      </c>
      <c r="E279">
        <f>'Input 2 - Transactions'!E281</f>
        <v>0</v>
      </c>
      <c r="F279" s="29">
        <f>'Input 2 - Transactions'!F281</f>
        <v>0</v>
      </c>
      <c r="G279" s="29">
        <f>'Input 2 - Transactions'!G281</f>
        <v>0</v>
      </c>
      <c r="H279" t="e">
        <f>_xlfn.XLOOKUP(A279,'DB - Identities'!U:U,'DB - Identities'!B:B)</f>
        <v>#N/A</v>
      </c>
      <c r="I279" t="e">
        <f>_xlfn.XLOOKUP(H279,c_parties,'DB - Contracting Parties'!C:C)</f>
        <v>#N/A</v>
      </c>
      <c r="J279" t="e">
        <f>_xlfn.XLOOKUP(A279,'DB - Identities'!U:U,'DB - Identities'!Q:Q)</f>
        <v>#N/A</v>
      </c>
      <c r="K279" t="e">
        <f>_xlfn.XLOOKUP(D279,Static!J:J,Static!K:K)</f>
        <v>#N/A</v>
      </c>
      <c r="L279" t="e">
        <f>IF(I279="Bank",_xlfn.XLOOKUP(J279,'Pricing Sheet'!A:A,'Pricing Sheet'!B:B,'Pricing Sheet'!$B$6),IF(I279="Corporate",_xlfn.XLOOKUP(J279,'Pricing Sheet'!F:F,'Pricing Sheet'!G:G,'Pricing Sheet'!$G$6),0))</f>
        <v>#N/A</v>
      </c>
      <c r="M279" t="str">
        <f t="shared" si="10"/>
        <v>OK</v>
      </c>
      <c r="N279" t="str">
        <f t="shared" si="11"/>
        <v>OK</v>
      </c>
    </row>
    <row r="280" spans="1:14">
      <c r="A280">
        <f>'Input 2 - Transactions'!A282</f>
        <v>0</v>
      </c>
      <c r="B280">
        <f>'Input 2 - Transactions'!B282</f>
        <v>0</v>
      </c>
      <c r="C280">
        <f>'Input 2 - Transactions'!C282</f>
        <v>0</v>
      </c>
      <c r="D280">
        <f>'Input 2 - Transactions'!D282</f>
        <v>0</v>
      </c>
      <c r="E280">
        <f>'Input 2 - Transactions'!E282</f>
        <v>0</v>
      </c>
      <c r="F280" s="29">
        <f>'Input 2 - Transactions'!F282</f>
        <v>0</v>
      </c>
      <c r="G280" s="29">
        <f>'Input 2 - Transactions'!G282</f>
        <v>0</v>
      </c>
      <c r="H280" t="e">
        <f>_xlfn.XLOOKUP(A280,'DB - Identities'!U:U,'DB - Identities'!B:B)</f>
        <v>#N/A</v>
      </c>
      <c r="I280" t="e">
        <f>_xlfn.XLOOKUP(H280,c_parties,'DB - Contracting Parties'!C:C)</f>
        <v>#N/A</v>
      </c>
      <c r="J280" t="e">
        <f>_xlfn.XLOOKUP(A280,'DB - Identities'!U:U,'DB - Identities'!Q:Q)</f>
        <v>#N/A</v>
      </c>
      <c r="K280" t="e">
        <f>_xlfn.XLOOKUP(D280,Static!J:J,Static!K:K)</f>
        <v>#N/A</v>
      </c>
      <c r="L280" t="e">
        <f>IF(I280="Bank",_xlfn.XLOOKUP(J280,'Pricing Sheet'!A:A,'Pricing Sheet'!B:B,'Pricing Sheet'!$B$6),IF(I280="Corporate",_xlfn.XLOOKUP(J280,'Pricing Sheet'!F:F,'Pricing Sheet'!G:G,'Pricing Sheet'!$G$6),0))</f>
        <v>#N/A</v>
      </c>
      <c r="M280" t="str">
        <f t="shared" si="10"/>
        <v>OK</v>
      </c>
      <c r="N280" t="str">
        <f t="shared" si="11"/>
        <v>OK</v>
      </c>
    </row>
    <row r="281" spans="1:14">
      <c r="A281">
        <f>'Input 2 - Transactions'!A283</f>
        <v>0</v>
      </c>
      <c r="B281">
        <f>'Input 2 - Transactions'!B283</f>
        <v>0</v>
      </c>
      <c r="C281">
        <f>'Input 2 - Transactions'!C283</f>
        <v>0</v>
      </c>
      <c r="D281">
        <f>'Input 2 - Transactions'!D283</f>
        <v>0</v>
      </c>
      <c r="E281">
        <f>'Input 2 - Transactions'!E283</f>
        <v>0</v>
      </c>
      <c r="F281" s="29">
        <f>'Input 2 - Transactions'!F283</f>
        <v>0</v>
      </c>
      <c r="G281" s="29">
        <f>'Input 2 - Transactions'!G283</f>
        <v>0</v>
      </c>
      <c r="H281" t="e">
        <f>_xlfn.XLOOKUP(A281,'DB - Identities'!U:U,'DB - Identities'!B:B)</f>
        <v>#N/A</v>
      </c>
      <c r="I281" t="e">
        <f>_xlfn.XLOOKUP(H281,c_parties,'DB - Contracting Parties'!C:C)</f>
        <v>#N/A</v>
      </c>
      <c r="J281" t="e">
        <f>_xlfn.XLOOKUP(A281,'DB - Identities'!U:U,'DB - Identities'!Q:Q)</f>
        <v>#N/A</v>
      </c>
      <c r="K281" t="e">
        <f>_xlfn.XLOOKUP(D281,Static!J:J,Static!K:K)</f>
        <v>#N/A</v>
      </c>
      <c r="L281" t="e">
        <f>IF(I281="Bank",_xlfn.XLOOKUP(J281,'Pricing Sheet'!A:A,'Pricing Sheet'!B:B,'Pricing Sheet'!$B$6),IF(I281="Corporate",_xlfn.XLOOKUP(J281,'Pricing Sheet'!F:F,'Pricing Sheet'!G:G,'Pricing Sheet'!$G$6),0))</f>
        <v>#N/A</v>
      </c>
      <c r="M281" t="str">
        <f t="shared" si="10"/>
        <v>OK</v>
      </c>
      <c r="N281" t="str">
        <f t="shared" si="11"/>
        <v>OK</v>
      </c>
    </row>
    <row r="282" spans="1:14">
      <c r="A282">
        <f>'Input 2 - Transactions'!A284</f>
        <v>0</v>
      </c>
      <c r="B282">
        <f>'Input 2 - Transactions'!B284</f>
        <v>0</v>
      </c>
      <c r="C282">
        <f>'Input 2 - Transactions'!C284</f>
        <v>0</v>
      </c>
      <c r="D282">
        <f>'Input 2 - Transactions'!D284</f>
        <v>0</v>
      </c>
      <c r="E282">
        <f>'Input 2 - Transactions'!E284</f>
        <v>0</v>
      </c>
      <c r="F282" s="29">
        <f>'Input 2 - Transactions'!F284</f>
        <v>0</v>
      </c>
      <c r="G282" s="29">
        <f>'Input 2 - Transactions'!G284</f>
        <v>0</v>
      </c>
      <c r="H282" t="e">
        <f>_xlfn.XLOOKUP(A282,'DB - Identities'!U:U,'DB - Identities'!B:B)</f>
        <v>#N/A</v>
      </c>
      <c r="I282" t="e">
        <f>_xlfn.XLOOKUP(H282,c_parties,'DB - Contracting Parties'!C:C)</f>
        <v>#N/A</v>
      </c>
      <c r="J282" t="e">
        <f>_xlfn.XLOOKUP(A282,'DB - Identities'!U:U,'DB - Identities'!Q:Q)</f>
        <v>#N/A</v>
      </c>
      <c r="K282" t="e">
        <f>_xlfn.XLOOKUP(D282,Static!J:J,Static!K:K)</f>
        <v>#N/A</v>
      </c>
      <c r="L282" t="e">
        <f>IF(I282="Bank",_xlfn.XLOOKUP(J282,'Pricing Sheet'!A:A,'Pricing Sheet'!B:B,'Pricing Sheet'!$B$6),IF(I282="Corporate",_xlfn.XLOOKUP(J282,'Pricing Sheet'!F:F,'Pricing Sheet'!G:G,'Pricing Sheet'!$G$6),0))</f>
        <v>#N/A</v>
      </c>
      <c r="M282" t="str">
        <f t="shared" si="10"/>
        <v>OK</v>
      </c>
      <c r="N282" t="str">
        <f t="shared" si="11"/>
        <v>OK</v>
      </c>
    </row>
    <row r="283" spans="1:14">
      <c r="A283">
        <f>'Input 2 - Transactions'!A285</f>
        <v>0</v>
      </c>
      <c r="B283">
        <f>'Input 2 - Transactions'!B285</f>
        <v>0</v>
      </c>
      <c r="C283">
        <f>'Input 2 - Transactions'!C285</f>
        <v>0</v>
      </c>
      <c r="D283">
        <f>'Input 2 - Transactions'!D285</f>
        <v>0</v>
      </c>
      <c r="E283">
        <f>'Input 2 - Transactions'!E285</f>
        <v>0</v>
      </c>
      <c r="F283" s="29">
        <f>'Input 2 - Transactions'!F285</f>
        <v>0</v>
      </c>
      <c r="G283" s="29">
        <f>'Input 2 - Transactions'!G285</f>
        <v>0</v>
      </c>
      <c r="H283" t="e">
        <f>_xlfn.XLOOKUP(A283,'DB - Identities'!U:U,'DB - Identities'!B:B)</f>
        <v>#N/A</v>
      </c>
      <c r="I283" t="e">
        <f>_xlfn.XLOOKUP(H283,c_parties,'DB - Contracting Parties'!C:C)</f>
        <v>#N/A</v>
      </c>
      <c r="J283" t="e">
        <f>_xlfn.XLOOKUP(A283,'DB - Identities'!U:U,'DB - Identities'!Q:Q)</f>
        <v>#N/A</v>
      </c>
      <c r="K283" t="e">
        <f>_xlfn.XLOOKUP(D283,Static!J:J,Static!K:K)</f>
        <v>#N/A</v>
      </c>
      <c r="L283" t="e">
        <f>IF(I283="Bank",_xlfn.XLOOKUP(J283,'Pricing Sheet'!A:A,'Pricing Sheet'!B:B,'Pricing Sheet'!$B$6),IF(I283="Corporate",_xlfn.XLOOKUP(J283,'Pricing Sheet'!F:F,'Pricing Sheet'!G:G,'Pricing Sheet'!$G$6),0))</f>
        <v>#N/A</v>
      </c>
      <c r="M283" t="str">
        <f t="shared" si="10"/>
        <v>OK</v>
      </c>
      <c r="N283" t="str">
        <f t="shared" si="11"/>
        <v>OK</v>
      </c>
    </row>
    <row r="284" spans="1:14">
      <c r="A284">
        <f>'Input 2 - Transactions'!A286</f>
        <v>0</v>
      </c>
      <c r="B284">
        <f>'Input 2 - Transactions'!B286</f>
        <v>0</v>
      </c>
      <c r="C284">
        <f>'Input 2 - Transactions'!C286</f>
        <v>0</v>
      </c>
      <c r="D284">
        <f>'Input 2 - Transactions'!D286</f>
        <v>0</v>
      </c>
      <c r="E284">
        <f>'Input 2 - Transactions'!E286</f>
        <v>0</v>
      </c>
      <c r="F284" s="29">
        <f>'Input 2 - Transactions'!F286</f>
        <v>0</v>
      </c>
      <c r="G284" s="29">
        <f>'Input 2 - Transactions'!G286</f>
        <v>0</v>
      </c>
      <c r="H284" t="e">
        <f>_xlfn.XLOOKUP(A284,'DB - Identities'!U:U,'DB - Identities'!B:B)</f>
        <v>#N/A</v>
      </c>
      <c r="I284" t="e">
        <f>_xlfn.XLOOKUP(H284,c_parties,'DB - Contracting Parties'!C:C)</f>
        <v>#N/A</v>
      </c>
      <c r="J284" t="e">
        <f>_xlfn.XLOOKUP(A284,'DB - Identities'!U:U,'DB - Identities'!Q:Q)</f>
        <v>#N/A</v>
      </c>
      <c r="K284" t="e">
        <f>_xlfn.XLOOKUP(D284,Static!J:J,Static!K:K)</f>
        <v>#N/A</v>
      </c>
      <c r="L284" t="e">
        <f>IF(I284="Bank",_xlfn.XLOOKUP(J284,'Pricing Sheet'!A:A,'Pricing Sheet'!B:B,'Pricing Sheet'!$B$6),IF(I284="Corporate",_xlfn.XLOOKUP(J284,'Pricing Sheet'!F:F,'Pricing Sheet'!G:G,'Pricing Sheet'!$G$6),0))</f>
        <v>#N/A</v>
      </c>
      <c r="M284" t="str">
        <f t="shared" si="10"/>
        <v>OK</v>
      </c>
      <c r="N284" t="str">
        <f t="shared" si="11"/>
        <v>OK</v>
      </c>
    </row>
    <row r="285" spans="1:14">
      <c r="A285">
        <f>'Input 2 - Transactions'!A287</f>
        <v>0</v>
      </c>
      <c r="B285">
        <f>'Input 2 - Transactions'!B287</f>
        <v>0</v>
      </c>
      <c r="C285">
        <f>'Input 2 - Transactions'!C287</f>
        <v>0</v>
      </c>
      <c r="D285">
        <f>'Input 2 - Transactions'!D287</f>
        <v>0</v>
      </c>
      <c r="E285">
        <f>'Input 2 - Transactions'!E287</f>
        <v>0</v>
      </c>
      <c r="F285" s="29">
        <f>'Input 2 - Transactions'!F287</f>
        <v>0</v>
      </c>
      <c r="G285" s="29">
        <f>'Input 2 - Transactions'!G287</f>
        <v>0</v>
      </c>
      <c r="H285" t="e">
        <f>_xlfn.XLOOKUP(A285,'DB - Identities'!U:U,'DB - Identities'!B:B)</f>
        <v>#N/A</v>
      </c>
      <c r="I285" t="e">
        <f>_xlfn.XLOOKUP(H285,c_parties,'DB - Contracting Parties'!C:C)</f>
        <v>#N/A</v>
      </c>
      <c r="J285" t="e">
        <f>_xlfn.XLOOKUP(A285,'DB - Identities'!U:U,'DB - Identities'!Q:Q)</f>
        <v>#N/A</v>
      </c>
      <c r="K285" t="e">
        <f>_xlfn.XLOOKUP(D285,Static!J:J,Static!K:K)</f>
        <v>#N/A</v>
      </c>
      <c r="L285" t="e">
        <f>IF(I285="Bank",_xlfn.XLOOKUP(J285,'Pricing Sheet'!A:A,'Pricing Sheet'!B:B,'Pricing Sheet'!$B$6),IF(I285="Corporate",_xlfn.XLOOKUP(J285,'Pricing Sheet'!F:F,'Pricing Sheet'!G:G,'Pricing Sheet'!$G$6),0))</f>
        <v>#N/A</v>
      </c>
      <c r="M285" t="str">
        <f t="shared" si="10"/>
        <v>OK</v>
      </c>
      <c r="N285" t="str">
        <f t="shared" si="11"/>
        <v>OK</v>
      </c>
    </row>
    <row r="286" spans="1:14">
      <c r="A286">
        <f>'Input 2 - Transactions'!A288</f>
        <v>0</v>
      </c>
      <c r="B286">
        <f>'Input 2 - Transactions'!B288</f>
        <v>0</v>
      </c>
      <c r="C286">
        <f>'Input 2 - Transactions'!C288</f>
        <v>0</v>
      </c>
      <c r="D286">
        <f>'Input 2 - Transactions'!D288</f>
        <v>0</v>
      </c>
      <c r="E286">
        <f>'Input 2 - Transactions'!E288</f>
        <v>0</v>
      </c>
      <c r="F286" s="29">
        <f>'Input 2 - Transactions'!F288</f>
        <v>0</v>
      </c>
      <c r="G286" s="29">
        <f>'Input 2 - Transactions'!G288</f>
        <v>0</v>
      </c>
      <c r="H286" t="e">
        <f>_xlfn.XLOOKUP(A286,'DB - Identities'!U:U,'DB - Identities'!B:B)</f>
        <v>#N/A</v>
      </c>
      <c r="I286" t="e">
        <f>_xlfn.XLOOKUP(H286,c_parties,'DB - Contracting Parties'!C:C)</f>
        <v>#N/A</v>
      </c>
      <c r="J286" t="e">
        <f>_xlfn.XLOOKUP(A286,'DB - Identities'!U:U,'DB - Identities'!Q:Q)</f>
        <v>#N/A</v>
      </c>
      <c r="K286" t="e">
        <f>_xlfn.XLOOKUP(D286,Static!J:J,Static!K:K)</f>
        <v>#N/A</v>
      </c>
      <c r="L286" t="e">
        <f>IF(I286="Bank",_xlfn.XLOOKUP(J286,'Pricing Sheet'!A:A,'Pricing Sheet'!B:B,'Pricing Sheet'!$B$6),IF(I286="Corporate",_xlfn.XLOOKUP(J286,'Pricing Sheet'!F:F,'Pricing Sheet'!G:G,'Pricing Sheet'!$G$6),0))</f>
        <v>#N/A</v>
      </c>
      <c r="M286" t="str">
        <f t="shared" si="10"/>
        <v>OK</v>
      </c>
      <c r="N286" t="str">
        <f t="shared" si="11"/>
        <v>OK</v>
      </c>
    </row>
    <row r="287" spans="1:14">
      <c r="A287">
        <f>'Input 2 - Transactions'!A289</f>
        <v>0</v>
      </c>
      <c r="B287">
        <f>'Input 2 - Transactions'!B289</f>
        <v>0</v>
      </c>
      <c r="C287">
        <f>'Input 2 - Transactions'!C289</f>
        <v>0</v>
      </c>
      <c r="D287">
        <f>'Input 2 - Transactions'!D289</f>
        <v>0</v>
      </c>
      <c r="E287">
        <f>'Input 2 - Transactions'!E289</f>
        <v>0</v>
      </c>
      <c r="F287" s="29">
        <f>'Input 2 - Transactions'!F289</f>
        <v>0</v>
      </c>
      <c r="G287" s="29">
        <f>'Input 2 - Transactions'!G289</f>
        <v>0</v>
      </c>
      <c r="H287" t="e">
        <f>_xlfn.XLOOKUP(A287,'DB - Identities'!U:U,'DB - Identities'!B:B)</f>
        <v>#N/A</v>
      </c>
      <c r="I287" t="e">
        <f>_xlfn.XLOOKUP(H287,c_parties,'DB - Contracting Parties'!C:C)</f>
        <v>#N/A</v>
      </c>
      <c r="J287" t="e">
        <f>_xlfn.XLOOKUP(A287,'DB - Identities'!U:U,'DB - Identities'!Q:Q)</f>
        <v>#N/A</v>
      </c>
      <c r="K287" t="e">
        <f>_xlfn.XLOOKUP(D287,Static!J:J,Static!K:K)</f>
        <v>#N/A</v>
      </c>
      <c r="L287" t="e">
        <f>IF(I287="Bank",_xlfn.XLOOKUP(J287,'Pricing Sheet'!A:A,'Pricing Sheet'!B:B,'Pricing Sheet'!$B$6),IF(I287="Corporate",_xlfn.XLOOKUP(J287,'Pricing Sheet'!F:F,'Pricing Sheet'!G:G,'Pricing Sheet'!$G$6),0))</f>
        <v>#N/A</v>
      </c>
      <c r="M287" t="str">
        <f t="shared" si="10"/>
        <v>OK</v>
      </c>
      <c r="N287" t="str">
        <f t="shared" si="11"/>
        <v>OK</v>
      </c>
    </row>
    <row r="288" spans="1:14">
      <c r="A288">
        <f>'Input 2 - Transactions'!A290</f>
        <v>0</v>
      </c>
      <c r="B288">
        <f>'Input 2 - Transactions'!B290</f>
        <v>0</v>
      </c>
      <c r="C288">
        <f>'Input 2 - Transactions'!C290</f>
        <v>0</v>
      </c>
      <c r="D288">
        <f>'Input 2 - Transactions'!D290</f>
        <v>0</v>
      </c>
      <c r="E288">
        <f>'Input 2 - Transactions'!E290</f>
        <v>0</v>
      </c>
      <c r="F288" s="29">
        <f>'Input 2 - Transactions'!F290</f>
        <v>0</v>
      </c>
      <c r="G288" s="29">
        <f>'Input 2 - Transactions'!G290</f>
        <v>0</v>
      </c>
      <c r="H288" t="e">
        <f>_xlfn.XLOOKUP(A288,'DB - Identities'!U:U,'DB - Identities'!B:B)</f>
        <v>#N/A</v>
      </c>
      <c r="I288" t="e">
        <f>_xlfn.XLOOKUP(H288,c_parties,'DB - Contracting Parties'!C:C)</f>
        <v>#N/A</v>
      </c>
      <c r="J288" t="e">
        <f>_xlfn.XLOOKUP(A288,'DB - Identities'!U:U,'DB - Identities'!Q:Q)</f>
        <v>#N/A</v>
      </c>
      <c r="K288" t="e">
        <f>_xlfn.XLOOKUP(D288,Static!J:J,Static!K:K)</f>
        <v>#N/A</v>
      </c>
      <c r="L288" t="e">
        <f>IF(I288="Bank",_xlfn.XLOOKUP(J288,'Pricing Sheet'!A:A,'Pricing Sheet'!B:B,'Pricing Sheet'!$B$6),IF(I288="Corporate",_xlfn.XLOOKUP(J288,'Pricing Sheet'!F:F,'Pricing Sheet'!G:G,'Pricing Sheet'!$G$6),0))</f>
        <v>#N/A</v>
      </c>
      <c r="M288" t="str">
        <f t="shared" si="10"/>
        <v>OK</v>
      </c>
      <c r="N288" t="str">
        <f t="shared" si="11"/>
        <v>OK</v>
      </c>
    </row>
    <row r="289" spans="1:14">
      <c r="A289">
        <f>'Input 2 - Transactions'!A291</f>
        <v>0</v>
      </c>
      <c r="B289">
        <f>'Input 2 - Transactions'!B291</f>
        <v>0</v>
      </c>
      <c r="C289">
        <f>'Input 2 - Transactions'!C291</f>
        <v>0</v>
      </c>
      <c r="D289">
        <f>'Input 2 - Transactions'!D291</f>
        <v>0</v>
      </c>
      <c r="E289">
        <f>'Input 2 - Transactions'!E291</f>
        <v>0</v>
      </c>
      <c r="F289" s="29">
        <f>'Input 2 - Transactions'!F291</f>
        <v>0</v>
      </c>
      <c r="G289" s="29">
        <f>'Input 2 - Transactions'!G291</f>
        <v>0</v>
      </c>
      <c r="H289" t="e">
        <f>_xlfn.XLOOKUP(A289,'DB - Identities'!U:U,'DB - Identities'!B:B)</f>
        <v>#N/A</v>
      </c>
      <c r="I289" t="e">
        <f>_xlfn.XLOOKUP(H289,c_parties,'DB - Contracting Parties'!C:C)</f>
        <v>#N/A</v>
      </c>
      <c r="J289" t="e">
        <f>_xlfn.XLOOKUP(A289,'DB - Identities'!U:U,'DB - Identities'!Q:Q)</f>
        <v>#N/A</v>
      </c>
      <c r="K289" t="e">
        <f>_xlfn.XLOOKUP(D289,Static!J:J,Static!K:K)</f>
        <v>#N/A</v>
      </c>
      <c r="L289" t="e">
        <f>IF(I289="Bank",_xlfn.XLOOKUP(J289,'Pricing Sheet'!A:A,'Pricing Sheet'!B:B,'Pricing Sheet'!$B$6),IF(I289="Corporate",_xlfn.XLOOKUP(J289,'Pricing Sheet'!F:F,'Pricing Sheet'!G:G,'Pricing Sheet'!$G$6),0))</f>
        <v>#N/A</v>
      </c>
      <c r="M289" t="str">
        <f t="shared" si="10"/>
        <v>OK</v>
      </c>
      <c r="N289" t="str">
        <f t="shared" si="11"/>
        <v>OK</v>
      </c>
    </row>
    <row r="290" spans="1:14">
      <c r="A290">
        <f>'Input 2 - Transactions'!A292</f>
        <v>0</v>
      </c>
      <c r="B290">
        <f>'Input 2 - Transactions'!B292</f>
        <v>0</v>
      </c>
      <c r="C290">
        <f>'Input 2 - Transactions'!C292</f>
        <v>0</v>
      </c>
      <c r="D290">
        <f>'Input 2 - Transactions'!D292</f>
        <v>0</v>
      </c>
      <c r="E290">
        <f>'Input 2 - Transactions'!E292</f>
        <v>0</v>
      </c>
      <c r="F290" s="29">
        <f>'Input 2 - Transactions'!F292</f>
        <v>0</v>
      </c>
      <c r="G290" s="29">
        <f>'Input 2 - Transactions'!G292</f>
        <v>0</v>
      </c>
      <c r="H290" t="e">
        <f>_xlfn.XLOOKUP(A290,'DB - Identities'!U:U,'DB - Identities'!B:B)</f>
        <v>#N/A</v>
      </c>
      <c r="I290" t="e">
        <f>_xlfn.XLOOKUP(H290,c_parties,'DB - Contracting Parties'!C:C)</f>
        <v>#N/A</v>
      </c>
      <c r="J290" t="e">
        <f>_xlfn.XLOOKUP(A290,'DB - Identities'!U:U,'DB - Identities'!Q:Q)</f>
        <v>#N/A</v>
      </c>
      <c r="K290" t="e">
        <f>_xlfn.XLOOKUP(D290,Static!J:J,Static!K:K)</f>
        <v>#N/A</v>
      </c>
      <c r="L290" t="e">
        <f>IF(I290="Bank",_xlfn.XLOOKUP(J290,'Pricing Sheet'!A:A,'Pricing Sheet'!B:B,'Pricing Sheet'!$B$6),IF(I290="Corporate",_xlfn.XLOOKUP(J290,'Pricing Sheet'!F:F,'Pricing Sheet'!G:G,'Pricing Sheet'!$G$6),0))</f>
        <v>#N/A</v>
      </c>
      <c r="M290" t="str">
        <f t="shared" si="10"/>
        <v>OK</v>
      </c>
      <c r="N290" t="str">
        <f t="shared" si="11"/>
        <v>OK</v>
      </c>
    </row>
    <row r="291" spans="1:14">
      <c r="A291">
        <f>'Input 2 - Transactions'!A293</f>
        <v>0</v>
      </c>
      <c r="B291">
        <f>'Input 2 - Transactions'!B293</f>
        <v>0</v>
      </c>
      <c r="C291">
        <f>'Input 2 - Transactions'!C293</f>
        <v>0</v>
      </c>
      <c r="D291">
        <f>'Input 2 - Transactions'!D293</f>
        <v>0</v>
      </c>
      <c r="E291">
        <f>'Input 2 - Transactions'!E293</f>
        <v>0</v>
      </c>
      <c r="F291" s="29">
        <f>'Input 2 - Transactions'!F293</f>
        <v>0</v>
      </c>
      <c r="G291" s="29">
        <f>'Input 2 - Transactions'!G293</f>
        <v>0</v>
      </c>
      <c r="H291" t="e">
        <f>_xlfn.XLOOKUP(A291,'DB - Identities'!U:U,'DB - Identities'!B:B)</f>
        <v>#N/A</v>
      </c>
      <c r="I291" t="e">
        <f>_xlfn.XLOOKUP(H291,c_parties,'DB - Contracting Parties'!C:C)</f>
        <v>#N/A</v>
      </c>
      <c r="J291" t="e">
        <f>_xlfn.XLOOKUP(A291,'DB - Identities'!U:U,'DB - Identities'!Q:Q)</f>
        <v>#N/A</v>
      </c>
      <c r="K291" t="e">
        <f>_xlfn.XLOOKUP(D291,Static!J:J,Static!K:K)</f>
        <v>#N/A</v>
      </c>
      <c r="L291" t="e">
        <f>IF(I291="Bank",_xlfn.XLOOKUP(J291,'Pricing Sheet'!A:A,'Pricing Sheet'!B:B,'Pricing Sheet'!$B$6),IF(I291="Corporate",_xlfn.XLOOKUP(J291,'Pricing Sheet'!F:F,'Pricing Sheet'!G:G,'Pricing Sheet'!$G$6),0))</f>
        <v>#N/A</v>
      </c>
      <c r="M291" t="str">
        <f t="shared" si="10"/>
        <v>OK</v>
      </c>
      <c r="N291" t="str">
        <f t="shared" si="11"/>
        <v>OK</v>
      </c>
    </row>
    <row r="292" spans="1:14">
      <c r="A292">
        <f>'Input 2 - Transactions'!A294</f>
        <v>0</v>
      </c>
      <c r="B292">
        <f>'Input 2 - Transactions'!B294</f>
        <v>0</v>
      </c>
      <c r="C292">
        <f>'Input 2 - Transactions'!C294</f>
        <v>0</v>
      </c>
      <c r="D292">
        <f>'Input 2 - Transactions'!D294</f>
        <v>0</v>
      </c>
      <c r="E292">
        <f>'Input 2 - Transactions'!E294</f>
        <v>0</v>
      </c>
      <c r="F292" s="29">
        <f>'Input 2 - Transactions'!F294</f>
        <v>0</v>
      </c>
      <c r="G292" s="29">
        <f>'Input 2 - Transactions'!G294</f>
        <v>0</v>
      </c>
      <c r="H292" t="e">
        <f>_xlfn.XLOOKUP(A292,'DB - Identities'!U:U,'DB - Identities'!B:B)</f>
        <v>#N/A</v>
      </c>
      <c r="I292" t="e">
        <f>_xlfn.XLOOKUP(H292,c_parties,'DB - Contracting Parties'!C:C)</f>
        <v>#N/A</v>
      </c>
      <c r="J292" t="e">
        <f>_xlfn.XLOOKUP(A292,'DB - Identities'!U:U,'DB - Identities'!Q:Q)</f>
        <v>#N/A</v>
      </c>
      <c r="K292" t="e">
        <f>_xlfn.XLOOKUP(D292,Static!J:J,Static!K:K)</f>
        <v>#N/A</v>
      </c>
      <c r="L292" t="e">
        <f>IF(I292="Bank",_xlfn.XLOOKUP(J292,'Pricing Sheet'!A:A,'Pricing Sheet'!B:B,'Pricing Sheet'!$B$6),IF(I292="Corporate",_xlfn.XLOOKUP(J292,'Pricing Sheet'!F:F,'Pricing Sheet'!G:G,'Pricing Sheet'!$G$6),0))</f>
        <v>#N/A</v>
      </c>
      <c r="M292" t="str">
        <f t="shared" si="10"/>
        <v>OK</v>
      </c>
      <c r="N292" t="str">
        <f t="shared" si="11"/>
        <v>OK</v>
      </c>
    </row>
    <row r="293" spans="1:14">
      <c r="A293">
        <f>'Input 2 - Transactions'!A295</f>
        <v>0</v>
      </c>
      <c r="B293">
        <f>'Input 2 - Transactions'!B295</f>
        <v>0</v>
      </c>
      <c r="C293">
        <f>'Input 2 - Transactions'!C295</f>
        <v>0</v>
      </c>
      <c r="D293">
        <f>'Input 2 - Transactions'!D295</f>
        <v>0</v>
      </c>
      <c r="E293">
        <f>'Input 2 - Transactions'!E295</f>
        <v>0</v>
      </c>
      <c r="F293" s="29">
        <f>'Input 2 - Transactions'!F295</f>
        <v>0</v>
      </c>
      <c r="G293" s="29">
        <f>'Input 2 - Transactions'!G295</f>
        <v>0</v>
      </c>
      <c r="H293" t="e">
        <f>_xlfn.XLOOKUP(A293,'DB - Identities'!U:U,'DB - Identities'!B:B)</f>
        <v>#N/A</v>
      </c>
      <c r="I293" t="e">
        <f>_xlfn.XLOOKUP(H293,c_parties,'DB - Contracting Parties'!C:C)</f>
        <v>#N/A</v>
      </c>
      <c r="J293" t="e">
        <f>_xlfn.XLOOKUP(A293,'DB - Identities'!U:U,'DB - Identities'!Q:Q)</f>
        <v>#N/A</v>
      </c>
      <c r="K293" t="e">
        <f>_xlfn.XLOOKUP(D293,Static!J:J,Static!K:K)</f>
        <v>#N/A</v>
      </c>
      <c r="L293" t="e">
        <f>IF(I293="Bank",_xlfn.XLOOKUP(J293,'Pricing Sheet'!A:A,'Pricing Sheet'!B:B,'Pricing Sheet'!$B$6),IF(I293="Corporate",_xlfn.XLOOKUP(J293,'Pricing Sheet'!F:F,'Pricing Sheet'!G:G,'Pricing Sheet'!$G$6),0))</f>
        <v>#N/A</v>
      </c>
      <c r="M293" t="str">
        <f t="shared" si="10"/>
        <v>OK</v>
      </c>
      <c r="N293" t="str">
        <f t="shared" si="11"/>
        <v>OK</v>
      </c>
    </row>
    <row r="294" spans="1:14">
      <c r="A294">
        <f>'Input 2 - Transactions'!A296</f>
        <v>0</v>
      </c>
      <c r="B294">
        <f>'Input 2 - Transactions'!B296</f>
        <v>0</v>
      </c>
      <c r="C294">
        <f>'Input 2 - Transactions'!C296</f>
        <v>0</v>
      </c>
      <c r="D294">
        <f>'Input 2 - Transactions'!D296</f>
        <v>0</v>
      </c>
      <c r="E294">
        <f>'Input 2 - Transactions'!E296</f>
        <v>0</v>
      </c>
      <c r="F294" s="29">
        <f>'Input 2 - Transactions'!F296</f>
        <v>0</v>
      </c>
      <c r="G294" s="29">
        <f>'Input 2 - Transactions'!G296</f>
        <v>0</v>
      </c>
      <c r="H294" t="e">
        <f>_xlfn.XLOOKUP(A294,'DB - Identities'!U:U,'DB - Identities'!B:B)</f>
        <v>#N/A</v>
      </c>
      <c r="I294" t="e">
        <f>_xlfn.XLOOKUP(H294,c_parties,'DB - Contracting Parties'!C:C)</f>
        <v>#N/A</v>
      </c>
      <c r="J294" t="e">
        <f>_xlfn.XLOOKUP(A294,'DB - Identities'!U:U,'DB - Identities'!Q:Q)</f>
        <v>#N/A</v>
      </c>
      <c r="K294" t="e">
        <f>_xlfn.XLOOKUP(D294,Static!J:J,Static!K:K)</f>
        <v>#N/A</v>
      </c>
      <c r="L294" t="e">
        <f>IF(I294="Bank",_xlfn.XLOOKUP(J294,'Pricing Sheet'!A:A,'Pricing Sheet'!B:B,'Pricing Sheet'!$B$6),IF(I294="Corporate",_xlfn.XLOOKUP(J294,'Pricing Sheet'!F:F,'Pricing Sheet'!G:G,'Pricing Sheet'!$G$6),0))</f>
        <v>#N/A</v>
      </c>
      <c r="M294" t="str">
        <f t="shared" si="10"/>
        <v>OK</v>
      </c>
      <c r="N294" t="str">
        <f t="shared" si="11"/>
        <v>OK</v>
      </c>
    </row>
    <row r="295" spans="1:14">
      <c r="A295">
        <f>'Input 2 - Transactions'!A297</f>
        <v>0</v>
      </c>
      <c r="B295">
        <f>'Input 2 - Transactions'!B297</f>
        <v>0</v>
      </c>
      <c r="C295">
        <f>'Input 2 - Transactions'!C297</f>
        <v>0</v>
      </c>
      <c r="D295">
        <f>'Input 2 - Transactions'!D297</f>
        <v>0</v>
      </c>
      <c r="E295">
        <f>'Input 2 - Transactions'!E297</f>
        <v>0</v>
      </c>
      <c r="F295" s="29">
        <f>'Input 2 - Transactions'!F297</f>
        <v>0</v>
      </c>
      <c r="G295" s="29">
        <f>'Input 2 - Transactions'!G297</f>
        <v>0</v>
      </c>
      <c r="H295" t="e">
        <f>_xlfn.XLOOKUP(A295,'DB - Identities'!U:U,'DB - Identities'!B:B)</f>
        <v>#N/A</v>
      </c>
      <c r="I295" t="e">
        <f>_xlfn.XLOOKUP(H295,c_parties,'DB - Contracting Parties'!C:C)</f>
        <v>#N/A</v>
      </c>
      <c r="J295" t="e">
        <f>_xlfn.XLOOKUP(A295,'DB - Identities'!U:U,'DB - Identities'!Q:Q)</f>
        <v>#N/A</v>
      </c>
      <c r="K295" t="e">
        <f>_xlfn.XLOOKUP(D295,Static!J:J,Static!K:K)</f>
        <v>#N/A</v>
      </c>
      <c r="L295" t="e">
        <f>IF(I295="Bank",_xlfn.XLOOKUP(J295,'Pricing Sheet'!A:A,'Pricing Sheet'!B:B,'Pricing Sheet'!$B$6),IF(I295="Corporate",_xlfn.XLOOKUP(J295,'Pricing Sheet'!F:F,'Pricing Sheet'!G:G,'Pricing Sheet'!$G$6),0))</f>
        <v>#N/A</v>
      </c>
      <c r="M295" t="str">
        <f t="shared" si="10"/>
        <v>OK</v>
      </c>
      <c r="N295" t="str">
        <f t="shared" si="11"/>
        <v>OK</v>
      </c>
    </row>
    <row r="296" spans="1:14">
      <c r="A296">
        <f>'Input 2 - Transactions'!A298</f>
        <v>0</v>
      </c>
      <c r="B296">
        <f>'Input 2 - Transactions'!B298</f>
        <v>0</v>
      </c>
      <c r="C296">
        <f>'Input 2 - Transactions'!C298</f>
        <v>0</v>
      </c>
      <c r="D296">
        <f>'Input 2 - Transactions'!D298</f>
        <v>0</v>
      </c>
      <c r="E296">
        <f>'Input 2 - Transactions'!E298</f>
        <v>0</v>
      </c>
      <c r="F296" s="29">
        <f>'Input 2 - Transactions'!F298</f>
        <v>0</v>
      </c>
      <c r="G296" s="29">
        <f>'Input 2 - Transactions'!G298</f>
        <v>0</v>
      </c>
      <c r="H296" t="e">
        <f>_xlfn.XLOOKUP(A296,'DB - Identities'!U:U,'DB - Identities'!B:B)</f>
        <v>#N/A</v>
      </c>
      <c r="I296" t="e">
        <f>_xlfn.XLOOKUP(H296,c_parties,'DB - Contracting Parties'!C:C)</f>
        <v>#N/A</v>
      </c>
      <c r="J296" t="e">
        <f>_xlfn.XLOOKUP(A296,'DB - Identities'!U:U,'DB - Identities'!Q:Q)</f>
        <v>#N/A</v>
      </c>
      <c r="K296" t="e">
        <f>_xlfn.XLOOKUP(D296,Static!J:J,Static!K:K)</f>
        <v>#N/A</v>
      </c>
      <c r="L296" t="e">
        <f>IF(I296="Bank",_xlfn.XLOOKUP(J296,'Pricing Sheet'!A:A,'Pricing Sheet'!B:B,'Pricing Sheet'!$B$6),IF(I296="Corporate",_xlfn.XLOOKUP(J296,'Pricing Sheet'!F:F,'Pricing Sheet'!G:G,'Pricing Sheet'!$G$6),0))</f>
        <v>#N/A</v>
      </c>
      <c r="M296" t="str">
        <f t="shared" si="10"/>
        <v>OK</v>
      </c>
      <c r="N296" t="str">
        <f t="shared" si="11"/>
        <v>OK</v>
      </c>
    </row>
    <row r="297" spans="1:14">
      <c r="A297">
        <f>'Input 2 - Transactions'!A299</f>
        <v>0</v>
      </c>
      <c r="B297">
        <f>'Input 2 - Transactions'!B299</f>
        <v>0</v>
      </c>
      <c r="C297">
        <f>'Input 2 - Transactions'!C299</f>
        <v>0</v>
      </c>
      <c r="D297">
        <f>'Input 2 - Transactions'!D299</f>
        <v>0</v>
      </c>
      <c r="E297">
        <f>'Input 2 - Transactions'!E299</f>
        <v>0</v>
      </c>
      <c r="F297" s="29">
        <f>'Input 2 - Transactions'!F299</f>
        <v>0</v>
      </c>
      <c r="G297" s="29">
        <f>'Input 2 - Transactions'!G299</f>
        <v>0</v>
      </c>
      <c r="H297" t="e">
        <f>_xlfn.XLOOKUP(A297,'DB - Identities'!U:U,'DB - Identities'!B:B)</f>
        <v>#N/A</v>
      </c>
      <c r="I297" t="e">
        <f>_xlfn.XLOOKUP(H297,c_parties,'DB - Contracting Parties'!C:C)</f>
        <v>#N/A</v>
      </c>
      <c r="J297" t="e">
        <f>_xlfn.XLOOKUP(A297,'DB - Identities'!U:U,'DB - Identities'!Q:Q)</f>
        <v>#N/A</v>
      </c>
      <c r="K297" t="e">
        <f>_xlfn.XLOOKUP(D297,Static!J:J,Static!K:K)</f>
        <v>#N/A</v>
      </c>
      <c r="L297" t="e">
        <f>IF(I297="Bank",_xlfn.XLOOKUP(J297,'Pricing Sheet'!A:A,'Pricing Sheet'!B:B,'Pricing Sheet'!$B$6),IF(I297="Corporate",_xlfn.XLOOKUP(J297,'Pricing Sheet'!F:F,'Pricing Sheet'!G:G,'Pricing Sheet'!$G$6),0))</f>
        <v>#N/A</v>
      </c>
      <c r="M297" t="str">
        <f t="shared" si="10"/>
        <v>OK</v>
      </c>
      <c r="N297" t="str">
        <f t="shared" si="11"/>
        <v>OK</v>
      </c>
    </row>
    <row r="298" spans="1:14">
      <c r="A298">
        <f>'Input 2 - Transactions'!A300</f>
        <v>0</v>
      </c>
      <c r="B298">
        <f>'Input 2 - Transactions'!B300</f>
        <v>0</v>
      </c>
      <c r="C298">
        <f>'Input 2 - Transactions'!C300</f>
        <v>0</v>
      </c>
      <c r="D298">
        <f>'Input 2 - Transactions'!D300</f>
        <v>0</v>
      </c>
      <c r="E298">
        <f>'Input 2 - Transactions'!E300</f>
        <v>0</v>
      </c>
      <c r="F298" s="29">
        <f>'Input 2 - Transactions'!F300</f>
        <v>0</v>
      </c>
      <c r="G298" s="29">
        <f>'Input 2 - Transactions'!G300</f>
        <v>0</v>
      </c>
      <c r="H298" t="e">
        <f>_xlfn.XLOOKUP(A298,'DB - Identities'!U:U,'DB - Identities'!B:B)</f>
        <v>#N/A</v>
      </c>
      <c r="I298" t="e">
        <f>_xlfn.XLOOKUP(H298,c_parties,'DB - Contracting Parties'!C:C)</f>
        <v>#N/A</v>
      </c>
      <c r="J298" t="e">
        <f>_xlfn.XLOOKUP(A298,'DB - Identities'!U:U,'DB - Identities'!Q:Q)</f>
        <v>#N/A</v>
      </c>
      <c r="K298" t="e">
        <f>_xlfn.XLOOKUP(D298,Static!J:J,Static!K:K)</f>
        <v>#N/A</v>
      </c>
      <c r="L298" t="e">
        <f>IF(I298="Bank",_xlfn.XLOOKUP(J298,'Pricing Sheet'!A:A,'Pricing Sheet'!B:B,'Pricing Sheet'!$B$6),IF(I298="Corporate",_xlfn.XLOOKUP(J298,'Pricing Sheet'!F:F,'Pricing Sheet'!G:G,'Pricing Sheet'!$G$6),0))</f>
        <v>#N/A</v>
      </c>
      <c r="M298" t="str">
        <f t="shared" si="10"/>
        <v>OK</v>
      </c>
      <c r="N298" t="str">
        <f t="shared" si="11"/>
        <v>OK</v>
      </c>
    </row>
    <row r="299" spans="1:14">
      <c r="A299">
        <f>'Input 2 - Transactions'!A301</f>
        <v>0</v>
      </c>
      <c r="B299">
        <f>'Input 2 - Transactions'!B301</f>
        <v>0</v>
      </c>
      <c r="C299">
        <f>'Input 2 - Transactions'!C301</f>
        <v>0</v>
      </c>
      <c r="D299">
        <f>'Input 2 - Transactions'!D301</f>
        <v>0</v>
      </c>
      <c r="E299">
        <f>'Input 2 - Transactions'!E301</f>
        <v>0</v>
      </c>
      <c r="F299" s="29">
        <f>'Input 2 - Transactions'!F301</f>
        <v>0</v>
      </c>
      <c r="G299" s="29">
        <f>'Input 2 - Transactions'!G301</f>
        <v>0</v>
      </c>
      <c r="H299" t="e">
        <f>_xlfn.XLOOKUP(A299,'DB - Identities'!U:U,'DB - Identities'!B:B)</f>
        <v>#N/A</v>
      </c>
      <c r="I299" t="e">
        <f>_xlfn.XLOOKUP(H299,c_parties,'DB - Contracting Parties'!C:C)</f>
        <v>#N/A</v>
      </c>
      <c r="J299" t="e">
        <f>_xlfn.XLOOKUP(A299,'DB - Identities'!U:U,'DB - Identities'!Q:Q)</f>
        <v>#N/A</v>
      </c>
      <c r="K299" t="e">
        <f>_xlfn.XLOOKUP(D299,Static!J:J,Static!K:K)</f>
        <v>#N/A</v>
      </c>
      <c r="L299" t="e">
        <f>IF(I299="Bank",_xlfn.XLOOKUP(J299,'Pricing Sheet'!A:A,'Pricing Sheet'!B:B,'Pricing Sheet'!$B$6),IF(I299="Corporate",_xlfn.XLOOKUP(J299,'Pricing Sheet'!F:F,'Pricing Sheet'!G:G,'Pricing Sheet'!$G$6),0))</f>
        <v>#N/A</v>
      </c>
      <c r="M299" t="str">
        <f t="shared" si="10"/>
        <v>OK</v>
      </c>
      <c r="N299" t="str">
        <f t="shared" si="11"/>
        <v>OK</v>
      </c>
    </row>
    <row r="300" spans="1:14">
      <c r="A300">
        <f>'Input 2 - Transactions'!A302</f>
        <v>0</v>
      </c>
      <c r="B300">
        <f>'Input 2 - Transactions'!B302</f>
        <v>0</v>
      </c>
      <c r="C300">
        <f>'Input 2 - Transactions'!C302</f>
        <v>0</v>
      </c>
      <c r="D300">
        <f>'Input 2 - Transactions'!D302</f>
        <v>0</v>
      </c>
      <c r="E300">
        <f>'Input 2 - Transactions'!E302</f>
        <v>0</v>
      </c>
      <c r="F300" s="29">
        <f>'Input 2 - Transactions'!F302</f>
        <v>0</v>
      </c>
      <c r="G300" s="29">
        <f>'Input 2 - Transactions'!G302</f>
        <v>0</v>
      </c>
      <c r="H300" t="e">
        <f>_xlfn.XLOOKUP(A300,'DB - Identities'!U:U,'DB - Identities'!B:B)</f>
        <v>#N/A</v>
      </c>
      <c r="I300" t="e">
        <f>_xlfn.XLOOKUP(H300,c_parties,'DB - Contracting Parties'!C:C)</f>
        <v>#N/A</v>
      </c>
      <c r="J300" t="e">
        <f>_xlfn.XLOOKUP(A300,'DB - Identities'!U:U,'DB - Identities'!Q:Q)</f>
        <v>#N/A</v>
      </c>
      <c r="K300" t="e">
        <f>_xlfn.XLOOKUP(D300,Static!J:J,Static!K:K)</f>
        <v>#N/A</v>
      </c>
      <c r="L300" t="e">
        <f>IF(I300="Bank",_xlfn.XLOOKUP(J300,'Pricing Sheet'!A:A,'Pricing Sheet'!B:B,'Pricing Sheet'!$B$6),IF(I300="Corporate",_xlfn.XLOOKUP(J300,'Pricing Sheet'!F:F,'Pricing Sheet'!G:G,'Pricing Sheet'!$G$6),0))</f>
        <v>#N/A</v>
      </c>
      <c r="M300" t="str">
        <f t="shared" si="10"/>
        <v>OK</v>
      </c>
      <c r="N300" t="str">
        <f t="shared" si="11"/>
        <v>OK</v>
      </c>
    </row>
    <row r="301" spans="1:14">
      <c r="A301">
        <f>'Input 2 - Transactions'!A303</f>
        <v>0</v>
      </c>
      <c r="B301">
        <f>'Input 2 - Transactions'!B303</f>
        <v>0</v>
      </c>
      <c r="C301">
        <f>'Input 2 - Transactions'!C303</f>
        <v>0</v>
      </c>
      <c r="D301">
        <f>'Input 2 - Transactions'!D303</f>
        <v>0</v>
      </c>
      <c r="E301">
        <f>'Input 2 - Transactions'!E303</f>
        <v>0</v>
      </c>
      <c r="F301" s="29">
        <f>'Input 2 - Transactions'!F303</f>
        <v>0</v>
      </c>
      <c r="G301" s="29">
        <f>'Input 2 - Transactions'!G303</f>
        <v>0</v>
      </c>
      <c r="H301" t="e">
        <f>_xlfn.XLOOKUP(A301,'DB - Identities'!U:U,'DB - Identities'!B:B)</f>
        <v>#N/A</v>
      </c>
      <c r="I301" t="e">
        <f>_xlfn.XLOOKUP(H301,c_parties,'DB - Contracting Parties'!C:C)</f>
        <v>#N/A</v>
      </c>
      <c r="J301" t="e">
        <f>_xlfn.XLOOKUP(A301,'DB - Identities'!U:U,'DB - Identities'!Q:Q)</f>
        <v>#N/A</v>
      </c>
      <c r="K301" t="e">
        <f>_xlfn.XLOOKUP(D301,Static!J:J,Static!K:K)</f>
        <v>#N/A</v>
      </c>
      <c r="L301" t="e">
        <f>IF(I301="Bank",_xlfn.XLOOKUP(J301,'Pricing Sheet'!A:A,'Pricing Sheet'!B:B,'Pricing Sheet'!$B$6),IF(I301="Corporate",_xlfn.XLOOKUP(J301,'Pricing Sheet'!F:F,'Pricing Sheet'!G:G,'Pricing Sheet'!$G$6),0))</f>
        <v>#N/A</v>
      </c>
      <c r="M301" t="str">
        <f t="shared" si="10"/>
        <v>OK</v>
      </c>
      <c r="N301" t="str">
        <f t="shared" si="11"/>
        <v>OK</v>
      </c>
    </row>
    <row r="302" spans="1:14">
      <c r="A302">
        <f>'Input 2 - Transactions'!A304</f>
        <v>0</v>
      </c>
      <c r="B302">
        <f>'Input 2 - Transactions'!B304</f>
        <v>0</v>
      </c>
      <c r="C302">
        <f>'Input 2 - Transactions'!C304</f>
        <v>0</v>
      </c>
      <c r="D302">
        <f>'Input 2 - Transactions'!D304</f>
        <v>0</v>
      </c>
      <c r="E302">
        <f>'Input 2 - Transactions'!E304</f>
        <v>0</v>
      </c>
      <c r="F302" s="29">
        <f>'Input 2 - Transactions'!F304</f>
        <v>0</v>
      </c>
      <c r="G302" s="29">
        <f>'Input 2 - Transactions'!G304</f>
        <v>0</v>
      </c>
      <c r="H302" t="e">
        <f>_xlfn.XLOOKUP(A302,'DB - Identities'!U:U,'DB - Identities'!B:B)</f>
        <v>#N/A</v>
      </c>
      <c r="I302" t="e">
        <f>_xlfn.XLOOKUP(H302,c_parties,'DB - Contracting Parties'!C:C)</f>
        <v>#N/A</v>
      </c>
      <c r="J302" t="e">
        <f>_xlfn.XLOOKUP(A302,'DB - Identities'!U:U,'DB - Identities'!Q:Q)</f>
        <v>#N/A</v>
      </c>
      <c r="K302" t="e">
        <f>_xlfn.XLOOKUP(D302,Static!J:J,Static!K:K)</f>
        <v>#N/A</v>
      </c>
      <c r="L302" t="e">
        <f>IF(I302="Bank",_xlfn.XLOOKUP(J302,'Pricing Sheet'!A:A,'Pricing Sheet'!B:B,'Pricing Sheet'!$B$6),IF(I302="Corporate",_xlfn.XLOOKUP(J302,'Pricing Sheet'!F:F,'Pricing Sheet'!G:G,'Pricing Sheet'!$G$6),0))</f>
        <v>#N/A</v>
      </c>
      <c r="M302" t="str">
        <f t="shared" si="10"/>
        <v>OK</v>
      </c>
      <c r="N302" t="str">
        <f t="shared" si="11"/>
        <v>OK</v>
      </c>
    </row>
    <row r="303" spans="1:14">
      <c r="A303">
        <f>'Input 2 - Transactions'!A305</f>
        <v>0</v>
      </c>
      <c r="B303">
        <f>'Input 2 - Transactions'!B305</f>
        <v>0</v>
      </c>
      <c r="C303">
        <f>'Input 2 - Transactions'!C305</f>
        <v>0</v>
      </c>
      <c r="D303">
        <f>'Input 2 - Transactions'!D305</f>
        <v>0</v>
      </c>
      <c r="E303">
        <f>'Input 2 - Transactions'!E305</f>
        <v>0</v>
      </c>
      <c r="F303" s="29">
        <f>'Input 2 - Transactions'!F305</f>
        <v>0</v>
      </c>
      <c r="G303" s="29">
        <f>'Input 2 - Transactions'!G305</f>
        <v>0</v>
      </c>
      <c r="H303" t="e">
        <f>_xlfn.XLOOKUP(A303,'DB - Identities'!U:U,'DB - Identities'!B:B)</f>
        <v>#N/A</v>
      </c>
      <c r="I303" t="e">
        <f>_xlfn.XLOOKUP(H303,c_parties,'DB - Contracting Parties'!C:C)</f>
        <v>#N/A</v>
      </c>
      <c r="J303" t="e">
        <f>_xlfn.XLOOKUP(A303,'DB - Identities'!U:U,'DB - Identities'!Q:Q)</f>
        <v>#N/A</v>
      </c>
      <c r="K303" t="e">
        <f>_xlfn.XLOOKUP(D303,Static!J:J,Static!K:K)</f>
        <v>#N/A</v>
      </c>
      <c r="L303" t="e">
        <f>IF(I303="Bank",_xlfn.XLOOKUP(J303,'Pricing Sheet'!A:A,'Pricing Sheet'!B:B,'Pricing Sheet'!$B$6),IF(I303="Corporate",_xlfn.XLOOKUP(J303,'Pricing Sheet'!F:F,'Pricing Sheet'!G:G,'Pricing Sheet'!$G$6),0))</f>
        <v>#N/A</v>
      </c>
      <c r="M303" t="str">
        <f t="shared" si="10"/>
        <v>OK</v>
      </c>
      <c r="N303" t="str">
        <f t="shared" si="11"/>
        <v>OK</v>
      </c>
    </row>
    <row r="304" spans="1:14">
      <c r="A304">
        <f>'Input 2 - Transactions'!A306</f>
        <v>0</v>
      </c>
      <c r="B304">
        <f>'Input 2 - Transactions'!B306</f>
        <v>0</v>
      </c>
      <c r="C304">
        <f>'Input 2 - Transactions'!C306</f>
        <v>0</v>
      </c>
      <c r="D304">
        <f>'Input 2 - Transactions'!D306</f>
        <v>0</v>
      </c>
      <c r="E304">
        <f>'Input 2 - Transactions'!E306</f>
        <v>0</v>
      </c>
      <c r="F304" s="29">
        <f>'Input 2 - Transactions'!F306</f>
        <v>0</v>
      </c>
      <c r="G304" s="29">
        <f>'Input 2 - Transactions'!G306</f>
        <v>0</v>
      </c>
      <c r="H304" t="e">
        <f>_xlfn.XLOOKUP(A304,'DB - Identities'!U:U,'DB - Identities'!B:B)</f>
        <v>#N/A</v>
      </c>
      <c r="I304" t="e">
        <f>_xlfn.XLOOKUP(H304,c_parties,'DB - Contracting Parties'!C:C)</f>
        <v>#N/A</v>
      </c>
      <c r="J304" t="e">
        <f>_xlfn.XLOOKUP(A304,'DB - Identities'!U:U,'DB - Identities'!Q:Q)</f>
        <v>#N/A</v>
      </c>
      <c r="K304" t="e">
        <f>_xlfn.XLOOKUP(D304,Static!J:J,Static!K:K)</f>
        <v>#N/A</v>
      </c>
      <c r="L304" t="e">
        <f>IF(I304="Bank",_xlfn.XLOOKUP(J304,'Pricing Sheet'!A:A,'Pricing Sheet'!B:B,'Pricing Sheet'!$B$6),IF(I304="Corporate",_xlfn.XLOOKUP(J304,'Pricing Sheet'!F:F,'Pricing Sheet'!G:G,'Pricing Sheet'!$G$6),0))</f>
        <v>#N/A</v>
      </c>
      <c r="M304" t="str">
        <f t="shared" si="10"/>
        <v>OK</v>
      </c>
      <c r="N304" t="str">
        <f t="shared" si="11"/>
        <v>OK</v>
      </c>
    </row>
    <row r="305" spans="1:14">
      <c r="A305">
        <f>'Input 2 - Transactions'!A307</f>
        <v>0</v>
      </c>
      <c r="B305">
        <f>'Input 2 - Transactions'!B307</f>
        <v>0</v>
      </c>
      <c r="C305">
        <f>'Input 2 - Transactions'!C307</f>
        <v>0</v>
      </c>
      <c r="D305">
        <f>'Input 2 - Transactions'!D307</f>
        <v>0</v>
      </c>
      <c r="E305">
        <f>'Input 2 - Transactions'!E307</f>
        <v>0</v>
      </c>
      <c r="F305" s="29">
        <f>'Input 2 - Transactions'!F307</f>
        <v>0</v>
      </c>
      <c r="G305" s="29">
        <f>'Input 2 - Transactions'!G307</f>
        <v>0</v>
      </c>
      <c r="H305" t="e">
        <f>_xlfn.XLOOKUP(A305,'DB - Identities'!U:U,'DB - Identities'!B:B)</f>
        <v>#N/A</v>
      </c>
      <c r="I305" t="e">
        <f>_xlfn.XLOOKUP(H305,c_parties,'DB - Contracting Parties'!C:C)</f>
        <v>#N/A</v>
      </c>
      <c r="J305" t="e">
        <f>_xlfn.XLOOKUP(A305,'DB - Identities'!U:U,'DB - Identities'!Q:Q)</f>
        <v>#N/A</v>
      </c>
      <c r="K305" t="e">
        <f>_xlfn.XLOOKUP(D305,Static!J:J,Static!K:K)</f>
        <v>#N/A</v>
      </c>
      <c r="L305" t="e">
        <f>IF(I305="Bank",_xlfn.XLOOKUP(J305,'Pricing Sheet'!A:A,'Pricing Sheet'!B:B,'Pricing Sheet'!$B$6),IF(I305="Corporate",_xlfn.XLOOKUP(J305,'Pricing Sheet'!F:F,'Pricing Sheet'!G:G,'Pricing Sheet'!$G$6),0))</f>
        <v>#N/A</v>
      </c>
      <c r="M305" t="str">
        <f t="shared" si="10"/>
        <v>OK</v>
      </c>
      <c r="N305" t="str">
        <f t="shared" si="11"/>
        <v>OK</v>
      </c>
    </row>
    <row r="306" spans="1:14">
      <c r="A306">
        <f>'Input 2 - Transactions'!A308</f>
        <v>0</v>
      </c>
      <c r="B306">
        <f>'Input 2 - Transactions'!B308</f>
        <v>0</v>
      </c>
      <c r="C306">
        <f>'Input 2 - Transactions'!C308</f>
        <v>0</v>
      </c>
      <c r="D306">
        <f>'Input 2 - Transactions'!D308</f>
        <v>0</v>
      </c>
      <c r="E306">
        <f>'Input 2 - Transactions'!E308</f>
        <v>0</v>
      </c>
      <c r="F306" s="29">
        <f>'Input 2 - Transactions'!F308</f>
        <v>0</v>
      </c>
      <c r="G306" s="29">
        <f>'Input 2 - Transactions'!G308</f>
        <v>0</v>
      </c>
      <c r="H306" t="e">
        <f>_xlfn.XLOOKUP(A306,'DB - Identities'!U:U,'DB - Identities'!B:B)</f>
        <v>#N/A</v>
      </c>
      <c r="I306" t="e">
        <f>_xlfn.XLOOKUP(H306,c_parties,'DB - Contracting Parties'!C:C)</f>
        <v>#N/A</v>
      </c>
      <c r="J306" t="e">
        <f>_xlfn.XLOOKUP(A306,'DB - Identities'!U:U,'DB - Identities'!Q:Q)</f>
        <v>#N/A</v>
      </c>
      <c r="K306" t="e">
        <f>_xlfn.XLOOKUP(D306,Static!J:J,Static!K:K)</f>
        <v>#N/A</v>
      </c>
      <c r="L306" t="e">
        <f>IF(I306="Bank",_xlfn.XLOOKUP(J306,'Pricing Sheet'!A:A,'Pricing Sheet'!B:B,'Pricing Sheet'!$B$6),IF(I306="Corporate",_xlfn.XLOOKUP(J306,'Pricing Sheet'!F:F,'Pricing Sheet'!G:G,'Pricing Sheet'!$G$6),0))</f>
        <v>#N/A</v>
      </c>
      <c r="M306" t="str">
        <f t="shared" si="10"/>
        <v>OK</v>
      </c>
      <c r="N306" t="str">
        <f t="shared" si="11"/>
        <v>OK</v>
      </c>
    </row>
    <row r="307" spans="1:14">
      <c r="A307">
        <f>'Input 2 - Transactions'!A309</f>
        <v>0</v>
      </c>
      <c r="B307">
        <f>'Input 2 - Transactions'!B309</f>
        <v>0</v>
      </c>
      <c r="C307">
        <f>'Input 2 - Transactions'!C309</f>
        <v>0</v>
      </c>
      <c r="D307">
        <f>'Input 2 - Transactions'!D309</f>
        <v>0</v>
      </c>
      <c r="E307">
        <f>'Input 2 - Transactions'!E309</f>
        <v>0</v>
      </c>
      <c r="F307" s="29">
        <f>'Input 2 - Transactions'!F309</f>
        <v>0</v>
      </c>
      <c r="G307" s="29">
        <f>'Input 2 - Transactions'!G309</f>
        <v>0</v>
      </c>
      <c r="H307" t="e">
        <f>_xlfn.XLOOKUP(A307,'DB - Identities'!U:U,'DB - Identities'!B:B)</f>
        <v>#N/A</v>
      </c>
      <c r="I307" t="e">
        <f>_xlfn.XLOOKUP(H307,c_parties,'DB - Contracting Parties'!C:C)</f>
        <v>#N/A</v>
      </c>
      <c r="J307" t="e">
        <f>_xlfn.XLOOKUP(A307,'DB - Identities'!U:U,'DB - Identities'!Q:Q)</f>
        <v>#N/A</v>
      </c>
      <c r="K307" t="e">
        <f>_xlfn.XLOOKUP(D307,Static!J:J,Static!K:K)</f>
        <v>#N/A</v>
      </c>
      <c r="L307" t="e">
        <f>IF(I307="Bank",_xlfn.XLOOKUP(J307,'Pricing Sheet'!A:A,'Pricing Sheet'!B:B,'Pricing Sheet'!$B$6),IF(I307="Corporate",_xlfn.XLOOKUP(J307,'Pricing Sheet'!F:F,'Pricing Sheet'!G:G,'Pricing Sheet'!$G$6),0))</f>
        <v>#N/A</v>
      </c>
      <c r="M307" t="str">
        <f t="shared" si="10"/>
        <v>OK</v>
      </c>
      <c r="N307" t="str">
        <f t="shared" si="11"/>
        <v>OK</v>
      </c>
    </row>
    <row r="308" spans="1:14">
      <c r="A308">
        <f>'Input 2 - Transactions'!A310</f>
        <v>0</v>
      </c>
      <c r="B308">
        <f>'Input 2 - Transactions'!B310</f>
        <v>0</v>
      </c>
      <c r="C308">
        <f>'Input 2 - Transactions'!C310</f>
        <v>0</v>
      </c>
      <c r="D308">
        <f>'Input 2 - Transactions'!D310</f>
        <v>0</v>
      </c>
      <c r="E308">
        <f>'Input 2 - Transactions'!E310</f>
        <v>0</v>
      </c>
      <c r="F308" s="29">
        <f>'Input 2 - Transactions'!F310</f>
        <v>0</v>
      </c>
      <c r="G308" s="29">
        <f>'Input 2 - Transactions'!G310</f>
        <v>0</v>
      </c>
      <c r="H308" t="e">
        <f>_xlfn.XLOOKUP(A308,'DB - Identities'!U:U,'DB - Identities'!B:B)</f>
        <v>#N/A</v>
      </c>
      <c r="I308" t="e">
        <f>_xlfn.XLOOKUP(H308,c_parties,'DB - Contracting Parties'!C:C)</f>
        <v>#N/A</v>
      </c>
      <c r="J308" t="e">
        <f>_xlfn.XLOOKUP(A308,'DB - Identities'!U:U,'DB - Identities'!Q:Q)</f>
        <v>#N/A</v>
      </c>
      <c r="K308" t="e">
        <f>_xlfn.XLOOKUP(D308,Static!J:J,Static!K:K)</f>
        <v>#N/A</v>
      </c>
      <c r="L308" t="e">
        <f>IF(I308="Bank",_xlfn.XLOOKUP(J308,'Pricing Sheet'!A:A,'Pricing Sheet'!B:B,'Pricing Sheet'!$B$6),IF(I308="Corporate",_xlfn.XLOOKUP(J308,'Pricing Sheet'!F:F,'Pricing Sheet'!G:G,'Pricing Sheet'!$G$6),0))</f>
        <v>#N/A</v>
      </c>
      <c r="M308" t="str">
        <f t="shared" si="10"/>
        <v>OK</v>
      </c>
      <c r="N308" t="str">
        <f t="shared" si="11"/>
        <v>OK</v>
      </c>
    </row>
    <row r="309" spans="1:14">
      <c r="A309">
        <f>'Input 2 - Transactions'!A311</f>
        <v>0</v>
      </c>
      <c r="B309">
        <f>'Input 2 - Transactions'!B311</f>
        <v>0</v>
      </c>
      <c r="C309">
        <f>'Input 2 - Transactions'!C311</f>
        <v>0</v>
      </c>
      <c r="D309">
        <f>'Input 2 - Transactions'!D311</f>
        <v>0</v>
      </c>
      <c r="E309">
        <f>'Input 2 - Transactions'!E311</f>
        <v>0</v>
      </c>
      <c r="F309" s="29">
        <f>'Input 2 - Transactions'!F311</f>
        <v>0</v>
      </c>
      <c r="G309" s="29">
        <f>'Input 2 - Transactions'!G311</f>
        <v>0</v>
      </c>
      <c r="H309" t="e">
        <f>_xlfn.XLOOKUP(A309,'DB - Identities'!U:U,'DB - Identities'!B:B)</f>
        <v>#N/A</v>
      </c>
      <c r="I309" t="e">
        <f>_xlfn.XLOOKUP(H309,c_parties,'DB - Contracting Parties'!C:C)</f>
        <v>#N/A</v>
      </c>
      <c r="J309" t="e">
        <f>_xlfn.XLOOKUP(A309,'DB - Identities'!U:U,'DB - Identities'!Q:Q)</f>
        <v>#N/A</v>
      </c>
      <c r="K309" t="e">
        <f>_xlfn.XLOOKUP(D309,Static!J:J,Static!K:K)</f>
        <v>#N/A</v>
      </c>
      <c r="L309" t="e">
        <f>IF(I309="Bank",_xlfn.XLOOKUP(J309,'Pricing Sheet'!A:A,'Pricing Sheet'!B:B,'Pricing Sheet'!$B$6),IF(I309="Corporate",_xlfn.XLOOKUP(J309,'Pricing Sheet'!F:F,'Pricing Sheet'!G:G,'Pricing Sheet'!$G$6),0))</f>
        <v>#N/A</v>
      </c>
      <c r="M309" t="str">
        <f t="shared" si="10"/>
        <v>OK</v>
      </c>
      <c r="N309" t="str">
        <f t="shared" si="11"/>
        <v>OK</v>
      </c>
    </row>
    <row r="310" spans="1:14">
      <c r="A310">
        <f>'Input 2 - Transactions'!A312</f>
        <v>0</v>
      </c>
      <c r="B310">
        <f>'Input 2 - Transactions'!B312</f>
        <v>0</v>
      </c>
      <c r="C310">
        <f>'Input 2 - Transactions'!C312</f>
        <v>0</v>
      </c>
      <c r="D310">
        <f>'Input 2 - Transactions'!D312</f>
        <v>0</v>
      </c>
      <c r="E310">
        <f>'Input 2 - Transactions'!E312</f>
        <v>0</v>
      </c>
      <c r="F310" s="29">
        <f>'Input 2 - Transactions'!F312</f>
        <v>0</v>
      </c>
      <c r="G310" s="29">
        <f>'Input 2 - Transactions'!G312</f>
        <v>0</v>
      </c>
      <c r="H310" t="e">
        <f>_xlfn.XLOOKUP(A310,'DB - Identities'!U:U,'DB - Identities'!B:B)</f>
        <v>#N/A</v>
      </c>
      <c r="I310" t="e">
        <f>_xlfn.XLOOKUP(H310,c_parties,'DB - Contracting Parties'!C:C)</f>
        <v>#N/A</v>
      </c>
      <c r="J310" t="e">
        <f>_xlfn.XLOOKUP(A310,'DB - Identities'!U:U,'DB - Identities'!Q:Q)</f>
        <v>#N/A</v>
      </c>
      <c r="K310" t="e">
        <f>_xlfn.XLOOKUP(D310,Static!J:J,Static!K:K)</f>
        <v>#N/A</v>
      </c>
      <c r="L310" t="e">
        <f>IF(I310="Bank",_xlfn.XLOOKUP(J310,'Pricing Sheet'!A:A,'Pricing Sheet'!B:B,'Pricing Sheet'!$B$6),IF(I310="Corporate",_xlfn.XLOOKUP(J310,'Pricing Sheet'!F:F,'Pricing Sheet'!G:G,'Pricing Sheet'!$G$6),0))</f>
        <v>#N/A</v>
      </c>
      <c r="M310" t="str">
        <f t="shared" si="10"/>
        <v>OK</v>
      </c>
      <c r="N310" t="str">
        <f t="shared" si="11"/>
        <v>OK</v>
      </c>
    </row>
    <row r="311" spans="1:14">
      <c r="A311">
        <f>'Input 2 - Transactions'!A313</f>
        <v>0</v>
      </c>
      <c r="B311">
        <f>'Input 2 - Transactions'!B313</f>
        <v>0</v>
      </c>
      <c r="C311">
        <f>'Input 2 - Transactions'!C313</f>
        <v>0</v>
      </c>
      <c r="D311">
        <f>'Input 2 - Transactions'!D313</f>
        <v>0</v>
      </c>
      <c r="E311">
        <f>'Input 2 - Transactions'!E313</f>
        <v>0</v>
      </c>
      <c r="F311" s="29">
        <f>'Input 2 - Transactions'!F313</f>
        <v>0</v>
      </c>
      <c r="G311" s="29">
        <f>'Input 2 - Transactions'!G313</f>
        <v>0</v>
      </c>
      <c r="H311" t="e">
        <f>_xlfn.XLOOKUP(A311,'DB - Identities'!U:U,'DB - Identities'!B:B)</f>
        <v>#N/A</v>
      </c>
      <c r="I311" t="e">
        <f>_xlfn.XLOOKUP(H311,c_parties,'DB - Contracting Parties'!C:C)</f>
        <v>#N/A</v>
      </c>
      <c r="J311" t="e">
        <f>_xlfn.XLOOKUP(A311,'DB - Identities'!U:U,'DB - Identities'!Q:Q)</f>
        <v>#N/A</v>
      </c>
      <c r="K311" t="e">
        <f>_xlfn.XLOOKUP(D311,Static!J:J,Static!K:K)</f>
        <v>#N/A</v>
      </c>
      <c r="L311" t="e">
        <f>IF(I311="Bank",_xlfn.XLOOKUP(J311,'Pricing Sheet'!A:A,'Pricing Sheet'!B:B,'Pricing Sheet'!$B$6),IF(I311="Corporate",_xlfn.XLOOKUP(J311,'Pricing Sheet'!F:F,'Pricing Sheet'!G:G,'Pricing Sheet'!$G$6),0))</f>
        <v>#N/A</v>
      </c>
      <c r="M311" t="str">
        <f t="shared" si="10"/>
        <v>OK</v>
      </c>
      <c r="N311" t="str">
        <f t="shared" si="11"/>
        <v>OK</v>
      </c>
    </row>
    <row r="312" spans="1:14">
      <c r="A312">
        <f>'Input 2 - Transactions'!A314</f>
        <v>0</v>
      </c>
      <c r="B312">
        <f>'Input 2 - Transactions'!B314</f>
        <v>0</v>
      </c>
      <c r="C312">
        <f>'Input 2 - Transactions'!C314</f>
        <v>0</v>
      </c>
      <c r="D312">
        <f>'Input 2 - Transactions'!D314</f>
        <v>0</v>
      </c>
      <c r="E312">
        <f>'Input 2 - Transactions'!E314</f>
        <v>0</v>
      </c>
      <c r="F312" s="29">
        <f>'Input 2 - Transactions'!F314</f>
        <v>0</v>
      </c>
      <c r="G312" s="29">
        <f>'Input 2 - Transactions'!G314</f>
        <v>0</v>
      </c>
      <c r="H312" t="e">
        <f>_xlfn.XLOOKUP(A312,'DB - Identities'!U:U,'DB - Identities'!B:B)</f>
        <v>#N/A</v>
      </c>
      <c r="I312" t="e">
        <f>_xlfn.XLOOKUP(H312,c_parties,'DB - Contracting Parties'!C:C)</f>
        <v>#N/A</v>
      </c>
      <c r="J312" t="e">
        <f>_xlfn.XLOOKUP(A312,'DB - Identities'!U:U,'DB - Identities'!Q:Q)</f>
        <v>#N/A</v>
      </c>
      <c r="K312" t="e">
        <f>_xlfn.XLOOKUP(D312,Static!J:J,Static!K:K)</f>
        <v>#N/A</v>
      </c>
      <c r="L312" t="e">
        <f>IF(I312="Bank",_xlfn.XLOOKUP(J312,'Pricing Sheet'!A:A,'Pricing Sheet'!B:B,'Pricing Sheet'!$B$6),IF(I312="Corporate",_xlfn.XLOOKUP(J312,'Pricing Sheet'!F:F,'Pricing Sheet'!G:G,'Pricing Sheet'!$G$6),0))</f>
        <v>#N/A</v>
      </c>
      <c r="M312" t="str">
        <f t="shared" si="10"/>
        <v>OK</v>
      </c>
      <c r="N312" t="str">
        <f t="shared" si="11"/>
        <v>OK</v>
      </c>
    </row>
    <row r="313" spans="1:14">
      <c r="A313">
        <f>'Input 2 - Transactions'!A315</f>
        <v>0</v>
      </c>
      <c r="B313">
        <f>'Input 2 - Transactions'!B315</f>
        <v>0</v>
      </c>
      <c r="C313">
        <f>'Input 2 - Transactions'!C315</f>
        <v>0</v>
      </c>
      <c r="D313">
        <f>'Input 2 - Transactions'!D315</f>
        <v>0</v>
      </c>
      <c r="E313">
        <f>'Input 2 - Transactions'!E315</f>
        <v>0</v>
      </c>
      <c r="F313" s="29">
        <f>'Input 2 - Transactions'!F315</f>
        <v>0</v>
      </c>
      <c r="G313" s="29">
        <f>'Input 2 - Transactions'!G315</f>
        <v>0</v>
      </c>
      <c r="H313" t="e">
        <f>_xlfn.XLOOKUP(A313,'DB - Identities'!U:U,'DB - Identities'!B:B)</f>
        <v>#N/A</v>
      </c>
      <c r="I313" t="e">
        <f>_xlfn.XLOOKUP(H313,c_parties,'DB - Contracting Parties'!C:C)</f>
        <v>#N/A</v>
      </c>
      <c r="J313" t="e">
        <f>_xlfn.XLOOKUP(A313,'DB - Identities'!U:U,'DB - Identities'!Q:Q)</f>
        <v>#N/A</v>
      </c>
      <c r="K313" t="e">
        <f>_xlfn.XLOOKUP(D313,Static!J:J,Static!K:K)</f>
        <v>#N/A</v>
      </c>
      <c r="L313" t="e">
        <f>IF(I313="Bank",_xlfn.XLOOKUP(J313,'Pricing Sheet'!A:A,'Pricing Sheet'!B:B,'Pricing Sheet'!$B$6),IF(I313="Corporate",_xlfn.XLOOKUP(J313,'Pricing Sheet'!F:F,'Pricing Sheet'!G:G,'Pricing Sheet'!$G$6),0))</f>
        <v>#N/A</v>
      </c>
      <c r="M313" t="str">
        <f t="shared" si="10"/>
        <v>OK</v>
      </c>
      <c r="N313" t="str">
        <f t="shared" si="11"/>
        <v>OK</v>
      </c>
    </row>
    <row r="314" spans="1:14">
      <c r="A314">
        <f>'Input 2 - Transactions'!A316</f>
        <v>0</v>
      </c>
      <c r="B314">
        <f>'Input 2 - Transactions'!B316</f>
        <v>0</v>
      </c>
      <c r="C314">
        <f>'Input 2 - Transactions'!C316</f>
        <v>0</v>
      </c>
      <c r="D314">
        <f>'Input 2 - Transactions'!D316</f>
        <v>0</v>
      </c>
      <c r="E314">
        <f>'Input 2 - Transactions'!E316</f>
        <v>0</v>
      </c>
      <c r="F314" s="29">
        <f>'Input 2 - Transactions'!F316</f>
        <v>0</v>
      </c>
      <c r="G314" s="29">
        <f>'Input 2 - Transactions'!G316</f>
        <v>0</v>
      </c>
      <c r="H314" t="e">
        <f>_xlfn.XLOOKUP(A314,'DB - Identities'!U:U,'DB - Identities'!B:B)</f>
        <v>#N/A</v>
      </c>
      <c r="I314" t="e">
        <f>_xlfn.XLOOKUP(H314,c_parties,'DB - Contracting Parties'!C:C)</f>
        <v>#N/A</v>
      </c>
      <c r="J314" t="e">
        <f>_xlfn.XLOOKUP(A314,'DB - Identities'!U:U,'DB - Identities'!Q:Q)</f>
        <v>#N/A</v>
      </c>
      <c r="K314" t="e">
        <f>_xlfn.XLOOKUP(D314,Static!J:J,Static!K:K)</f>
        <v>#N/A</v>
      </c>
      <c r="L314" t="e">
        <f>IF(I314="Bank",_xlfn.XLOOKUP(J314,'Pricing Sheet'!A:A,'Pricing Sheet'!B:B,'Pricing Sheet'!$B$6),IF(I314="Corporate",_xlfn.XLOOKUP(J314,'Pricing Sheet'!F:F,'Pricing Sheet'!G:G,'Pricing Sheet'!$G$6),0))</f>
        <v>#N/A</v>
      </c>
      <c r="M314" t="str">
        <f t="shared" si="10"/>
        <v>OK</v>
      </c>
      <c r="N314" t="str">
        <f t="shared" si="11"/>
        <v>OK</v>
      </c>
    </row>
    <row r="315" spans="1:14">
      <c r="A315">
        <f>'Input 2 - Transactions'!A317</f>
        <v>0</v>
      </c>
      <c r="B315">
        <f>'Input 2 - Transactions'!B317</f>
        <v>0</v>
      </c>
      <c r="C315">
        <f>'Input 2 - Transactions'!C317</f>
        <v>0</v>
      </c>
      <c r="D315">
        <f>'Input 2 - Transactions'!D317</f>
        <v>0</v>
      </c>
      <c r="E315">
        <f>'Input 2 - Transactions'!E317</f>
        <v>0</v>
      </c>
      <c r="F315" s="29">
        <f>'Input 2 - Transactions'!F317</f>
        <v>0</v>
      </c>
      <c r="G315" s="29">
        <f>'Input 2 - Transactions'!G317</f>
        <v>0</v>
      </c>
      <c r="H315" t="e">
        <f>_xlfn.XLOOKUP(A315,'DB - Identities'!U:U,'DB - Identities'!B:B)</f>
        <v>#N/A</v>
      </c>
      <c r="I315" t="e">
        <f>_xlfn.XLOOKUP(H315,c_parties,'DB - Contracting Parties'!C:C)</f>
        <v>#N/A</v>
      </c>
      <c r="J315" t="e">
        <f>_xlfn.XLOOKUP(A315,'DB - Identities'!U:U,'DB - Identities'!Q:Q)</f>
        <v>#N/A</v>
      </c>
      <c r="K315" t="e">
        <f>_xlfn.XLOOKUP(D315,Static!J:J,Static!K:K)</f>
        <v>#N/A</v>
      </c>
      <c r="L315" t="e">
        <f>IF(I315="Bank",_xlfn.XLOOKUP(J315,'Pricing Sheet'!A:A,'Pricing Sheet'!B:B,'Pricing Sheet'!$B$6),IF(I315="Corporate",_xlfn.XLOOKUP(J315,'Pricing Sheet'!F:F,'Pricing Sheet'!G:G,'Pricing Sheet'!$G$6),0))</f>
        <v>#N/A</v>
      </c>
      <c r="M315" t="str">
        <f t="shared" si="10"/>
        <v>OK</v>
      </c>
      <c r="N315" t="str">
        <f t="shared" si="11"/>
        <v>OK</v>
      </c>
    </row>
    <row r="316" spans="1:14">
      <c r="A316">
        <f>'Input 2 - Transactions'!A318</f>
        <v>0</v>
      </c>
      <c r="B316">
        <f>'Input 2 - Transactions'!B318</f>
        <v>0</v>
      </c>
      <c r="C316">
        <f>'Input 2 - Transactions'!C318</f>
        <v>0</v>
      </c>
      <c r="D316">
        <f>'Input 2 - Transactions'!D318</f>
        <v>0</v>
      </c>
      <c r="E316">
        <f>'Input 2 - Transactions'!E318</f>
        <v>0</v>
      </c>
      <c r="F316" s="29">
        <f>'Input 2 - Transactions'!F318</f>
        <v>0</v>
      </c>
      <c r="G316" s="29">
        <f>'Input 2 - Transactions'!G318</f>
        <v>0</v>
      </c>
      <c r="H316" t="e">
        <f>_xlfn.XLOOKUP(A316,'DB - Identities'!U:U,'DB - Identities'!B:B)</f>
        <v>#N/A</v>
      </c>
      <c r="I316" t="e">
        <f>_xlfn.XLOOKUP(H316,c_parties,'DB - Contracting Parties'!C:C)</f>
        <v>#N/A</v>
      </c>
      <c r="J316" t="e">
        <f>_xlfn.XLOOKUP(A316,'DB - Identities'!U:U,'DB - Identities'!Q:Q)</f>
        <v>#N/A</v>
      </c>
      <c r="K316" t="e">
        <f>_xlfn.XLOOKUP(D316,Static!J:J,Static!K:K)</f>
        <v>#N/A</v>
      </c>
      <c r="L316" t="e">
        <f>IF(I316="Bank",_xlfn.XLOOKUP(J316,'Pricing Sheet'!A:A,'Pricing Sheet'!B:B,'Pricing Sheet'!$B$6),IF(I316="Corporate",_xlfn.XLOOKUP(J316,'Pricing Sheet'!F:F,'Pricing Sheet'!G:G,'Pricing Sheet'!$G$6),0))</f>
        <v>#N/A</v>
      </c>
      <c r="M316" t="str">
        <f t="shared" si="10"/>
        <v>OK</v>
      </c>
      <c r="N316" t="str">
        <f t="shared" si="11"/>
        <v>OK</v>
      </c>
    </row>
    <row r="317" spans="1:14">
      <c r="A317">
        <f>'Input 2 - Transactions'!A319</f>
        <v>0</v>
      </c>
      <c r="B317">
        <f>'Input 2 - Transactions'!B319</f>
        <v>0</v>
      </c>
      <c r="C317">
        <f>'Input 2 - Transactions'!C319</f>
        <v>0</v>
      </c>
      <c r="D317">
        <f>'Input 2 - Transactions'!D319</f>
        <v>0</v>
      </c>
      <c r="E317">
        <f>'Input 2 - Transactions'!E319</f>
        <v>0</v>
      </c>
      <c r="F317" s="29">
        <f>'Input 2 - Transactions'!F319</f>
        <v>0</v>
      </c>
      <c r="G317" s="29">
        <f>'Input 2 - Transactions'!G319</f>
        <v>0</v>
      </c>
      <c r="H317" t="e">
        <f>_xlfn.XLOOKUP(A317,'DB - Identities'!U:U,'DB - Identities'!B:B)</f>
        <v>#N/A</v>
      </c>
      <c r="I317" t="e">
        <f>_xlfn.XLOOKUP(H317,c_parties,'DB - Contracting Parties'!C:C)</f>
        <v>#N/A</v>
      </c>
      <c r="J317" t="e">
        <f>_xlfn.XLOOKUP(A317,'DB - Identities'!U:U,'DB - Identities'!Q:Q)</f>
        <v>#N/A</v>
      </c>
      <c r="K317" t="e">
        <f>_xlfn.XLOOKUP(D317,Static!J:J,Static!K:K)</f>
        <v>#N/A</v>
      </c>
      <c r="L317" t="e">
        <f>IF(I317="Bank",_xlfn.XLOOKUP(J317,'Pricing Sheet'!A:A,'Pricing Sheet'!B:B,'Pricing Sheet'!$B$6),IF(I317="Corporate",_xlfn.XLOOKUP(J317,'Pricing Sheet'!F:F,'Pricing Sheet'!G:G,'Pricing Sheet'!$G$6),0))</f>
        <v>#N/A</v>
      </c>
      <c r="M317" t="str">
        <f t="shared" si="10"/>
        <v>OK</v>
      </c>
      <c r="N317" t="str">
        <f t="shared" si="11"/>
        <v>OK</v>
      </c>
    </row>
    <row r="318" spans="1:14">
      <c r="A318">
        <f>'Input 2 - Transactions'!A320</f>
        <v>0</v>
      </c>
      <c r="B318">
        <f>'Input 2 - Transactions'!B320</f>
        <v>0</v>
      </c>
      <c r="C318">
        <f>'Input 2 - Transactions'!C320</f>
        <v>0</v>
      </c>
      <c r="D318">
        <f>'Input 2 - Transactions'!D320</f>
        <v>0</v>
      </c>
      <c r="E318">
        <f>'Input 2 - Transactions'!E320</f>
        <v>0</v>
      </c>
      <c r="F318" s="29">
        <f>'Input 2 - Transactions'!F320</f>
        <v>0</v>
      </c>
      <c r="G318" s="29">
        <f>'Input 2 - Transactions'!G320</f>
        <v>0</v>
      </c>
      <c r="H318" t="e">
        <f>_xlfn.XLOOKUP(A318,'DB - Identities'!U:U,'DB - Identities'!B:B)</f>
        <v>#N/A</v>
      </c>
      <c r="I318" t="e">
        <f>_xlfn.XLOOKUP(H318,c_parties,'DB - Contracting Parties'!C:C)</f>
        <v>#N/A</v>
      </c>
      <c r="J318" t="e">
        <f>_xlfn.XLOOKUP(A318,'DB - Identities'!U:U,'DB - Identities'!Q:Q)</f>
        <v>#N/A</v>
      </c>
      <c r="K318" t="e">
        <f>_xlfn.XLOOKUP(D318,Static!J:J,Static!K:K)</f>
        <v>#N/A</v>
      </c>
      <c r="L318" t="e">
        <f>IF(I318="Bank",_xlfn.XLOOKUP(J318,'Pricing Sheet'!A:A,'Pricing Sheet'!B:B,'Pricing Sheet'!$B$6),IF(I318="Corporate",_xlfn.XLOOKUP(J318,'Pricing Sheet'!F:F,'Pricing Sheet'!G:G,'Pricing Sheet'!$G$6),0))</f>
        <v>#N/A</v>
      </c>
      <c r="M318" t="str">
        <f t="shared" si="10"/>
        <v>OK</v>
      </c>
      <c r="N318" t="str">
        <f t="shared" si="11"/>
        <v>OK</v>
      </c>
    </row>
    <row r="319" spans="1:14">
      <c r="A319">
        <f>'Input 2 - Transactions'!A321</f>
        <v>0</v>
      </c>
      <c r="B319">
        <f>'Input 2 - Transactions'!B321</f>
        <v>0</v>
      </c>
      <c r="C319">
        <f>'Input 2 - Transactions'!C321</f>
        <v>0</v>
      </c>
      <c r="D319">
        <f>'Input 2 - Transactions'!D321</f>
        <v>0</v>
      </c>
      <c r="E319">
        <f>'Input 2 - Transactions'!E321</f>
        <v>0</v>
      </c>
      <c r="F319" s="29">
        <f>'Input 2 - Transactions'!F321</f>
        <v>0</v>
      </c>
      <c r="G319" s="29">
        <f>'Input 2 - Transactions'!G321</f>
        <v>0</v>
      </c>
      <c r="H319" t="e">
        <f>_xlfn.XLOOKUP(A319,'DB - Identities'!U:U,'DB - Identities'!B:B)</f>
        <v>#N/A</v>
      </c>
      <c r="I319" t="e">
        <f>_xlfn.XLOOKUP(H319,c_parties,'DB - Contracting Parties'!C:C)</f>
        <v>#N/A</v>
      </c>
      <c r="J319" t="e">
        <f>_xlfn.XLOOKUP(A319,'DB - Identities'!U:U,'DB - Identities'!Q:Q)</f>
        <v>#N/A</v>
      </c>
      <c r="K319" t="e">
        <f>_xlfn.XLOOKUP(D319,Static!J:J,Static!K:K)</f>
        <v>#N/A</v>
      </c>
      <c r="L319" t="e">
        <f>IF(I319="Bank",_xlfn.XLOOKUP(J319,'Pricing Sheet'!A:A,'Pricing Sheet'!B:B,'Pricing Sheet'!$B$6),IF(I319="Corporate",_xlfn.XLOOKUP(J319,'Pricing Sheet'!F:F,'Pricing Sheet'!G:G,'Pricing Sheet'!$G$6),0))</f>
        <v>#N/A</v>
      </c>
      <c r="M319" t="str">
        <f t="shared" si="10"/>
        <v>OK</v>
      </c>
      <c r="N319" t="str">
        <f t="shared" si="11"/>
        <v>OK</v>
      </c>
    </row>
    <row r="320" spans="1:14">
      <c r="A320">
        <f>'Input 2 - Transactions'!A322</f>
        <v>0</v>
      </c>
      <c r="B320">
        <f>'Input 2 - Transactions'!B322</f>
        <v>0</v>
      </c>
      <c r="C320">
        <f>'Input 2 - Transactions'!C322</f>
        <v>0</v>
      </c>
      <c r="D320">
        <f>'Input 2 - Transactions'!D322</f>
        <v>0</v>
      </c>
      <c r="E320">
        <f>'Input 2 - Transactions'!E322</f>
        <v>0</v>
      </c>
      <c r="F320" s="29">
        <f>'Input 2 - Transactions'!F322</f>
        <v>0</v>
      </c>
      <c r="G320" s="29">
        <f>'Input 2 - Transactions'!G322</f>
        <v>0</v>
      </c>
      <c r="H320" t="e">
        <f>_xlfn.XLOOKUP(A320,'DB - Identities'!U:U,'DB - Identities'!B:B)</f>
        <v>#N/A</v>
      </c>
      <c r="I320" t="e">
        <f>_xlfn.XLOOKUP(H320,c_parties,'DB - Contracting Parties'!C:C)</f>
        <v>#N/A</v>
      </c>
      <c r="J320" t="e">
        <f>_xlfn.XLOOKUP(A320,'DB - Identities'!U:U,'DB - Identities'!Q:Q)</f>
        <v>#N/A</v>
      </c>
      <c r="K320" t="e">
        <f>_xlfn.XLOOKUP(D320,Static!J:J,Static!K:K)</f>
        <v>#N/A</v>
      </c>
      <c r="L320" t="e">
        <f>IF(I320="Bank",_xlfn.XLOOKUP(J320,'Pricing Sheet'!A:A,'Pricing Sheet'!B:B,'Pricing Sheet'!$B$6),IF(I320="Corporate",_xlfn.XLOOKUP(J320,'Pricing Sheet'!F:F,'Pricing Sheet'!G:G,'Pricing Sheet'!$G$6),0))</f>
        <v>#N/A</v>
      </c>
      <c r="M320" t="str">
        <f t="shared" si="10"/>
        <v>OK</v>
      </c>
      <c r="N320" t="str">
        <f t="shared" si="11"/>
        <v>OK</v>
      </c>
    </row>
    <row r="321" spans="1:14">
      <c r="A321">
        <f>'Input 2 - Transactions'!A323</f>
        <v>0</v>
      </c>
      <c r="B321">
        <f>'Input 2 - Transactions'!B323</f>
        <v>0</v>
      </c>
      <c r="C321">
        <f>'Input 2 - Transactions'!C323</f>
        <v>0</v>
      </c>
      <c r="D321">
        <f>'Input 2 - Transactions'!D323</f>
        <v>0</v>
      </c>
      <c r="E321">
        <f>'Input 2 - Transactions'!E323</f>
        <v>0</v>
      </c>
      <c r="F321" s="29">
        <f>'Input 2 - Transactions'!F323</f>
        <v>0</v>
      </c>
      <c r="G321" s="29">
        <f>'Input 2 - Transactions'!G323</f>
        <v>0</v>
      </c>
      <c r="H321" t="e">
        <f>_xlfn.XLOOKUP(A321,'DB - Identities'!U:U,'DB - Identities'!B:B)</f>
        <v>#N/A</v>
      </c>
      <c r="I321" t="e">
        <f>_xlfn.XLOOKUP(H321,c_parties,'DB - Contracting Parties'!C:C)</f>
        <v>#N/A</v>
      </c>
      <c r="J321" t="e">
        <f>_xlfn.XLOOKUP(A321,'DB - Identities'!U:U,'DB - Identities'!Q:Q)</f>
        <v>#N/A</v>
      </c>
      <c r="K321" t="e">
        <f>_xlfn.XLOOKUP(D321,Static!J:J,Static!K:K)</f>
        <v>#N/A</v>
      </c>
      <c r="L321" t="e">
        <f>IF(I321="Bank",_xlfn.XLOOKUP(J321,'Pricing Sheet'!A:A,'Pricing Sheet'!B:B,'Pricing Sheet'!$B$6),IF(I321="Corporate",_xlfn.XLOOKUP(J321,'Pricing Sheet'!F:F,'Pricing Sheet'!G:G,'Pricing Sheet'!$G$6),0))</f>
        <v>#N/A</v>
      </c>
      <c r="M321" t="str">
        <f t="shared" ref="M321:M384" si="12">IF(AND(A321&lt;&gt;0,ISNA(H321)),"ERROR", "OK")</f>
        <v>OK</v>
      </c>
      <c r="N321" t="str">
        <f t="shared" ref="N321:N384" si="13">IF(AND(A321&lt;&gt;0,ISNA(J321)),"ERROR", "OK")</f>
        <v>OK</v>
      </c>
    </row>
    <row r="322" spans="1:14">
      <c r="A322">
        <f>'Input 2 - Transactions'!A324</f>
        <v>0</v>
      </c>
      <c r="B322">
        <f>'Input 2 - Transactions'!B324</f>
        <v>0</v>
      </c>
      <c r="C322">
        <f>'Input 2 - Transactions'!C324</f>
        <v>0</v>
      </c>
      <c r="D322">
        <f>'Input 2 - Transactions'!D324</f>
        <v>0</v>
      </c>
      <c r="E322">
        <f>'Input 2 - Transactions'!E324</f>
        <v>0</v>
      </c>
      <c r="F322" s="29">
        <f>'Input 2 - Transactions'!F324</f>
        <v>0</v>
      </c>
      <c r="G322" s="29">
        <f>'Input 2 - Transactions'!G324</f>
        <v>0</v>
      </c>
      <c r="H322" t="e">
        <f>_xlfn.XLOOKUP(A322,'DB - Identities'!U:U,'DB - Identities'!B:B)</f>
        <v>#N/A</v>
      </c>
      <c r="I322" t="e">
        <f>_xlfn.XLOOKUP(H322,c_parties,'DB - Contracting Parties'!C:C)</f>
        <v>#N/A</v>
      </c>
      <c r="J322" t="e">
        <f>_xlfn.XLOOKUP(A322,'DB - Identities'!U:U,'DB - Identities'!Q:Q)</f>
        <v>#N/A</v>
      </c>
      <c r="K322" t="e">
        <f>_xlfn.XLOOKUP(D322,Static!J:J,Static!K:K)</f>
        <v>#N/A</v>
      </c>
      <c r="L322" t="e">
        <f>IF(I322="Bank",_xlfn.XLOOKUP(J322,'Pricing Sheet'!A:A,'Pricing Sheet'!B:B,'Pricing Sheet'!$B$6),IF(I322="Corporate",_xlfn.XLOOKUP(J322,'Pricing Sheet'!F:F,'Pricing Sheet'!G:G,'Pricing Sheet'!$G$6),0))</f>
        <v>#N/A</v>
      </c>
      <c r="M322" t="str">
        <f t="shared" si="12"/>
        <v>OK</v>
      </c>
      <c r="N322" t="str">
        <f t="shared" si="13"/>
        <v>OK</v>
      </c>
    </row>
    <row r="323" spans="1:14">
      <c r="A323">
        <f>'Input 2 - Transactions'!A325</f>
        <v>0</v>
      </c>
      <c r="B323">
        <f>'Input 2 - Transactions'!B325</f>
        <v>0</v>
      </c>
      <c r="C323">
        <f>'Input 2 - Transactions'!C325</f>
        <v>0</v>
      </c>
      <c r="D323">
        <f>'Input 2 - Transactions'!D325</f>
        <v>0</v>
      </c>
      <c r="E323">
        <f>'Input 2 - Transactions'!E325</f>
        <v>0</v>
      </c>
      <c r="F323" s="29">
        <f>'Input 2 - Transactions'!F325</f>
        <v>0</v>
      </c>
      <c r="G323" s="29">
        <f>'Input 2 - Transactions'!G325</f>
        <v>0</v>
      </c>
      <c r="H323" t="e">
        <f>_xlfn.XLOOKUP(A323,'DB - Identities'!U:U,'DB - Identities'!B:B)</f>
        <v>#N/A</v>
      </c>
      <c r="I323" t="e">
        <f>_xlfn.XLOOKUP(H323,c_parties,'DB - Contracting Parties'!C:C)</f>
        <v>#N/A</v>
      </c>
      <c r="J323" t="e">
        <f>_xlfn.XLOOKUP(A323,'DB - Identities'!U:U,'DB - Identities'!Q:Q)</f>
        <v>#N/A</v>
      </c>
      <c r="K323" t="e">
        <f>_xlfn.XLOOKUP(D323,Static!J:J,Static!K:K)</f>
        <v>#N/A</v>
      </c>
      <c r="L323" t="e">
        <f>IF(I323="Bank",_xlfn.XLOOKUP(J323,'Pricing Sheet'!A:A,'Pricing Sheet'!B:B,'Pricing Sheet'!$B$6),IF(I323="Corporate",_xlfn.XLOOKUP(J323,'Pricing Sheet'!F:F,'Pricing Sheet'!G:G,'Pricing Sheet'!$G$6),0))</f>
        <v>#N/A</v>
      </c>
      <c r="M323" t="str">
        <f t="shared" si="12"/>
        <v>OK</v>
      </c>
      <c r="N323" t="str">
        <f t="shared" si="13"/>
        <v>OK</v>
      </c>
    </row>
    <row r="324" spans="1:14">
      <c r="A324">
        <f>'Input 2 - Transactions'!A326</f>
        <v>0</v>
      </c>
      <c r="B324">
        <f>'Input 2 - Transactions'!B326</f>
        <v>0</v>
      </c>
      <c r="C324">
        <f>'Input 2 - Transactions'!C326</f>
        <v>0</v>
      </c>
      <c r="D324">
        <f>'Input 2 - Transactions'!D326</f>
        <v>0</v>
      </c>
      <c r="E324">
        <f>'Input 2 - Transactions'!E326</f>
        <v>0</v>
      </c>
      <c r="F324" s="29">
        <f>'Input 2 - Transactions'!F326</f>
        <v>0</v>
      </c>
      <c r="G324" s="29">
        <f>'Input 2 - Transactions'!G326</f>
        <v>0</v>
      </c>
      <c r="H324" t="e">
        <f>_xlfn.XLOOKUP(A324,'DB - Identities'!U:U,'DB - Identities'!B:B)</f>
        <v>#N/A</v>
      </c>
      <c r="I324" t="e">
        <f>_xlfn.XLOOKUP(H324,c_parties,'DB - Contracting Parties'!C:C)</f>
        <v>#N/A</v>
      </c>
      <c r="J324" t="e">
        <f>_xlfn.XLOOKUP(A324,'DB - Identities'!U:U,'DB - Identities'!Q:Q)</f>
        <v>#N/A</v>
      </c>
      <c r="K324" t="e">
        <f>_xlfn.XLOOKUP(D324,Static!J:J,Static!K:K)</f>
        <v>#N/A</v>
      </c>
      <c r="L324" t="e">
        <f>IF(I324="Bank",_xlfn.XLOOKUP(J324,'Pricing Sheet'!A:A,'Pricing Sheet'!B:B,'Pricing Sheet'!$B$6),IF(I324="Corporate",_xlfn.XLOOKUP(J324,'Pricing Sheet'!F:F,'Pricing Sheet'!G:G,'Pricing Sheet'!$G$6),0))</f>
        <v>#N/A</v>
      </c>
      <c r="M324" t="str">
        <f t="shared" si="12"/>
        <v>OK</v>
      </c>
      <c r="N324" t="str">
        <f t="shared" si="13"/>
        <v>OK</v>
      </c>
    </row>
    <row r="325" spans="1:14">
      <c r="A325">
        <f>'Input 2 - Transactions'!A327</f>
        <v>0</v>
      </c>
      <c r="B325">
        <f>'Input 2 - Transactions'!B327</f>
        <v>0</v>
      </c>
      <c r="C325">
        <f>'Input 2 - Transactions'!C327</f>
        <v>0</v>
      </c>
      <c r="D325">
        <f>'Input 2 - Transactions'!D327</f>
        <v>0</v>
      </c>
      <c r="E325">
        <f>'Input 2 - Transactions'!E327</f>
        <v>0</v>
      </c>
      <c r="F325" s="29">
        <f>'Input 2 - Transactions'!F327</f>
        <v>0</v>
      </c>
      <c r="G325" s="29">
        <f>'Input 2 - Transactions'!G327</f>
        <v>0</v>
      </c>
      <c r="H325" t="e">
        <f>_xlfn.XLOOKUP(A325,'DB - Identities'!U:U,'DB - Identities'!B:B)</f>
        <v>#N/A</v>
      </c>
      <c r="I325" t="e">
        <f>_xlfn.XLOOKUP(H325,c_parties,'DB - Contracting Parties'!C:C)</f>
        <v>#N/A</v>
      </c>
      <c r="J325" t="e">
        <f>_xlfn.XLOOKUP(A325,'DB - Identities'!U:U,'DB - Identities'!Q:Q)</f>
        <v>#N/A</v>
      </c>
      <c r="K325" t="e">
        <f>_xlfn.XLOOKUP(D325,Static!J:J,Static!K:K)</f>
        <v>#N/A</v>
      </c>
      <c r="L325" t="e">
        <f>IF(I325="Bank",_xlfn.XLOOKUP(J325,'Pricing Sheet'!A:A,'Pricing Sheet'!B:B,'Pricing Sheet'!$B$6),IF(I325="Corporate",_xlfn.XLOOKUP(J325,'Pricing Sheet'!F:F,'Pricing Sheet'!G:G,'Pricing Sheet'!$G$6),0))</f>
        <v>#N/A</v>
      </c>
      <c r="M325" t="str">
        <f t="shared" si="12"/>
        <v>OK</v>
      </c>
      <c r="N325" t="str">
        <f t="shared" si="13"/>
        <v>OK</v>
      </c>
    </row>
    <row r="326" spans="1:14">
      <c r="A326">
        <f>'Input 2 - Transactions'!A328</f>
        <v>0</v>
      </c>
      <c r="B326">
        <f>'Input 2 - Transactions'!B328</f>
        <v>0</v>
      </c>
      <c r="C326">
        <f>'Input 2 - Transactions'!C328</f>
        <v>0</v>
      </c>
      <c r="D326">
        <f>'Input 2 - Transactions'!D328</f>
        <v>0</v>
      </c>
      <c r="E326">
        <f>'Input 2 - Transactions'!E328</f>
        <v>0</v>
      </c>
      <c r="F326" s="29">
        <f>'Input 2 - Transactions'!F328</f>
        <v>0</v>
      </c>
      <c r="G326" s="29">
        <f>'Input 2 - Transactions'!G328</f>
        <v>0</v>
      </c>
      <c r="H326" t="e">
        <f>_xlfn.XLOOKUP(A326,'DB - Identities'!U:U,'DB - Identities'!B:B)</f>
        <v>#N/A</v>
      </c>
      <c r="I326" t="e">
        <f>_xlfn.XLOOKUP(H326,c_parties,'DB - Contracting Parties'!C:C)</f>
        <v>#N/A</v>
      </c>
      <c r="J326" t="e">
        <f>_xlfn.XLOOKUP(A326,'DB - Identities'!U:U,'DB - Identities'!Q:Q)</f>
        <v>#N/A</v>
      </c>
      <c r="K326" t="e">
        <f>_xlfn.XLOOKUP(D326,Static!J:J,Static!K:K)</f>
        <v>#N/A</v>
      </c>
      <c r="L326" t="e">
        <f>IF(I326="Bank",_xlfn.XLOOKUP(J326,'Pricing Sheet'!A:A,'Pricing Sheet'!B:B,'Pricing Sheet'!$B$6),IF(I326="Corporate",_xlfn.XLOOKUP(J326,'Pricing Sheet'!F:F,'Pricing Sheet'!G:G,'Pricing Sheet'!$G$6),0))</f>
        <v>#N/A</v>
      </c>
      <c r="M326" t="str">
        <f t="shared" si="12"/>
        <v>OK</v>
      </c>
      <c r="N326" t="str">
        <f t="shared" si="13"/>
        <v>OK</v>
      </c>
    </row>
    <row r="327" spans="1:14">
      <c r="A327">
        <f>'Input 2 - Transactions'!A329</f>
        <v>0</v>
      </c>
      <c r="B327">
        <f>'Input 2 - Transactions'!B329</f>
        <v>0</v>
      </c>
      <c r="C327">
        <f>'Input 2 - Transactions'!C329</f>
        <v>0</v>
      </c>
      <c r="D327">
        <f>'Input 2 - Transactions'!D329</f>
        <v>0</v>
      </c>
      <c r="E327">
        <f>'Input 2 - Transactions'!E329</f>
        <v>0</v>
      </c>
      <c r="F327" s="29">
        <f>'Input 2 - Transactions'!F329</f>
        <v>0</v>
      </c>
      <c r="G327" s="29">
        <f>'Input 2 - Transactions'!G329</f>
        <v>0</v>
      </c>
      <c r="H327" t="e">
        <f>_xlfn.XLOOKUP(A327,'DB - Identities'!U:U,'DB - Identities'!B:B)</f>
        <v>#N/A</v>
      </c>
      <c r="I327" t="e">
        <f>_xlfn.XLOOKUP(H327,c_parties,'DB - Contracting Parties'!C:C)</f>
        <v>#N/A</v>
      </c>
      <c r="J327" t="e">
        <f>_xlfn.XLOOKUP(A327,'DB - Identities'!U:U,'DB - Identities'!Q:Q)</f>
        <v>#N/A</v>
      </c>
      <c r="K327" t="e">
        <f>_xlfn.XLOOKUP(D327,Static!J:J,Static!K:K)</f>
        <v>#N/A</v>
      </c>
      <c r="L327" t="e">
        <f>IF(I327="Bank",_xlfn.XLOOKUP(J327,'Pricing Sheet'!A:A,'Pricing Sheet'!B:B,'Pricing Sheet'!$B$6),IF(I327="Corporate",_xlfn.XLOOKUP(J327,'Pricing Sheet'!F:F,'Pricing Sheet'!G:G,'Pricing Sheet'!$G$6),0))</f>
        <v>#N/A</v>
      </c>
      <c r="M327" t="str">
        <f t="shared" si="12"/>
        <v>OK</v>
      </c>
      <c r="N327" t="str">
        <f t="shared" si="13"/>
        <v>OK</v>
      </c>
    </row>
    <row r="328" spans="1:14">
      <c r="A328">
        <f>'Input 2 - Transactions'!A330</f>
        <v>0</v>
      </c>
      <c r="B328">
        <f>'Input 2 - Transactions'!B330</f>
        <v>0</v>
      </c>
      <c r="C328">
        <f>'Input 2 - Transactions'!C330</f>
        <v>0</v>
      </c>
      <c r="D328">
        <f>'Input 2 - Transactions'!D330</f>
        <v>0</v>
      </c>
      <c r="E328">
        <f>'Input 2 - Transactions'!E330</f>
        <v>0</v>
      </c>
      <c r="F328" s="29">
        <f>'Input 2 - Transactions'!F330</f>
        <v>0</v>
      </c>
      <c r="G328" s="29">
        <f>'Input 2 - Transactions'!G330</f>
        <v>0</v>
      </c>
      <c r="H328" t="e">
        <f>_xlfn.XLOOKUP(A328,'DB - Identities'!U:U,'DB - Identities'!B:B)</f>
        <v>#N/A</v>
      </c>
      <c r="I328" t="e">
        <f>_xlfn.XLOOKUP(H328,c_parties,'DB - Contracting Parties'!C:C)</f>
        <v>#N/A</v>
      </c>
      <c r="J328" t="e">
        <f>_xlfn.XLOOKUP(A328,'DB - Identities'!U:U,'DB - Identities'!Q:Q)</f>
        <v>#N/A</v>
      </c>
      <c r="K328" t="e">
        <f>_xlfn.XLOOKUP(D328,Static!J:J,Static!K:K)</f>
        <v>#N/A</v>
      </c>
      <c r="L328" t="e">
        <f>IF(I328="Bank",_xlfn.XLOOKUP(J328,'Pricing Sheet'!A:A,'Pricing Sheet'!B:B,'Pricing Sheet'!$B$6),IF(I328="Corporate",_xlfn.XLOOKUP(J328,'Pricing Sheet'!F:F,'Pricing Sheet'!G:G,'Pricing Sheet'!$G$6),0))</f>
        <v>#N/A</v>
      </c>
      <c r="M328" t="str">
        <f t="shared" si="12"/>
        <v>OK</v>
      </c>
      <c r="N328" t="str">
        <f t="shared" si="13"/>
        <v>OK</v>
      </c>
    </row>
    <row r="329" spans="1:14">
      <c r="A329">
        <f>'Input 2 - Transactions'!A331</f>
        <v>0</v>
      </c>
      <c r="B329">
        <f>'Input 2 - Transactions'!B331</f>
        <v>0</v>
      </c>
      <c r="C329">
        <f>'Input 2 - Transactions'!C331</f>
        <v>0</v>
      </c>
      <c r="D329">
        <f>'Input 2 - Transactions'!D331</f>
        <v>0</v>
      </c>
      <c r="E329">
        <f>'Input 2 - Transactions'!E331</f>
        <v>0</v>
      </c>
      <c r="F329" s="29">
        <f>'Input 2 - Transactions'!F331</f>
        <v>0</v>
      </c>
      <c r="G329" s="29">
        <f>'Input 2 - Transactions'!G331</f>
        <v>0</v>
      </c>
      <c r="H329" t="e">
        <f>_xlfn.XLOOKUP(A329,'DB - Identities'!U:U,'DB - Identities'!B:B)</f>
        <v>#N/A</v>
      </c>
      <c r="I329" t="e">
        <f>_xlfn.XLOOKUP(H329,c_parties,'DB - Contracting Parties'!C:C)</f>
        <v>#N/A</v>
      </c>
      <c r="J329" t="e">
        <f>_xlfn.XLOOKUP(A329,'DB - Identities'!U:U,'DB - Identities'!Q:Q)</f>
        <v>#N/A</v>
      </c>
      <c r="K329" t="e">
        <f>_xlfn.XLOOKUP(D329,Static!J:J,Static!K:K)</f>
        <v>#N/A</v>
      </c>
      <c r="L329" t="e">
        <f>IF(I329="Bank",_xlfn.XLOOKUP(J329,'Pricing Sheet'!A:A,'Pricing Sheet'!B:B,'Pricing Sheet'!$B$6),IF(I329="Corporate",_xlfn.XLOOKUP(J329,'Pricing Sheet'!F:F,'Pricing Sheet'!G:G,'Pricing Sheet'!$G$6),0))</f>
        <v>#N/A</v>
      </c>
      <c r="M329" t="str">
        <f t="shared" si="12"/>
        <v>OK</v>
      </c>
      <c r="N329" t="str">
        <f t="shared" si="13"/>
        <v>OK</v>
      </c>
    </row>
    <row r="330" spans="1:14">
      <c r="A330">
        <f>'Input 2 - Transactions'!A332</f>
        <v>0</v>
      </c>
      <c r="B330">
        <f>'Input 2 - Transactions'!B332</f>
        <v>0</v>
      </c>
      <c r="C330">
        <f>'Input 2 - Transactions'!C332</f>
        <v>0</v>
      </c>
      <c r="D330">
        <f>'Input 2 - Transactions'!D332</f>
        <v>0</v>
      </c>
      <c r="E330">
        <f>'Input 2 - Transactions'!E332</f>
        <v>0</v>
      </c>
      <c r="F330" s="29">
        <f>'Input 2 - Transactions'!F332</f>
        <v>0</v>
      </c>
      <c r="G330" s="29">
        <f>'Input 2 - Transactions'!G332</f>
        <v>0</v>
      </c>
      <c r="H330" t="e">
        <f>_xlfn.XLOOKUP(A330,'DB - Identities'!U:U,'DB - Identities'!B:B)</f>
        <v>#N/A</v>
      </c>
      <c r="I330" t="e">
        <f>_xlfn.XLOOKUP(H330,c_parties,'DB - Contracting Parties'!C:C)</f>
        <v>#N/A</v>
      </c>
      <c r="J330" t="e">
        <f>_xlfn.XLOOKUP(A330,'DB - Identities'!U:U,'DB - Identities'!Q:Q)</f>
        <v>#N/A</v>
      </c>
      <c r="K330" t="e">
        <f>_xlfn.XLOOKUP(D330,Static!J:J,Static!K:K)</f>
        <v>#N/A</v>
      </c>
      <c r="L330" t="e">
        <f>IF(I330="Bank",_xlfn.XLOOKUP(J330,'Pricing Sheet'!A:A,'Pricing Sheet'!B:B,'Pricing Sheet'!$B$6),IF(I330="Corporate",_xlfn.XLOOKUP(J330,'Pricing Sheet'!F:F,'Pricing Sheet'!G:G,'Pricing Sheet'!$G$6),0))</f>
        <v>#N/A</v>
      </c>
      <c r="M330" t="str">
        <f t="shared" si="12"/>
        <v>OK</v>
      </c>
      <c r="N330" t="str">
        <f t="shared" si="13"/>
        <v>OK</v>
      </c>
    </row>
    <row r="331" spans="1:14">
      <c r="A331">
        <f>'Input 2 - Transactions'!A333</f>
        <v>0</v>
      </c>
      <c r="B331">
        <f>'Input 2 - Transactions'!B333</f>
        <v>0</v>
      </c>
      <c r="C331">
        <f>'Input 2 - Transactions'!C333</f>
        <v>0</v>
      </c>
      <c r="D331">
        <f>'Input 2 - Transactions'!D333</f>
        <v>0</v>
      </c>
      <c r="E331">
        <f>'Input 2 - Transactions'!E333</f>
        <v>0</v>
      </c>
      <c r="F331" s="29">
        <f>'Input 2 - Transactions'!F333</f>
        <v>0</v>
      </c>
      <c r="G331" s="29">
        <f>'Input 2 - Transactions'!G333</f>
        <v>0</v>
      </c>
      <c r="H331" t="e">
        <f>_xlfn.XLOOKUP(A331,'DB - Identities'!U:U,'DB - Identities'!B:B)</f>
        <v>#N/A</v>
      </c>
      <c r="I331" t="e">
        <f>_xlfn.XLOOKUP(H331,c_parties,'DB - Contracting Parties'!C:C)</f>
        <v>#N/A</v>
      </c>
      <c r="J331" t="e">
        <f>_xlfn.XLOOKUP(A331,'DB - Identities'!U:U,'DB - Identities'!Q:Q)</f>
        <v>#N/A</v>
      </c>
      <c r="K331" t="e">
        <f>_xlfn.XLOOKUP(D331,Static!J:J,Static!K:K)</f>
        <v>#N/A</v>
      </c>
      <c r="L331" t="e">
        <f>IF(I331="Bank",_xlfn.XLOOKUP(J331,'Pricing Sheet'!A:A,'Pricing Sheet'!B:B,'Pricing Sheet'!$B$6),IF(I331="Corporate",_xlfn.XLOOKUP(J331,'Pricing Sheet'!F:F,'Pricing Sheet'!G:G,'Pricing Sheet'!$G$6),0))</f>
        <v>#N/A</v>
      </c>
      <c r="M331" t="str">
        <f t="shared" si="12"/>
        <v>OK</v>
      </c>
      <c r="N331" t="str">
        <f t="shared" si="13"/>
        <v>OK</v>
      </c>
    </row>
    <row r="332" spans="1:14">
      <c r="A332">
        <f>'Input 2 - Transactions'!A334</f>
        <v>0</v>
      </c>
      <c r="B332">
        <f>'Input 2 - Transactions'!B334</f>
        <v>0</v>
      </c>
      <c r="C332">
        <f>'Input 2 - Transactions'!C334</f>
        <v>0</v>
      </c>
      <c r="D332">
        <f>'Input 2 - Transactions'!D334</f>
        <v>0</v>
      </c>
      <c r="E332">
        <f>'Input 2 - Transactions'!E334</f>
        <v>0</v>
      </c>
      <c r="F332" s="29">
        <f>'Input 2 - Transactions'!F334</f>
        <v>0</v>
      </c>
      <c r="G332" s="29">
        <f>'Input 2 - Transactions'!G334</f>
        <v>0</v>
      </c>
      <c r="H332" t="e">
        <f>_xlfn.XLOOKUP(A332,'DB - Identities'!U:U,'DB - Identities'!B:B)</f>
        <v>#N/A</v>
      </c>
      <c r="I332" t="e">
        <f>_xlfn.XLOOKUP(H332,c_parties,'DB - Contracting Parties'!C:C)</f>
        <v>#N/A</v>
      </c>
      <c r="J332" t="e">
        <f>_xlfn.XLOOKUP(A332,'DB - Identities'!U:U,'DB - Identities'!Q:Q)</f>
        <v>#N/A</v>
      </c>
      <c r="K332" t="e">
        <f>_xlfn.XLOOKUP(D332,Static!J:J,Static!K:K)</f>
        <v>#N/A</v>
      </c>
      <c r="L332" t="e">
        <f>IF(I332="Bank",_xlfn.XLOOKUP(J332,'Pricing Sheet'!A:A,'Pricing Sheet'!B:B,'Pricing Sheet'!$B$6),IF(I332="Corporate",_xlfn.XLOOKUP(J332,'Pricing Sheet'!F:F,'Pricing Sheet'!G:G,'Pricing Sheet'!$G$6),0))</f>
        <v>#N/A</v>
      </c>
      <c r="M332" t="str">
        <f t="shared" si="12"/>
        <v>OK</v>
      </c>
      <c r="N332" t="str">
        <f t="shared" si="13"/>
        <v>OK</v>
      </c>
    </row>
    <row r="333" spans="1:14">
      <c r="A333">
        <f>'Input 2 - Transactions'!A335</f>
        <v>0</v>
      </c>
      <c r="B333">
        <f>'Input 2 - Transactions'!B335</f>
        <v>0</v>
      </c>
      <c r="C333">
        <f>'Input 2 - Transactions'!C335</f>
        <v>0</v>
      </c>
      <c r="D333">
        <f>'Input 2 - Transactions'!D335</f>
        <v>0</v>
      </c>
      <c r="E333">
        <f>'Input 2 - Transactions'!E335</f>
        <v>0</v>
      </c>
      <c r="F333" s="29">
        <f>'Input 2 - Transactions'!F335</f>
        <v>0</v>
      </c>
      <c r="G333" s="29">
        <f>'Input 2 - Transactions'!G335</f>
        <v>0</v>
      </c>
      <c r="H333" t="e">
        <f>_xlfn.XLOOKUP(A333,'DB - Identities'!U:U,'DB - Identities'!B:B)</f>
        <v>#N/A</v>
      </c>
      <c r="I333" t="e">
        <f>_xlfn.XLOOKUP(H333,c_parties,'DB - Contracting Parties'!C:C)</f>
        <v>#N/A</v>
      </c>
      <c r="J333" t="e">
        <f>_xlfn.XLOOKUP(A333,'DB - Identities'!U:U,'DB - Identities'!Q:Q)</f>
        <v>#N/A</v>
      </c>
      <c r="K333" t="e">
        <f>_xlfn.XLOOKUP(D333,Static!J:J,Static!K:K)</f>
        <v>#N/A</v>
      </c>
      <c r="L333" t="e">
        <f>IF(I333="Bank",_xlfn.XLOOKUP(J333,'Pricing Sheet'!A:A,'Pricing Sheet'!B:B,'Pricing Sheet'!$B$6),IF(I333="Corporate",_xlfn.XLOOKUP(J333,'Pricing Sheet'!F:F,'Pricing Sheet'!G:G,'Pricing Sheet'!$G$6),0))</f>
        <v>#N/A</v>
      </c>
      <c r="M333" t="str">
        <f t="shared" si="12"/>
        <v>OK</v>
      </c>
      <c r="N333" t="str">
        <f t="shared" si="13"/>
        <v>OK</v>
      </c>
    </row>
    <row r="334" spans="1:14">
      <c r="A334">
        <f>'Input 2 - Transactions'!A336</f>
        <v>0</v>
      </c>
      <c r="B334">
        <f>'Input 2 - Transactions'!B336</f>
        <v>0</v>
      </c>
      <c r="C334">
        <f>'Input 2 - Transactions'!C336</f>
        <v>0</v>
      </c>
      <c r="D334">
        <f>'Input 2 - Transactions'!D336</f>
        <v>0</v>
      </c>
      <c r="E334">
        <f>'Input 2 - Transactions'!E336</f>
        <v>0</v>
      </c>
      <c r="F334" s="29">
        <f>'Input 2 - Transactions'!F336</f>
        <v>0</v>
      </c>
      <c r="G334" s="29">
        <f>'Input 2 - Transactions'!G336</f>
        <v>0</v>
      </c>
      <c r="H334" t="e">
        <f>_xlfn.XLOOKUP(A334,'DB - Identities'!U:U,'DB - Identities'!B:B)</f>
        <v>#N/A</v>
      </c>
      <c r="I334" t="e">
        <f>_xlfn.XLOOKUP(H334,c_parties,'DB - Contracting Parties'!C:C)</f>
        <v>#N/A</v>
      </c>
      <c r="J334" t="e">
        <f>_xlfn.XLOOKUP(A334,'DB - Identities'!U:U,'DB - Identities'!Q:Q)</f>
        <v>#N/A</v>
      </c>
      <c r="K334" t="e">
        <f>_xlfn.XLOOKUP(D334,Static!J:J,Static!K:K)</f>
        <v>#N/A</v>
      </c>
      <c r="L334" t="e">
        <f>IF(I334="Bank",_xlfn.XLOOKUP(J334,'Pricing Sheet'!A:A,'Pricing Sheet'!B:B,'Pricing Sheet'!$B$6),IF(I334="Corporate",_xlfn.XLOOKUP(J334,'Pricing Sheet'!F:F,'Pricing Sheet'!G:G,'Pricing Sheet'!$G$6),0))</f>
        <v>#N/A</v>
      </c>
      <c r="M334" t="str">
        <f t="shared" si="12"/>
        <v>OK</v>
      </c>
      <c r="N334" t="str">
        <f t="shared" si="13"/>
        <v>OK</v>
      </c>
    </row>
    <row r="335" spans="1:14">
      <c r="A335">
        <f>'Input 2 - Transactions'!A337</f>
        <v>0</v>
      </c>
      <c r="B335">
        <f>'Input 2 - Transactions'!B337</f>
        <v>0</v>
      </c>
      <c r="C335">
        <f>'Input 2 - Transactions'!C337</f>
        <v>0</v>
      </c>
      <c r="D335">
        <f>'Input 2 - Transactions'!D337</f>
        <v>0</v>
      </c>
      <c r="E335">
        <f>'Input 2 - Transactions'!E337</f>
        <v>0</v>
      </c>
      <c r="F335" s="29">
        <f>'Input 2 - Transactions'!F337</f>
        <v>0</v>
      </c>
      <c r="G335" s="29">
        <f>'Input 2 - Transactions'!G337</f>
        <v>0</v>
      </c>
      <c r="H335" t="e">
        <f>_xlfn.XLOOKUP(A335,'DB - Identities'!U:U,'DB - Identities'!B:B)</f>
        <v>#N/A</v>
      </c>
      <c r="I335" t="e">
        <f>_xlfn.XLOOKUP(H335,c_parties,'DB - Contracting Parties'!C:C)</f>
        <v>#N/A</v>
      </c>
      <c r="J335" t="e">
        <f>_xlfn.XLOOKUP(A335,'DB - Identities'!U:U,'DB - Identities'!Q:Q)</f>
        <v>#N/A</v>
      </c>
      <c r="K335" t="e">
        <f>_xlfn.XLOOKUP(D335,Static!J:J,Static!K:K)</f>
        <v>#N/A</v>
      </c>
      <c r="L335" t="e">
        <f>IF(I335="Bank",_xlfn.XLOOKUP(J335,'Pricing Sheet'!A:A,'Pricing Sheet'!B:B,'Pricing Sheet'!$B$6),IF(I335="Corporate",_xlfn.XLOOKUP(J335,'Pricing Sheet'!F:F,'Pricing Sheet'!G:G,'Pricing Sheet'!$G$6),0))</f>
        <v>#N/A</v>
      </c>
      <c r="M335" t="str">
        <f t="shared" si="12"/>
        <v>OK</v>
      </c>
      <c r="N335" t="str">
        <f t="shared" si="13"/>
        <v>OK</v>
      </c>
    </row>
    <row r="336" spans="1:14">
      <c r="A336">
        <f>'Input 2 - Transactions'!A338</f>
        <v>0</v>
      </c>
      <c r="B336">
        <f>'Input 2 - Transactions'!B338</f>
        <v>0</v>
      </c>
      <c r="C336">
        <f>'Input 2 - Transactions'!C338</f>
        <v>0</v>
      </c>
      <c r="D336">
        <f>'Input 2 - Transactions'!D338</f>
        <v>0</v>
      </c>
      <c r="E336">
        <f>'Input 2 - Transactions'!E338</f>
        <v>0</v>
      </c>
      <c r="F336" s="29">
        <f>'Input 2 - Transactions'!F338</f>
        <v>0</v>
      </c>
      <c r="G336" s="29">
        <f>'Input 2 - Transactions'!G338</f>
        <v>0</v>
      </c>
      <c r="H336" t="e">
        <f>_xlfn.XLOOKUP(A336,'DB - Identities'!U:U,'DB - Identities'!B:B)</f>
        <v>#N/A</v>
      </c>
      <c r="I336" t="e">
        <f>_xlfn.XLOOKUP(H336,c_parties,'DB - Contracting Parties'!C:C)</f>
        <v>#N/A</v>
      </c>
      <c r="J336" t="e">
        <f>_xlfn.XLOOKUP(A336,'DB - Identities'!U:U,'DB - Identities'!Q:Q)</f>
        <v>#N/A</v>
      </c>
      <c r="K336" t="e">
        <f>_xlfn.XLOOKUP(D336,Static!J:J,Static!K:K)</f>
        <v>#N/A</v>
      </c>
      <c r="L336" t="e">
        <f>IF(I336="Bank",_xlfn.XLOOKUP(J336,'Pricing Sheet'!A:A,'Pricing Sheet'!B:B,'Pricing Sheet'!$B$6),IF(I336="Corporate",_xlfn.XLOOKUP(J336,'Pricing Sheet'!F:F,'Pricing Sheet'!G:G,'Pricing Sheet'!$G$6),0))</f>
        <v>#N/A</v>
      </c>
      <c r="M336" t="str">
        <f t="shared" si="12"/>
        <v>OK</v>
      </c>
      <c r="N336" t="str">
        <f t="shared" si="13"/>
        <v>OK</v>
      </c>
    </row>
    <row r="337" spans="1:14">
      <c r="A337">
        <f>'Input 2 - Transactions'!A339</f>
        <v>0</v>
      </c>
      <c r="B337">
        <f>'Input 2 - Transactions'!B339</f>
        <v>0</v>
      </c>
      <c r="C337">
        <f>'Input 2 - Transactions'!C339</f>
        <v>0</v>
      </c>
      <c r="D337">
        <f>'Input 2 - Transactions'!D339</f>
        <v>0</v>
      </c>
      <c r="E337">
        <f>'Input 2 - Transactions'!E339</f>
        <v>0</v>
      </c>
      <c r="F337" s="29">
        <f>'Input 2 - Transactions'!F339</f>
        <v>0</v>
      </c>
      <c r="G337" s="29">
        <f>'Input 2 - Transactions'!G339</f>
        <v>0</v>
      </c>
      <c r="H337" t="e">
        <f>_xlfn.XLOOKUP(A337,'DB - Identities'!U:U,'DB - Identities'!B:B)</f>
        <v>#N/A</v>
      </c>
      <c r="I337" t="e">
        <f>_xlfn.XLOOKUP(H337,c_parties,'DB - Contracting Parties'!C:C)</f>
        <v>#N/A</v>
      </c>
      <c r="J337" t="e">
        <f>_xlfn.XLOOKUP(A337,'DB - Identities'!U:U,'DB - Identities'!Q:Q)</f>
        <v>#N/A</v>
      </c>
      <c r="K337" t="e">
        <f>_xlfn.XLOOKUP(D337,Static!J:J,Static!K:K)</f>
        <v>#N/A</v>
      </c>
      <c r="L337" t="e">
        <f>IF(I337="Bank",_xlfn.XLOOKUP(J337,'Pricing Sheet'!A:A,'Pricing Sheet'!B:B,'Pricing Sheet'!$B$6),IF(I337="Corporate",_xlfn.XLOOKUP(J337,'Pricing Sheet'!F:F,'Pricing Sheet'!G:G,'Pricing Sheet'!$G$6),0))</f>
        <v>#N/A</v>
      </c>
      <c r="M337" t="str">
        <f t="shared" si="12"/>
        <v>OK</v>
      </c>
      <c r="N337" t="str">
        <f t="shared" si="13"/>
        <v>OK</v>
      </c>
    </row>
    <row r="338" spans="1:14">
      <c r="A338">
        <f>'Input 2 - Transactions'!A340</f>
        <v>0</v>
      </c>
      <c r="B338">
        <f>'Input 2 - Transactions'!B340</f>
        <v>0</v>
      </c>
      <c r="C338">
        <f>'Input 2 - Transactions'!C340</f>
        <v>0</v>
      </c>
      <c r="D338">
        <f>'Input 2 - Transactions'!D340</f>
        <v>0</v>
      </c>
      <c r="E338">
        <f>'Input 2 - Transactions'!E340</f>
        <v>0</v>
      </c>
      <c r="F338" s="29">
        <f>'Input 2 - Transactions'!F340</f>
        <v>0</v>
      </c>
      <c r="G338" s="29">
        <f>'Input 2 - Transactions'!G340</f>
        <v>0</v>
      </c>
      <c r="H338" t="e">
        <f>_xlfn.XLOOKUP(A338,'DB - Identities'!U:U,'DB - Identities'!B:B)</f>
        <v>#N/A</v>
      </c>
      <c r="I338" t="e">
        <f>_xlfn.XLOOKUP(H338,c_parties,'DB - Contracting Parties'!C:C)</f>
        <v>#N/A</v>
      </c>
      <c r="J338" t="e">
        <f>_xlfn.XLOOKUP(A338,'DB - Identities'!U:U,'DB - Identities'!Q:Q)</f>
        <v>#N/A</v>
      </c>
      <c r="K338" t="e">
        <f>_xlfn.XLOOKUP(D338,Static!J:J,Static!K:K)</f>
        <v>#N/A</v>
      </c>
      <c r="L338" t="e">
        <f>IF(I338="Bank",_xlfn.XLOOKUP(J338,'Pricing Sheet'!A:A,'Pricing Sheet'!B:B,'Pricing Sheet'!$B$6),IF(I338="Corporate",_xlfn.XLOOKUP(J338,'Pricing Sheet'!F:F,'Pricing Sheet'!G:G,'Pricing Sheet'!$G$6),0))</f>
        <v>#N/A</v>
      </c>
      <c r="M338" t="str">
        <f t="shared" si="12"/>
        <v>OK</v>
      </c>
      <c r="N338" t="str">
        <f t="shared" si="13"/>
        <v>OK</v>
      </c>
    </row>
    <row r="339" spans="1:14">
      <c r="A339">
        <f>'Input 2 - Transactions'!A341</f>
        <v>0</v>
      </c>
      <c r="B339">
        <f>'Input 2 - Transactions'!B341</f>
        <v>0</v>
      </c>
      <c r="C339">
        <f>'Input 2 - Transactions'!C341</f>
        <v>0</v>
      </c>
      <c r="D339">
        <f>'Input 2 - Transactions'!D341</f>
        <v>0</v>
      </c>
      <c r="E339">
        <f>'Input 2 - Transactions'!E341</f>
        <v>0</v>
      </c>
      <c r="F339" s="29">
        <f>'Input 2 - Transactions'!F341</f>
        <v>0</v>
      </c>
      <c r="G339" s="29">
        <f>'Input 2 - Transactions'!G341</f>
        <v>0</v>
      </c>
      <c r="H339" t="e">
        <f>_xlfn.XLOOKUP(A339,'DB - Identities'!U:U,'DB - Identities'!B:B)</f>
        <v>#N/A</v>
      </c>
      <c r="I339" t="e">
        <f>_xlfn.XLOOKUP(H339,c_parties,'DB - Contracting Parties'!C:C)</f>
        <v>#N/A</v>
      </c>
      <c r="J339" t="e">
        <f>_xlfn.XLOOKUP(A339,'DB - Identities'!U:U,'DB - Identities'!Q:Q)</f>
        <v>#N/A</v>
      </c>
      <c r="K339" t="e">
        <f>_xlfn.XLOOKUP(D339,Static!J:J,Static!K:K)</f>
        <v>#N/A</v>
      </c>
      <c r="L339" t="e">
        <f>IF(I339="Bank",_xlfn.XLOOKUP(J339,'Pricing Sheet'!A:A,'Pricing Sheet'!B:B,'Pricing Sheet'!$B$6),IF(I339="Corporate",_xlfn.XLOOKUP(J339,'Pricing Sheet'!F:F,'Pricing Sheet'!G:G,'Pricing Sheet'!$G$6),0))</f>
        <v>#N/A</v>
      </c>
      <c r="M339" t="str">
        <f t="shared" si="12"/>
        <v>OK</v>
      </c>
      <c r="N339" t="str">
        <f t="shared" si="13"/>
        <v>OK</v>
      </c>
    </row>
    <row r="340" spans="1:14">
      <c r="A340">
        <f>'Input 2 - Transactions'!A342</f>
        <v>0</v>
      </c>
      <c r="B340">
        <f>'Input 2 - Transactions'!B342</f>
        <v>0</v>
      </c>
      <c r="C340">
        <f>'Input 2 - Transactions'!C342</f>
        <v>0</v>
      </c>
      <c r="D340">
        <f>'Input 2 - Transactions'!D342</f>
        <v>0</v>
      </c>
      <c r="E340">
        <f>'Input 2 - Transactions'!E342</f>
        <v>0</v>
      </c>
      <c r="F340" s="29">
        <f>'Input 2 - Transactions'!F342</f>
        <v>0</v>
      </c>
      <c r="G340" s="29">
        <f>'Input 2 - Transactions'!G342</f>
        <v>0</v>
      </c>
      <c r="H340" t="e">
        <f>_xlfn.XLOOKUP(A340,'DB - Identities'!U:U,'DB - Identities'!B:B)</f>
        <v>#N/A</v>
      </c>
      <c r="I340" t="e">
        <f>_xlfn.XLOOKUP(H340,c_parties,'DB - Contracting Parties'!C:C)</f>
        <v>#N/A</v>
      </c>
      <c r="J340" t="e">
        <f>_xlfn.XLOOKUP(A340,'DB - Identities'!U:U,'DB - Identities'!Q:Q)</f>
        <v>#N/A</v>
      </c>
      <c r="K340" t="e">
        <f>_xlfn.XLOOKUP(D340,Static!J:J,Static!K:K)</f>
        <v>#N/A</v>
      </c>
      <c r="L340" t="e">
        <f>IF(I340="Bank",_xlfn.XLOOKUP(J340,'Pricing Sheet'!A:A,'Pricing Sheet'!B:B,'Pricing Sheet'!$B$6),IF(I340="Corporate",_xlfn.XLOOKUP(J340,'Pricing Sheet'!F:F,'Pricing Sheet'!G:G,'Pricing Sheet'!$G$6),0))</f>
        <v>#N/A</v>
      </c>
      <c r="M340" t="str">
        <f t="shared" si="12"/>
        <v>OK</v>
      </c>
      <c r="N340" t="str">
        <f t="shared" si="13"/>
        <v>OK</v>
      </c>
    </row>
    <row r="341" spans="1:14">
      <c r="A341">
        <f>'Input 2 - Transactions'!A343</f>
        <v>0</v>
      </c>
      <c r="B341">
        <f>'Input 2 - Transactions'!B343</f>
        <v>0</v>
      </c>
      <c r="C341">
        <f>'Input 2 - Transactions'!C343</f>
        <v>0</v>
      </c>
      <c r="D341">
        <f>'Input 2 - Transactions'!D343</f>
        <v>0</v>
      </c>
      <c r="E341">
        <f>'Input 2 - Transactions'!E343</f>
        <v>0</v>
      </c>
      <c r="F341" s="29">
        <f>'Input 2 - Transactions'!F343</f>
        <v>0</v>
      </c>
      <c r="G341" s="29">
        <f>'Input 2 - Transactions'!G343</f>
        <v>0</v>
      </c>
      <c r="H341" t="e">
        <f>_xlfn.XLOOKUP(A341,'DB - Identities'!U:U,'DB - Identities'!B:B)</f>
        <v>#N/A</v>
      </c>
      <c r="I341" t="e">
        <f>_xlfn.XLOOKUP(H341,c_parties,'DB - Contracting Parties'!C:C)</f>
        <v>#N/A</v>
      </c>
      <c r="J341" t="e">
        <f>_xlfn.XLOOKUP(A341,'DB - Identities'!U:U,'DB - Identities'!Q:Q)</f>
        <v>#N/A</v>
      </c>
      <c r="K341" t="e">
        <f>_xlfn.XLOOKUP(D341,Static!J:J,Static!K:K)</f>
        <v>#N/A</v>
      </c>
      <c r="L341" t="e">
        <f>IF(I341="Bank",_xlfn.XLOOKUP(J341,'Pricing Sheet'!A:A,'Pricing Sheet'!B:B,'Pricing Sheet'!$B$6),IF(I341="Corporate",_xlfn.XLOOKUP(J341,'Pricing Sheet'!F:F,'Pricing Sheet'!G:G,'Pricing Sheet'!$G$6),0))</f>
        <v>#N/A</v>
      </c>
      <c r="M341" t="str">
        <f t="shared" si="12"/>
        <v>OK</v>
      </c>
      <c r="N341" t="str">
        <f t="shared" si="13"/>
        <v>OK</v>
      </c>
    </row>
    <row r="342" spans="1:14">
      <c r="A342">
        <f>'Input 2 - Transactions'!A344</f>
        <v>0</v>
      </c>
      <c r="B342">
        <f>'Input 2 - Transactions'!B344</f>
        <v>0</v>
      </c>
      <c r="C342">
        <f>'Input 2 - Transactions'!C344</f>
        <v>0</v>
      </c>
      <c r="D342">
        <f>'Input 2 - Transactions'!D344</f>
        <v>0</v>
      </c>
      <c r="E342">
        <f>'Input 2 - Transactions'!E344</f>
        <v>0</v>
      </c>
      <c r="F342" s="29">
        <f>'Input 2 - Transactions'!F344</f>
        <v>0</v>
      </c>
      <c r="G342" s="29">
        <f>'Input 2 - Transactions'!G344</f>
        <v>0</v>
      </c>
      <c r="H342" t="e">
        <f>_xlfn.XLOOKUP(A342,'DB - Identities'!U:U,'DB - Identities'!B:B)</f>
        <v>#N/A</v>
      </c>
      <c r="I342" t="e">
        <f>_xlfn.XLOOKUP(H342,c_parties,'DB - Contracting Parties'!C:C)</f>
        <v>#N/A</v>
      </c>
      <c r="J342" t="e">
        <f>_xlfn.XLOOKUP(A342,'DB - Identities'!U:U,'DB - Identities'!Q:Q)</f>
        <v>#N/A</v>
      </c>
      <c r="K342" t="e">
        <f>_xlfn.XLOOKUP(D342,Static!J:J,Static!K:K)</f>
        <v>#N/A</v>
      </c>
      <c r="L342" t="e">
        <f>IF(I342="Bank",_xlfn.XLOOKUP(J342,'Pricing Sheet'!A:A,'Pricing Sheet'!B:B,'Pricing Sheet'!$B$6),IF(I342="Corporate",_xlfn.XLOOKUP(J342,'Pricing Sheet'!F:F,'Pricing Sheet'!G:G,'Pricing Sheet'!$G$6),0))</f>
        <v>#N/A</v>
      </c>
      <c r="M342" t="str">
        <f t="shared" si="12"/>
        <v>OK</v>
      </c>
      <c r="N342" t="str">
        <f t="shared" si="13"/>
        <v>OK</v>
      </c>
    </row>
    <row r="343" spans="1:14">
      <c r="A343">
        <f>'Input 2 - Transactions'!A345</f>
        <v>0</v>
      </c>
      <c r="B343">
        <f>'Input 2 - Transactions'!B345</f>
        <v>0</v>
      </c>
      <c r="C343">
        <f>'Input 2 - Transactions'!C345</f>
        <v>0</v>
      </c>
      <c r="D343">
        <f>'Input 2 - Transactions'!D345</f>
        <v>0</v>
      </c>
      <c r="E343">
        <f>'Input 2 - Transactions'!E345</f>
        <v>0</v>
      </c>
      <c r="F343" s="29">
        <f>'Input 2 - Transactions'!F345</f>
        <v>0</v>
      </c>
      <c r="G343" s="29">
        <f>'Input 2 - Transactions'!G345</f>
        <v>0</v>
      </c>
      <c r="H343" t="e">
        <f>_xlfn.XLOOKUP(A343,'DB - Identities'!U:U,'DB - Identities'!B:B)</f>
        <v>#N/A</v>
      </c>
      <c r="I343" t="e">
        <f>_xlfn.XLOOKUP(H343,c_parties,'DB - Contracting Parties'!C:C)</f>
        <v>#N/A</v>
      </c>
      <c r="J343" t="e">
        <f>_xlfn.XLOOKUP(A343,'DB - Identities'!U:U,'DB - Identities'!Q:Q)</f>
        <v>#N/A</v>
      </c>
      <c r="K343" t="e">
        <f>_xlfn.XLOOKUP(D343,Static!J:J,Static!K:K)</f>
        <v>#N/A</v>
      </c>
      <c r="L343" t="e">
        <f>IF(I343="Bank",_xlfn.XLOOKUP(J343,'Pricing Sheet'!A:A,'Pricing Sheet'!B:B,'Pricing Sheet'!$B$6),IF(I343="Corporate",_xlfn.XLOOKUP(J343,'Pricing Sheet'!F:F,'Pricing Sheet'!G:G,'Pricing Sheet'!$G$6),0))</f>
        <v>#N/A</v>
      </c>
      <c r="M343" t="str">
        <f t="shared" si="12"/>
        <v>OK</v>
      </c>
      <c r="N343" t="str">
        <f t="shared" si="13"/>
        <v>OK</v>
      </c>
    </row>
    <row r="344" spans="1:14">
      <c r="A344">
        <f>'Input 2 - Transactions'!A346</f>
        <v>0</v>
      </c>
      <c r="B344">
        <f>'Input 2 - Transactions'!B346</f>
        <v>0</v>
      </c>
      <c r="C344">
        <f>'Input 2 - Transactions'!C346</f>
        <v>0</v>
      </c>
      <c r="D344">
        <f>'Input 2 - Transactions'!D346</f>
        <v>0</v>
      </c>
      <c r="E344">
        <f>'Input 2 - Transactions'!E346</f>
        <v>0</v>
      </c>
      <c r="F344" s="29">
        <f>'Input 2 - Transactions'!F346</f>
        <v>0</v>
      </c>
      <c r="G344" s="29">
        <f>'Input 2 - Transactions'!G346</f>
        <v>0</v>
      </c>
      <c r="H344" t="e">
        <f>_xlfn.XLOOKUP(A344,'DB - Identities'!U:U,'DB - Identities'!B:B)</f>
        <v>#N/A</v>
      </c>
      <c r="I344" t="e">
        <f>_xlfn.XLOOKUP(H344,c_parties,'DB - Contracting Parties'!C:C)</f>
        <v>#N/A</v>
      </c>
      <c r="J344" t="e">
        <f>_xlfn.XLOOKUP(A344,'DB - Identities'!U:U,'DB - Identities'!Q:Q)</f>
        <v>#N/A</v>
      </c>
      <c r="K344" t="e">
        <f>_xlfn.XLOOKUP(D344,Static!J:J,Static!K:K)</f>
        <v>#N/A</v>
      </c>
      <c r="L344" t="e">
        <f>IF(I344="Bank",_xlfn.XLOOKUP(J344,'Pricing Sheet'!A:A,'Pricing Sheet'!B:B,'Pricing Sheet'!$B$6),IF(I344="Corporate",_xlfn.XLOOKUP(J344,'Pricing Sheet'!F:F,'Pricing Sheet'!G:G,'Pricing Sheet'!$G$6),0))</f>
        <v>#N/A</v>
      </c>
      <c r="M344" t="str">
        <f t="shared" si="12"/>
        <v>OK</v>
      </c>
      <c r="N344" t="str">
        <f t="shared" si="13"/>
        <v>OK</v>
      </c>
    </row>
    <row r="345" spans="1:14">
      <c r="A345">
        <f>'Input 2 - Transactions'!A347</f>
        <v>0</v>
      </c>
      <c r="B345">
        <f>'Input 2 - Transactions'!B347</f>
        <v>0</v>
      </c>
      <c r="C345">
        <f>'Input 2 - Transactions'!C347</f>
        <v>0</v>
      </c>
      <c r="D345">
        <f>'Input 2 - Transactions'!D347</f>
        <v>0</v>
      </c>
      <c r="E345">
        <f>'Input 2 - Transactions'!E347</f>
        <v>0</v>
      </c>
      <c r="F345" s="29">
        <f>'Input 2 - Transactions'!F347</f>
        <v>0</v>
      </c>
      <c r="G345" s="29">
        <f>'Input 2 - Transactions'!G347</f>
        <v>0</v>
      </c>
      <c r="H345" t="e">
        <f>_xlfn.XLOOKUP(A345,'DB - Identities'!U:U,'DB - Identities'!B:B)</f>
        <v>#N/A</v>
      </c>
      <c r="I345" t="e">
        <f>_xlfn.XLOOKUP(H345,c_parties,'DB - Contracting Parties'!C:C)</f>
        <v>#N/A</v>
      </c>
      <c r="J345" t="e">
        <f>_xlfn.XLOOKUP(A345,'DB - Identities'!U:U,'DB - Identities'!Q:Q)</f>
        <v>#N/A</v>
      </c>
      <c r="K345" t="e">
        <f>_xlfn.XLOOKUP(D345,Static!J:J,Static!K:K)</f>
        <v>#N/A</v>
      </c>
      <c r="L345" t="e">
        <f>IF(I345="Bank",_xlfn.XLOOKUP(J345,'Pricing Sheet'!A:A,'Pricing Sheet'!B:B,'Pricing Sheet'!$B$6),IF(I345="Corporate",_xlfn.XLOOKUP(J345,'Pricing Sheet'!F:F,'Pricing Sheet'!G:G,'Pricing Sheet'!$G$6),0))</f>
        <v>#N/A</v>
      </c>
      <c r="M345" t="str">
        <f t="shared" si="12"/>
        <v>OK</v>
      </c>
      <c r="N345" t="str">
        <f t="shared" si="13"/>
        <v>OK</v>
      </c>
    </row>
    <row r="346" spans="1:14">
      <c r="A346">
        <f>'Input 2 - Transactions'!A348</f>
        <v>0</v>
      </c>
      <c r="B346">
        <f>'Input 2 - Transactions'!B348</f>
        <v>0</v>
      </c>
      <c r="C346">
        <f>'Input 2 - Transactions'!C348</f>
        <v>0</v>
      </c>
      <c r="D346">
        <f>'Input 2 - Transactions'!D348</f>
        <v>0</v>
      </c>
      <c r="E346">
        <f>'Input 2 - Transactions'!E348</f>
        <v>0</v>
      </c>
      <c r="F346" s="29">
        <f>'Input 2 - Transactions'!F348</f>
        <v>0</v>
      </c>
      <c r="G346" s="29">
        <f>'Input 2 - Transactions'!G348</f>
        <v>0</v>
      </c>
      <c r="H346" t="e">
        <f>_xlfn.XLOOKUP(A346,'DB - Identities'!U:U,'DB - Identities'!B:B)</f>
        <v>#N/A</v>
      </c>
      <c r="I346" t="e">
        <f>_xlfn.XLOOKUP(H346,c_parties,'DB - Contracting Parties'!C:C)</f>
        <v>#N/A</v>
      </c>
      <c r="J346" t="e">
        <f>_xlfn.XLOOKUP(A346,'DB - Identities'!U:U,'DB - Identities'!Q:Q)</f>
        <v>#N/A</v>
      </c>
      <c r="K346" t="e">
        <f>_xlfn.XLOOKUP(D346,Static!J:J,Static!K:K)</f>
        <v>#N/A</v>
      </c>
      <c r="L346" t="e">
        <f>IF(I346="Bank",_xlfn.XLOOKUP(J346,'Pricing Sheet'!A:A,'Pricing Sheet'!B:B,'Pricing Sheet'!$B$6),IF(I346="Corporate",_xlfn.XLOOKUP(J346,'Pricing Sheet'!F:F,'Pricing Sheet'!G:G,'Pricing Sheet'!$G$6),0))</f>
        <v>#N/A</v>
      </c>
      <c r="M346" t="str">
        <f t="shared" si="12"/>
        <v>OK</v>
      </c>
      <c r="N346" t="str">
        <f t="shared" si="13"/>
        <v>OK</v>
      </c>
    </row>
    <row r="347" spans="1:14">
      <c r="A347">
        <f>'Input 2 - Transactions'!A349</f>
        <v>0</v>
      </c>
      <c r="B347">
        <f>'Input 2 - Transactions'!B349</f>
        <v>0</v>
      </c>
      <c r="C347">
        <f>'Input 2 - Transactions'!C349</f>
        <v>0</v>
      </c>
      <c r="D347">
        <f>'Input 2 - Transactions'!D349</f>
        <v>0</v>
      </c>
      <c r="E347">
        <f>'Input 2 - Transactions'!E349</f>
        <v>0</v>
      </c>
      <c r="F347" s="29">
        <f>'Input 2 - Transactions'!F349</f>
        <v>0</v>
      </c>
      <c r="G347" s="29">
        <f>'Input 2 - Transactions'!G349</f>
        <v>0</v>
      </c>
      <c r="H347" t="e">
        <f>_xlfn.XLOOKUP(A347,'DB - Identities'!U:U,'DB - Identities'!B:B)</f>
        <v>#N/A</v>
      </c>
      <c r="I347" t="e">
        <f>_xlfn.XLOOKUP(H347,c_parties,'DB - Contracting Parties'!C:C)</f>
        <v>#N/A</v>
      </c>
      <c r="J347" t="e">
        <f>_xlfn.XLOOKUP(A347,'DB - Identities'!U:U,'DB - Identities'!Q:Q)</f>
        <v>#N/A</v>
      </c>
      <c r="K347" t="e">
        <f>_xlfn.XLOOKUP(D347,Static!J:J,Static!K:K)</f>
        <v>#N/A</v>
      </c>
      <c r="L347" t="e">
        <f>IF(I347="Bank",_xlfn.XLOOKUP(J347,'Pricing Sheet'!A:A,'Pricing Sheet'!B:B,'Pricing Sheet'!$B$6),IF(I347="Corporate",_xlfn.XLOOKUP(J347,'Pricing Sheet'!F:F,'Pricing Sheet'!G:G,'Pricing Sheet'!$G$6),0))</f>
        <v>#N/A</v>
      </c>
      <c r="M347" t="str">
        <f t="shared" si="12"/>
        <v>OK</v>
      </c>
      <c r="N347" t="str">
        <f t="shared" si="13"/>
        <v>OK</v>
      </c>
    </row>
    <row r="348" spans="1:14">
      <c r="A348">
        <f>'Input 2 - Transactions'!A350</f>
        <v>0</v>
      </c>
      <c r="B348">
        <f>'Input 2 - Transactions'!B350</f>
        <v>0</v>
      </c>
      <c r="C348">
        <f>'Input 2 - Transactions'!C350</f>
        <v>0</v>
      </c>
      <c r="D348">
        <f>'Input 2 - Transactions'!D350</f>
        <v>0</v>
      </c>
      <c r="E348">
        <f>'Input 2 - Transactions'!E350</f>
        <v>0</v>
      </c>
      <c r="F348" s="29">
        <f>'Input 2 - Transactions'!F350</f>
        <v>0</v>
      </c>
      <c r="G348" s="29">
        <f>'Input 2 - Transactions'!G350</f>
        <v>0</v>
      </c>
      <c r="H348" t="e">
        <f>_xlfn.XLOOKUP(A348,'DB - Identities'!U:U,'DB - Identities'!B:B)</f>
        <v>#N/A</v>
      </c>
      <c r="I348" t="e">
        <f>_xlfn.XLOOKUP(H348,c_parties,'DB - Contracting Parties'!C:C)</f>
        <v>#N/A</v>
      </c>
      <c r="J348" t="e">
        <f>_xlfn.XLOOKUP(A348,'DB - Identities'!U:U,'DB - Identities'!Q:Q)</f>
        <v>#N/A</v>
      </c>
      <c r="K348" t="e">
        <f>_xlfn.XLOOKUP(D348,Static!J:J,Static!K:K)</f>
        <v>#N/A</v>
      </c>
      <c r="L348" t="e">
        <f>IF(I348="Bank",_xlfn.XLOOKUP(J348,'Pricing Sheet'!A:A,'Pricing Sheet'!B:B,'Pricing Sheet'!$B$6),IF(I348="Corporate",_xlfn.XLOOKUP(J348,'Pricing Sheet'!F:F,'Pricing Sheet'!G:G,'Pricing Sheet'!$G$6),0))</f>
        <v>#N/A</v>
      </c>
      <c r="M348" t="str">
        <f t="shared" si="12"/>
        <v>OK</v>
      </c>
      <c r="N348" t="str">
        <f t="shared" si="13"/>
        <v>OK</v>
      </c>
    </row>
    <row r="349" spans="1:14">
      <c r="A349">
        <f>'Input 2 - Transactions'!A351</f>
        <v>0</v>
      </c>
      <c r="B349">
        <f>'Input 2 - Transactions'!B351</f>
        <v>0</v>
      </c>
      <c r="C349">
        <f>'Input 2 - Transactions'!C351</f>
        <v>0</v>
      </c>
      <c r="D349">
        <f>'Input 2 - Transactions'!D351</f>
        <v>0</v>
      </c>
      <c r="E349">
        <f>'Input 2 - Transactions'!E351</f>
        <v>0</v>
      </c>
      <c r="F349" s="29">
        <f>'Input 2 - Transactions'!F351</f>
        <v>0</v>
      </c>
      <c r="G349" s="29">
        <f>'Input 2 - Transactions'!G351</f>
        <v>0</v>
      </c>
      <c r="H349" t="e">
        <f>_xlfn.XLOOKUP(A349,'DB - Identities'!U:U,'DB - Identities'!B:B)</f>
        <v>#N/A</v>
      </c>
      <c r="I349" t="e">
        <f>_xlfn.XLOOKUP(H349,c_parties,'DB - Contracting Parties'!C:C)</f>
        <v>#N/A</v>
      </c>
      <c r="J349" t="e">
        <f>_xlfn.XLOOKUP(A349,'DB - Identities'!U:U,'DB - Identities'!Q:Q)</f>
        <v>#N/A</v>
      </c>
      <c r="K349" t="e">
        <f>_xlfn.XLOOKUP(D349,Static!J:J,Static!K:K)</f>
        <v>#N/A</v>
      </c>
      <c r="L349" t="e">
        <f>IF(I349="Bank",_xlfn.XLOOKUP(J349,'Pricing Sheet'!A:A,'Pricing Sheet'!B:B,'Pricing Sheet'!$B$6),IF(I349="Corporate",_xlfn.XLOOKUP(J349,'Pricing Sheet'!F:F,'Pricing Sheet'!G:G,'Pricing Sheet'!$G$6),0))</f>
        <v>#N/A</v>
      </c>
      <c r="M349" t="str">
        <f t="shared" si="12"/>
        <v>OK</v>
      </c>
      <c r="N349" t="str">
        <f t="shared" si="13"/>
        <v>OK</v>
      </c>
    </row>
    <row r="350" spans="1:14">
      <c r="A350">
        <f>'Input 2 - Transactions'!A352</f>
        <v>0</v>
      </c>
      <c r="B350">
        <f>'Input 2 - Transactions'!B352</f>
        <v>0</v>
      </c>
      <c r="C350">
        <f>'Input 2 - Transactions'!C352</f>
        <v>0</v>
      </c>
      <c r="D350">
        <f>'Input 2 - Transactions'!D352</f>
        <v>0</v>
      </c>
      <c r="E350">
        <f>'Input 2 - Transactions'!E352</f>
        <v>0</v>
      </c>
      <c r="F350" s="29">
        <f>'Input 2 - Transactions'!F352</f>
        <v>0</v>
      </c>
      <c r="G350" s="29">
        <f>'Input 2 - Transactions'!G352</f>
        <v>0</v>
      </c>
      <c r="H350" t="e">
        <f>_xlfn.XLOOKUP(A350,'DB - Identities'!U:U,'DB - Identities'!B:B)</f>
        <v>#N/A</v>
      </c>
      <c r="I350" t="e">
        <f>_xlfn.XLOOKUP(H350,c_parties,'DB - Contracting Parties'!C:C)</f>
        <v>#N/A</v>
      </c>
      <c r="J350" t="e">
        <f>_xlfn.XLOOKUP(A350,'DB - Identities'!U:U,'DB - Identities'!Q:Q)</f>
        <v>#N/A</v>
      </c>
      <c r="K350" t="e">
        <f>_xlfn.XLOOKUP(D350,Static!J:J,Static!K:K)</f>
        <v>#N/A</v>
      </c>
      <c r="L350" t="e">
        <f>IF(I350="Bank",_xlfn.XLOOKUP(J350,'Pricing Sheet'!A:A,'Pricing Sheet'!B:B,'Pricing Sheet'!$B$6),IF(I350="Corporate",_xlfn.XLOOKUP(J350,'Pricing Sheet'!F:F,'Pricing Sheet'!G:G,'Pricing Sheet'!$G$6),0))</f>
        <v>#N/A</v>
      </c>
      <c r="M350" t="str">
        <f t="shared" si="12"/>
        <v>OK</v>
      </c>
      <c r="N350" t="str">
        <f t="shared" si="13"/>
        <v>OK</v>
      </c>
    </row>
    <row r="351" spans="1:14">
      <c r="A351">
        <f>'Input 2 - Transactions'!A353</f>
        <v>0</v>
      </c>
      <c r="B351">
        <f>'Input 2 - Transactions'!B353</f>
        <v>0</v>
      </c>
      <c r="C351">
        <f>'Input 2 - Transactions'!C353</f>
        <v>0</v>
      </c>
      <c r="D351">
        <f>'Input 2 - Transactions'!D353</f>
        <v>0</v>
      </c>
      <c r="E351">
        <f>'Input 2 - Transactions'!E353</f>
        <v>0</v>
      </c>
      <c r="F351" s="29">
        <f>'Input 2 - Transactions'!F353</f>
        <v>0</v>
      </c>
      <c r="G351" s="29">
        <f>'Input 2 - Transactions'!G353</f>
        <v>0</v>
      </c>
      <c r="H351" t="e">
        <f>_xlfn.XLOOKUP(A351,'DB - Identities'!U:U,'DB - Identities'!B:B)</f>
        <v>#N/A</v>
      </c>
      <c r="I351" t="e">
        <f>_xlfn.XLOOKUP(H351,c_parties,'DB - Contracting Parties'!C:C)</f>
        <v>#N/A</v>
      </c>
      <c r="J351" t="e">
        <f>_xlfn.XLOOKUP(A351,'DB - Identities'!U:U,'DB - Identities'!Q:Q)</f>
        <v>#N/A</v>
      </c>
      <c r="K351" t="e">
        <f>_xlfn.XLOOKUP(D351,Static!J:J,Static!K:K)</f>
        <v>#N/A</v>
      </c>
      <c r="L351" t="e">
        <f>IF(I351="Bank",_xlfn.XLOOKUP(J351,'Pricing Sheet'!A:A,'Pricing Sheet'!B:B,'Pricing Sheet'!$B$6),IF(I351="Corporate",_xlfn.XLOOKUP(J351,'Pricing Sheet'!F:F,'Pricing Sheet'!G:G,'Pricing Sheet'!$G$6),0))</f>
        <v>#N/A</v>
      </c>
      <c r="M351" t="str">
        <f t="shared" si="12"/>
        <v>OK</v>
      </c>
      <c r="N351" t="str">
        <f t="shared" si="13"/>
        <v>OK</v>
      </c>
    </row>
    <row r="352" spans="1:14">
      <c r="A352">
        <f>'Input 2 - Transactions'!A354</f>
        <v>0</v>
      </c>
      <c r="B352">
        <f>'Input 2 - Transactions'!B354</f>
        <v>0</v>
      </c>
      <c r="C352">
        <f>'Input 2 - Transactions'!C354</f>
        <v>0</v>
      </c>
      <c r="D352">
        <f>'Input 2 - Transactions'!D354</f>
        <v>0</v>
      </c>
      <c r="E352">
        <f>'Input 2 - Transactions'!E354</f>
        <v>0</v>
      </c>
      <c r="F352" s="29">
        <f>'Input 2 - Transactions'!F354</f>
        <v>0</v>
      </c>
      <c r="G352" s="29">
        <f>'Input 2 - Transactions'!G354</f>
        <v>0</v>
      </c>
      <c r="H352" t="e">
        <f>_xlfn.XLOOKUP(A352,'DB - Identities'!U:U,'DB - Identities'!B:B)</f>
        <v>#N/A</v>
      </c>
      <c r="I352" t="e">
        <f>_xlfn.XLOOKUP(H352,c_parties,'DB - Contracting Parties'!C:C)</f>
        <v>#N/A</v>
      </c>
      <c r="J352" t="e">
        <f>_xlfn.XLOOKUP(A352,'DB - Identities'!U:U,'DB - Identities'!Q:Q)</f>
        <v>#N/A</v>
      </c>
      <c r="K352" t="e">
        <f>_xlfn.XLOOKUP(D352,Static!J:J,Static!K:K)</f>
        <v>#N/A</v>
      </c>
      <c r="L352" t="e">
        <f>IF(I352="Bank",_xlfn.XLOOKUP(J352,'Pricing Sheet'!A:A,'Pricing Sheet'!B:B,'Pricing Sheet'!$B$6),IF(I352="Corporate",_xlfn.XLOOKUP(J352,'Pricing Sheet'!F:F,'Pricing Sheet'!G:G,'Pricing Sheet'!$G$6),0))</f>
        <v>#N/A</v>
      </c>
      <c r="M352" t="str">
        <f t="shared" si="12"/>
        <v>OK</v>
      </c>
      <c r="N352" t="str">
        <f t="shared" si="13"/>
        <v>OK</v>
      </c>
    </row>
    <row r="353" spans="1:14">
      <c r="A353">
        <f>'Input 2 - Transactions'!A355</f>
        <v>0</v>
      </c>
      <c r="B353">
        <f>'Input 2 - Transactions'!B355</f>
        <v>0</v>
      </c>
      <c r="C353">
        <f>'Input 2 - Transactions'!C355</f>
        <v>0</v>
      </c>
      <c r="D353">
        <f>'Input 2 - Transactions'!D355</f>
        <v>0</v>
      </c>
      <c r="E353">
        <f>'Input 2 - Transactions'!E355</f>
        <v>0</v>
      </c>
      <c r="F353" s="29">
        <f>'Input 2 - Transactions'!F355</f>
        <v>0</v>
      </c>
      <c r="G353" s="29">
        <f>'Input 2 - Transactions'!G355</f>
        <v>0</v>
      </c>
      <c r="H353" t="e">
        <f>_xlfn.XLOOKUP(A353,'DB - Identities'!U:U,'DB - Identities'!B:B)</f>
        <v>#N/A</v>
      </c>
      <c r="I353" t="e">
        <f>_xlfn.XLOOKUP(H353,c_parties,'DB - Contracting Parties'!C:C)</f>
        <v>#N/A</v>
      </c>
      <c r="J353" t="e">
        <f>_xlfn.XLOOKUP(A353,'DB - Identities'!U:U,'DB - Identities'!Q:Q)</f>
        <v>#N/A</v>
      </c>
      <c r="K353" t="e">
        <f>_xlfn.XLOOKUP(D353,Static!J:J,Static!K:K)</f>
        <v>#N/A</v>
      </c>
      <c r="L353" t="e">
        <f>IF(I353="Bank",_xlfn.XLOOKUP(J353,'Pricing Sheet'!A:A,'Pricing Sheet'!B:B,'Pricing Sheet'!$B$6),IF(I353="Corporate",_xlfn.XLOOKUP(J353,'Pricing Sheet'!F:F,'Pricing Sheet'!G:G,'Pricing Sheet'!$G$6),0))</f>
        <v>#N/A</v>
      </c>
      <c r="M353" t="str">
        <f t="shared" si="12"/>
        <v>OK</v>
      </c>
      <c r="N353" t="str">
        <f t="shared" si="13"/>
        <v>OK</v>
      </c>
    </row>
    <row r="354" spans="1:14">
      <c r="A354">
        <f>'Input 2 - Transactions'!A356</f>
        <v>0</v>
      </c>
      <c r="B354">
        <f>'Input 2 - Transactions'!B356</f>
        <v>0</v>
      </c>
      <c r="C354">
        <f>'Input 2 - Transactions'!C356</f>
        <v>0</v>
      </c>
      <c r="D354">
        <f>'Input 2 - Transactions'!D356</f>
        <v>0</v>
      </c>
      <c r="E354">
        <f>'Input 2 - Transactions'!E356</f>
        <v>0</v>
      </c>
      <c r="F354" s="29">
        <f>'Input 2 - Transactions'!F356</f>
        <v>0</v>
      </c>
      <c r="G354" s="29">
        <f>'Input 2 - Transactions'!G356</f>
        <v>0</v>
      </c>
      <c r="H354" t="e">
        <f>_xlfn.XLOOKUP(A354,'DB - Identities'!U:U,'DB - Identities'!B:B)</f>
        <v>#N/A</v>
      </c>
      <c r="I354" t="e">
        <f>_xlfn.XLOOKUP(H354,c_parties,'DB - Contracting Parties'!C:C)</f>
        <v>#N/A</v>
      </c>
      <c r="J354" t="e">
        <f>_xlfn.XLOOKUP(A354,'DB - Identities'!U:U,'DB - Identities'!Q:Q)</f>
        <v>#N/A</v>
      </c>
      <c r="K354" t="e">
        <f>_xlfn.XLOOKUP(D354,Static!J:J,Static!K:K)</f>
        <v>#N/A</v>
      </c>
      <c r="L354" t="e">
        <f>IF(I354="Bank",_xlfn.XLOOKUP(J354,'Pricing Sheet'!A:A,'Pricing Sheet'!B:B,'Pricing Sheet'!$B$6),IF(I354="Corporate",_xlfn.XLOOKUP(J354,'Pricing Sheet'!F:F,'Pricing Sheet'!G:G,'Pricing Sheet'!$G$6),0))</f>
        <v>#N/A</v>
      </c>
      <c r="M354" t="str">
        <f t="shared" si="12"/>
        <v>OK</v>
      </c>
      <c r="N354" t="str">
        <f t="shared" si="13"/>
        <v>OK</v>
      </c>
    </row>
    <row r="355" spans="1:14">
      <c r="A355">
        <f>'Input 2 - Transactions'!A357</f>
        <v>0</v>
      </c>
      <c r="B355">
        <f>'Input 2 - Transactions'!B357</f>
        <v>0</v>
      </c>
      <c r="C355">
        <f>'Input 2 - Transactions'!C357</f>
        <v>0</v>
      </c>
      <c r="D355">
        <f>'Input 2 - Transactions'!D357</f>
        <v>0</v>
      </c>
      <c r="E355">
        <f>'Input 2 - Transactions'!E357</f>
        <v>0</v>
      </c>
      <c r="F355" s="29">
        <f>'Input 2 - Transactions'!F357</f>
        <v>0</v>
      </c>
      <c r="G355" s="29">
        <f>'Input 2 - Transactions'!G357</f>
        <v>0</v>
      </c>
      <c r="H355" t="e">
        <f>_xlfn.XLOOKUP(A355,'DB - Identities'!U:U,'DB - Identities'!B:B)</f>
        <v>#N/A</v>
      </c>
      <c r="I355" t="e">
        <f>_xlfn.XLOOKUP(H355,c_parties,'DB - Contracting Parties'!C:C)</f>
        <v>#N/A</v>
      </c>
      <c r="J355" t="e">
        <f>_xlfn.XLOOKUP(A355,'DB - Identities'!U:U,'DB - Identities'!Q:Q)</f>
        <v>#N/A</v>
      </c>
      <c r="K355" t="e">
        <f>_xlfn.XLOOKUP(D355,Static!J:J,Static!K:K)</f>
        <v>#N/A</v>
      </c>
      <c r="L355" t="e">
        <f>IF(I355="Bank",_xlfn.XLOOKUP(J355,'Pricing Sheet'!A:A,'Pricing Sheet'!B:B,'Pricing Sheet'!$B$6),IF(I355="Corporate",_xlfn.XLOOKUP(J355,'Pricing Sheet'!F:F,'Pricing Sheet'!G:G,'Pricing Sheet'!$G$6),0))</f>
        <v>#N/A</v>
      </c>
      <c r="M355" t="str">
        <f t="shared" si="12"/>
        <v>OK</v>
      </c>
      <c r="N355" t="str">
        <f t="shared" si="13"/>
        <v>OK</v>
      </c>
    </row>
    <row r="356" spans="1:14">
      <c r="A356">
        <f>'Input 2 - Transactions'!A358</f>
        <v>0</v>
      </c>
      <c r="B356">
        <f>'Input 2 - Transactions'!B358</f>
        <v>0</v>
      </c>
      <c r="C356">
        <f>'Input 2 - Transactions'!C358</f>
        <v>0</v>
      </c>
      <c r="D356">
        <f>'Input 2 - Transactions'!D358</f>
        <v>0</v>
      </c>
      <c r="E356">
        <f>'Input 2 - Transactions'!E358</f>
        <v>0</v>
      </c>
      <c r="F356" s="29">
        <f>'Input 2 - Transactions'!F358</f>
        <v>0</v>
      </c>
      <c r="G356" s="29">
        <f>'Input 2 - Transactions'!G358</f>
        <v>0</v>
      </c>
      <c r="H356" t="e">
        <f>_xlfn.XLOOKUP(A356,'DB - Identities'!U:U,'DB - Identities'!B:B)</f>
        <v>#N/A</v>
      </c>
      <c r="I356" t="e">
        <f>_xlfn.XLOOKUP(H356,c_parties,'DB - Contracting Parties'!C:C)</f>
        <v>#N/A</v>
      </c>
      <c r="J356" t="e">
        <f>_xlfn.XLOOKUP(A356,'DB - Identities'!U:U,'DB - Identities'!Q:Q)</f>
        <v>#N/A</v>
      </c>
      <c r="K356" t="e">
        <f>_xlfn.XLOOKUP(D356,Static!J:J,Static!K:K)</f>
        <v>#N/A</v>
      </c>
      <c r="L356" t="e">
        <f>IF(I356="Bank",_xlfn.XLOOKUP(J356,'Pricing Sheet'!A:A,'Pricing Sheet'!B:B,'Pricing Sheet'!$B$6),IF(I356="Corporate",_xlfn.XLOOKUP(J356,'Pricing Sheet'!F:F,'Pricing Sheet'!G:G,'Pricing Sheet'!$G$6),0))</f>
        <v>#N/A</v>
      </c>
      <c r="M356" t="str">
        <f t="shared" si="12"/>
        <v>OK</v>
      </c>
      <c r="N356" t="str">
        <f t="shared" si="13"/>
        <v>OK</v>
      </c>
    </row>
    <row r="357" spans="1:14">
      <c r="A357">
        <f>'Input 2 - Transactions'!A359</f>
        <v>0</v>
      </c>
      <c r="B357">
        <f>'Input 2 - Transactions'!B359</f>
        <v>0</v>
      </c>
      <c r="C357">
        <f>'Input 2 - Transactions'!C359</f>
        <v>0</v>
      </c>
      <c r="D357">
        <f>'Input 2 - Transactions'!D359</f>
        <v>0</v>
      </c>
      <c r="E357">
        <f>'Input 2 - Transactions'!E359</f>
        <v>0</v>
      </c>
      <c r="F357" s="29">
        <f>'Input 2 - Transactions'!F359</f>
        <v>0</v>
      </c>
      <c r="G357" s="29">
        <f>'Input 2 - Transactions'!G359</f>
        <v>0</v>
      </c>
      <c r="H357" t="e">
        <f>_xlfn.XLOOKUP(A357,'DB - Identities'!U:U,'DB - Identities'!B:B)</f>
        <v>#N/A</v>
      </c>
      <c r="I357" t="e">
        <f>_xlfn.XLOOKUP(H357,c_parties,'DB - Contracting Parties'!C:C)</f>
        <v>#N/A</v>
      </c>
      <c r="J357" t="e">
        <f>_xlfn.XLOOKUP(A357,'DB - Identities'!U:U,'DB - Identities'!Q:Q)</f>
        <v>#N/A</v>
      </c>
      <c r="K357" t="e">
        <f>_xlfn.XLOOKUP(D357,Static!J:J,Static!K:K)</f>
        <v>#N/A</v>
      </c>
      <c r="L357" t="e">
        <f>IF(I357="Bank",_xlfn.XLOOKUP(J357,'Pricing Sheet'!A:A,'Pricing Sheet'!B:B,'Pricing Sheet'!$B$6),IF(I357="Corporate",_xlfn.XLOOKUP(J357,'Pricing Sheet'!F:F,'Pricing Sheet'!G:G,'Pricing Sheet'!$G$6),0))</f>
        <v>#N/A</v>
      </c>
      <c r="M357" t="str">
        <f t="shared" si="12"/>
        <v>OK</v>
      </c>
      <c r="N357" t="str">
        <f t="shared" si="13"/>
        <v>OK</v>
      </c>
    </row>
    <row r="358" spans="1:14">
      <c r="A358">
        <f>'Input 2 - Transactions'!A360</f>
        <v>0</v>
      </c>
      <c r="B358">
        <f>'Input 2 - Transactions'!B360</f>
        <v>0</v>
      </c>
      <c r="C358">
        <f>'Input 2 - Transactions'!C360</f>
        <v>0</v>
      </c>
      <c r="D358">
        <f>'Input 2 - Transactions'!D360</f>
        <v>0</v>
      </c>
      <c r="E358">
        <f>'Input 2 - Transactions'!E360</f>
        <v>0</v>
      </c>
      <c r="F358" s="29">
        <f>'Input 2 - Transactions'!F360</f>
        <v>0</v>
      </c>
      <c r="G358" s="29">
        <f>'Input 2 - Transactions'!G360</f>
        <v>0</v>
      </c>
      <c r="H358" t="e">
        <f>_xlfn.XLOOKUP(A358,'DB - Identities'!U:U,'DB - Identities'!B:B)</f>
        <v>#N/A</v>
      </c>
      <c r="I358" t="e">
        <f>_xlfn.XLOOKUP(H358,c_parties,'DB - Contracting Parties'!C:C)</f>
        <v>#N/A</v>
      </c>
      <c r="J358" t="e">
        <f>_xlfn.XLOOKUP(A358,'DB - Identities'!U:U,'DB - Identities'!Q:Q)</f>
        <v>#N/A</v>
      </c>
      <c r="K358" t="e">
        <f>_xlfn.XLOOKUP(D358,Static!J:J,Static!K:K)</f>
        <v>#N/A</v>
      </c>
      <c r="L358" t="e">
        <f>IF(I358="Bank",_xlfn.XLOOKUP(J358,'Pricing Sheet'!A:A,'Pricing Sheet'!B:B,'Pricing Sheet'!$B$6),IF(I358="Corporate",_xlfn.XLOOKUP(J358,'Pricing Sheet'!F:F,'Pricing Sheet'!G:G,'Pricing Sheet'!$G$6),0))</f>
        <v>#N/A</v>
      </c>
      <c r="M358" t="str">
        <f t="shared" si="12"/>
        <v>OK</v>
      </c>
      <c r="N358" t="str">
        <f t="shared" si="13"/>
        <v>OK</v>
      </c>
    </row>
    <row r="359" spans="1:14">
      <c r="A359">
        <f>'Input 2 - Transactions'!A361</f>
        <v>0</v>
      </c>
      <c r="B359">
        <f>'Input 2 - Transactions'!B361</f>
        <v>0</v>
      </c>
      <c r="C359">
        <f>'Input 2 - Transactions'!C361</f>
        <v>0</v>
      </c>
      <c r="D359">
        <f>'Input 2 - Transactions'!D361</f>
        <v>0</v>
      </c>
      <c r="E359">
        <f>'Input 2 - Transactions'!E361</f>
        <v>0</v>
      </c>
      <c r="F359" s="29">
        <f>'Input 2 - Transactions'!F361</f>
        <v>0</v>
      </c>
      <c r="G359" s="29">
        <f>'Input 2 - Transactions'!G361</f>
        <v>0</v>
      </c>
      <c r="H359" t="e">
        <f>_xlfn.XLOOKUP(A359,'DB - Identities'!U:U,'DB - Identities'!B:B)</f>
        <v>#N/A</v>
      </c>
      <c r="I359" t="e">
        <f>_xlfn.XLOOKUP(H359,c_parties,'DB - Contracting Parties'!C:C)</f>
        <v>#N/A</v>
      </c>
      <c r="J359" t="e">
        <f>_xlfn.XLOOKUP(A359,'DB - Identities'!U:U,'DB - Identities'!Q:Q)</f>
        <v>#N/A</v>
      </c>
      <c r="K359" t="e">
        <f>_xlfn.XLOOKUP(D359,Static!J:J,Static!K:K)</f>
        <v>#N/A</v>
      </c>
      <c r="L359" t="e">
        <f>IF(I359="Bank",_xlfn.XLOOKUP(J359,'Pricing Sheet'!A:A,'Pricing Sheet'!B:B,'Pricing Sheet'!$B$6),IF(I359="Corporate",_xlfn.XLOOKUP(J359,'Pricing Sheet'!F:F,'Pricing Sheet'!G:G,'Pricing Sheet'!$G$6),0))</f>
        <v>#N/A</v>
      </c>
      <c r="M359" t="str">
        <f t="shared" si="12"/>
        <v>OK</v>
      </c>
      <c r="N359" t="str">
        <f t="shared" si="13"/>
        <v>OK</v>
      </c>
    </row>
    <row r="360" spans="1:14">
      <c r="A360">
        <f>'Input 2 - Transactions'!A362</f>
        <v>0</v>
      </c>
      <c r="B360">
        <f>'Input 2 - Transactions'!B362</f>
        <v>0</v>
      </c>
      <c r="C360">
        <f>'Input 2 - Transactions'!C362</f>
        <v>0</v>
      </c>
      <c r="D360">
        <f>'Input 2 - Transactions'!D362</f>
        <v>0</v>
      </c>
      <c r="E360">
        <f>'Input 2 - Transactions'!E362</f>
        <v>0</v>
      </c>
      <c r="F360" s="29">
        <f>'Input 2 - Transactions'!F362</f>
        <v>0</v>
      </c>
      <c r="G360" s="29">
        <f>'Input 2 - Transactions'!G362</f>
        <v>0</v>
      </c>
      <c r="H360" t="e">
        <f>_xlfn.XLOOKUP(A360,'DB - Identities'!U:U,'DB - Identities'!B:B)</f>
        <v>#N/A</v>
      </c>
      <c r="I360" t="e">
        <f>_xlfn.XLOOKUP(H360,c_parties,'DB - Contracting Parties'!C:C)</f>
        <v>#N/A</v>
      </c>
      <c r="J360" t="e">
        <f>_xlfn.XLOOKUP(A360,'DB - Identities'!U:U,'DB - Identities'!Q:Q)</f>
        <v>#N/A</v>
      </c>
      <c r="K360" t="e">
        <f>_xlfn.XLOOKUP(D360,Static!J:J,Static!K:K)</f>
        <v>#N/A</v>
      </c>
      <c r="L360" t="e">
        <f>IF(I360="Bank",_xlfn.XLOOKUP(J360,'Pricing Sheet'!A:A,'Pricing Sheet'!B:B,'Pricing Sheet'!$B$6),IF(I360="Corporate",_xlfn.XLOOKUP(J360,'Pricing Sheet'!F:F,'Pricing Sheet'!G:G,'Pricing Sheet'!$G$6),0))</f>
        <v>#N/A</v>
      </c>
      <c r="M360" t="str">
        <f t="shared" si="12"/>
        <v>OK</v>
      </c>
      <c r="N360" t="str">
        <f t="shared" si="13"/>
        <v>OK</v>
      </c>
    </row>
    <row r="361" spans="1:14">
      <c r="A361">
        <f>'Input 2 - Transactions'!A363</f>
        <v>0</v>
      </c>
      <c r="B361">
        <f>'Input 2 - Transactions'!B363</f>
        <v>0</v>
      </c>
      <c r="C361">
        <f>'Input 2 - Transactions'!C363</f>
        <v>0</v>
      </c>
      <c r="D361">
        <f>'Input 2 - Transactions'!D363</f>
        <v>0</v>
      </c>
      <c r="E361">
        <f>'Input 2 - Transactions'!E363</f>
        <v>0</v>
      </c>
      <c r="F361" s="29">
        <f>'Input 2 - Transactions'!F363</f>
        <v>0</v>
      </c>
      <c r="G361" s="29">
        <f>'Input 2 - Transactions'!G363</f>
        <v>0</v>
      </c>
      <c r="H361" t="e">
        <f>_xlfn.XLOOKUP(A361,'DB - Identities'!U:U,'DB - Identities'!B:B)</f>
        <v>#N/A</v>
      </c>
      <c r="I361" t="e">
        <f>_xlfn.XLOOKUP(H361,c_parties,'DB - Contracting Parties'!C:C)</f>
        <v>#N/A</v>
      </c>
      <c r="J361" t="e">
        <f>_xlfn.XLOOKUP(A361,'DB - Identities'!U:U,'DB - Identities'!Q:Q)</f>
        <v>#N/A</v>
      </c>
      <c r="K361" t="e">
        <f>_xlfn.XLOOKUP(D361,Static!J:J,Static!K:K)</f>
        <v>#N/A</v>
      </c>
      <c r="L361" t="e">
        <f>IF(I361="Bank",_xlfn.XLOOKUP(J361,'Pricing Sheet'!A:A,'Pricing Sheet'!B:B,'Pricing Sheet'!$B$6),IF(I361="Corporate",_xlfn.XLOOKUP(J361,'Pricing Sheet'!F:F,'Pricing Sheet'!G:G,'Pricing Sheet'!$G$6),0))</f>
        <v>#N/A</v>
      </c>
      <c r="M361" t="str">
        <f t="shared" si="12"/>
        <v>OK</v>
      </c>
      <c r="N361" t="str">
        <f t="shared" si="13"/>
        <v>OK</v>
      </c>
    </row>
    <row r="362" spans="1:14">
      <c r="A362">
        <f>'Input 2 - Transactions'!A364</f>
        <v>0</v>
      </c>
      <c r="B362">
        <f>'Input 2 - Transactions'!B364</f>
        <v>0</v>
      </c>
      <c r="C362">
        <f>'Input 2 - Transactions'!C364</f>
        <v>0</v>
      </c>
      <c r="D362">
        <f>'Input 2 - Transactions'!D364</f>
        <v>0</v>
      </c>
      <c r="E362">
        <f>'Input 2 - Transactions'!E364</f>
        <v>0</v>
      </c>
      <c r="F362" s="29">
        <f>'Input 2 - Transactions'!F364</f>
        <v>0</v>
      </c>
      <c r="G362" s="29">
        <f>'Input 2 - Transactions'!G364</f>
        <v>0</v>
      </c>
      <c r="H362" t="e">
        <f>_xlfn.XLOOKUP(A362,'DB - Identities'!U:U,'DB - Identities'!B:B)</f>
        <v>#N/A</v>
      </c>
      <c r="I362" t="e">
        <f>_xlfn.XLOOKUP(H362,c_parties,'DB - Contracting Parties'!C:C)</f>
        <v>#N/A</v>
      </c>
      <c r="J362" t="e">
        <f>_xlfn.XLOOKUP(A362,'DB - Identities'!U:U,'DB - Identities'!Q:Q)</f>
        <v>#N/A</v>
      </c>
      <c r="K362" t="e">
        <f>_xlfn.XLOOKUP(D362,Static!J:J,Static!K:K)</f>
        <v>#N/A</v>
      </c>
      <c r="L362" t="e">
        <f>IF(I362="Bank",_xlfn.XLOOKUP(J362,'Pricing Sheet'!A:A,'Pricing Sheet'!B:B,'Pricing Sheet'!$B$6),IF(I362="Corporate",_xlfn.XLOOKUP(J362,'Pricing Sheet'!F:F,'Pricing Sheet'!G:G,'Pricing Sheet'!$G$6),0))</f>
        <v>#N/A</v>
      </c>
      <c r="M362" t="str">
        <f t="shared" si="12"/>
        <v>OK</v>
      </c>
      <c r="N362" t="str">
        <f t="shared" si="13"/>
        <v>OK</v>
      </c>
    </row>
    <row r="363" spans="1:14">
      <c r="A363">
        <f>'Input 2 - Transactions'!A365</f>
        <v>0</v>
      </c>
      <c r="B363">
        <f>'Input 2 - Transactions'!B365</f>
        <v>0</v>
      </c>
      <c r="C363">
        <f>'Input 2 - Transactions'!C365</f>
        <v>0</v>
      </c>
      <c r="D363">
        <f>'Input 2 - Transactions'!D365</f>
        <v>0</v>
      </c>
      <c r="E363">
        <f>'Input 2 - Transactions'!E365</f>
        <v>0</v>
      </c>
      <c r="F363" s="29">
        <f>'Input 2 - Transactions'!F365</f>
        <v>0</v>
      </c>
      <c r="G363" s="29">
        <f>'Input 2 - Transactions'!G365</f>
        <v>0</v>
      </c>
      <c r="H363" t="e">
        <f>_xlfn.XLOOKUP(A363,'DB - Identities'!U:U,'DB - Identities'!B:B)</f>
        <v>#N/A</v>
      </c>
      <c r="I363" t="e">
        <f>_xlfn.XLOOKUP(H363,c_parties,'DB - Contracting Parties'!C:C)</f>
        <v>#N/A</v>
      </c>
      <c r="J363" t="e">
        <f>_xlfn.XLOOKUP(A363,'DB - Identities'!U:U,'DB - Identities'!Q:Q)</f>
        <v>#N/A</v>
      </c>
      <c r="K363" t="e">
        <f>_xlfn.XLOOKUP(D363,Static!J:J,Static!K:K)</f>
        <v>#N/A</v>
      </c>
      <c r="L363" t="e">
        <f>IF(I363="Bank",_xlfn.XLOOKUP(J363,'Pricing Sheet'!A:A,'Pricing Sheet'!B:B,'Pricing Sheet'!$B$6),IF(I363="Corporate",_xlfn.XLOOKUP(J363,'Pricing Sheet'!F:F,'Pricing Sheet'!G:G,'Pricing Sheet'!$G$6),0))</f>
        <v>#N/A</v>
      </c>
      <c r="M363" t="str">
        <f t="shared" si="12"/>
        <v>OK</v>
      </c>
      <c r="N363" t="str">
        <f t="shared" si="13"/>
        <v>OK</v>
      </c>
    </row>
    <row r="364" spans="1:14">
      <c r="A364">
        <f>'Input 2 - Transactions'!A366</f>
        <v>0</v>
      </c>
      <c r="B364">
        <f>'Input 2 - Transactions'!B366</f>
        <v>0</v>
      </c>
      <c r="C364">
        <f>'Input 2 - Transactions'!C366</f>
        <v>0</v>
      </c>
      <c r="D364">
        <f>'Input 2 - Transactions'!D366</f>
        <v>0</v>
      </c>
      <c r="E364">
        <f>'Input 2 - Transactions'!E366</f>
        <v>0</v>
      </c>
      <c r="F364" s="29">
        <f>'Input 2 - Transactions'!F366</f>
        <v>0</v>
      </c>
      <c r="G364" s="29">
        <f>'Input 2 - Transactions'!G366</f>
        <v>0</v>
      </c>
      <c r="H364" t="e">
        <f>_xlfn.XLOOKUP(A364,'DB - Identities'!U:U,'DB - Identities'!B:B)</f>
        <v>#N/A</v>
      </c>
      <c r="I364" t="e">
        <f>_xlfn.XLOOKUP(H364,c_parties,'DB - Contracting Parties'!C:C)</f>
        <v>#N/A</v>
      </c>
      <c r="J364" t="e">
        <f>_xlfn.XLOOKUP(A364,'DB - Identities'!U:U,'DB - Identities'!Q:Q)</f>
        <v>#N/A</v>
      </c>
      <c r="K364" t="e">
        <f>_xlfn.XLOOKUP(D364,Static!J:J,Static!K:K)</f>
        <v>#N/A</v>
      </c>
      <c r="L364" t="e">
        <f>IF(I364="Bank",_xlfn.XLOOKUP(J364,'Pricing Sheet'!A:A,'Pricing Sheet'!B:B,'Pricing Sheet'!$B$6),IF(I364="Corporate",_xlfn.XLOOKUP(J364,'Pricing Sheet'!F:F,'Pricing Sheet'!G:G,'Pricing Sheet'!$G$6),0))</f>
        <v>#N/A</v>
      </c>
      <c r="M364" t="str">
        <f t="shared" si="12"/>
        <v>OK</v>
      </c>
      <c r="N364" t="str">
        <f t="shared" si="13"/>
        <v>OK</v>
      </c>
    </row>
    <row r="365" spans="1:14">
      <c r="A365">
        <f>'Input 2 - Transactions'!A367</f>
        <v>0</v>
      </c>
      <c r="B365">
        <f>'Input 2 - Transactions'!B367</f>
        <v>0</v>
      </c>
      <c r="C365">
        <f>'Input 2 - Transactions'!C367</f>
        <v>0</v>
      </c>
      <c r="D365">
        <f>'Input 2 - Transactions'!D367</f>
        <v>0</v>
      </c>
      <c r="E365">
        <f>'Input 2 - Transactions'!E367</f>
        <v>0</v>
      </c>
      <c r="F365" s="29">
        <f>'Input 2 - Transactions'!F367</f>
        <v>0</v>
      </c>
      <c r="G365" s="29">
        <f>'Input 2 - Transactions'!G367</f>
        <v>0</v>
      </c>
      <c r="H365" t="e">
        <f>_xlfn.XLOOKUP(A365,'DB - Identities'!U:U,'DB - Identities'!B:B)</f>
        <v>#N/A</v>
      </c>
      <c r="I365" t="e">
        <f>_xlfn.XLOOKUP(H365,c_parties,'DB - Contracting Parties'!C:C)</f>
        <v>#N/A</v>
      </c>
      <c r="J365" t="e">
        <f>_xlfn.XLOOKUP(A365,'DB - Identities'!U:U,'DB - Identities'!Q:Q)</f>
        <v>#N/A</v>
      </c>
      <c r="K365" t="e">
        <f>_xlfn.XLOOKUP(D365,Static!J:J,Static!K:K)</f>
        <v>#N/A</v>
      </c>
      <c r="L365" t="e">
        <f>IF(I365="Bank",_xlfn.XLOOKUP(J365,'Pricing Sheet'!A:A,'Pricing Sheet'!B:B,'Pricing Sheet'!$B$6),IF(I365="Corporate",_xlfn.XLOOKUP(J365,'Pricing Sheet'!F:F,'Pricing Sheet'!G:G,'Pricing Sheet'!$G$6),0))</f>
        <v>#N/A</v>
      </c>
      <c r="M365" t="str">
        <f t="shared" si="12"/>
        <v>OK</v>
      </c>
      <c r="N365" t="str">
        <f t="shared" si="13"/>
        <v>OK</v>
      </c>
    </row>
    <row r="366" spans="1:14">
      <c r="A366">
        <f>'Input 2 - Transactions'!A368</f>
        <v>0</v>
      </c>
      <c r="B366">
        <f>'Input 2 - Transactions'!B368</f>
        <v>0</v>
      </c>
      <c r="C366">
        <f>'Input 2 - Transactions'!C368</f>
        <v>0</v>
      </c>
      <c r="D366">
        <f>'Input 2 - Transactions'!D368</f>
        <v>0</v>
      </c>
      <c r="E366">
        <f>'Input 2 - Transactions'!E368</f>
        <v>0</v>
      </c>
      <c r="F366" s="29">
        <f>'Input 2 - Transactions'!F368</f>
        <v>0</v>
      </c>
      <c r="G366" s="29">
        <f>'Input 2 - Transactions'!G368</f>
        <v>0</v>
      </c>
      <c r="H366" t="e">
        <f>_xlfn.XLOOKUP(A366,'DB - Identities'!U:U,'DB - Identities'!B:B)</f>
        <v>#N/A</v>
      </c>
      <c r="I366" t="e">
        <f>_xlfn.XLOOKUP(H366,c_parties,'DB - Contracting Parties'!C:C)</f>
        <v>#N/A</v>
      </c>
      <c r="J366" t="e">
        <f>_xlfn.XLOOKUP(A366,'DB - Identities'!U:U,'DB - Identities'!Q:Q)</f>
        <v>#N/A</v>
      </c>
      <c r="K366" t="e">
        <f>_xlfn.XLOOKUP(D366,Static!J:J,Static!K:K)</f>
        <v>#N/A</v>
      </c>
      <c r="L366" t="e">
        <f>IF(I366="Bank",_xlfn.XLOOKUP(J366,'Pricing Sheet'!A:A,'Pricing Sheet'!B:B,'Pricing Sheet'!$B$6),IF(I366="Corporate",_xlfn.XLOOKUP(J366,'Pricing Sheet'!F:F,'Pricing Sheet'!G:G,'Pricing Sheet'!$G$6),0))</f>
        <v>#N/A</v>
      </c>
      <c r="M366" t="str">
        <f t="shared" si="12"/>
        <v>OK</v>
      </c>
      <c r="N366" t="str">
        <f t="shared" si="13"/>
        <v>OK</v>
      </c>
    </row>
    <row r="367" spans="1:14">
      <c r="A367">
        <f>'Input 2 - Transactions'!A369</f>
        <v>0</v>
      </c>
      <c r="B367">
        <f>'Input 2 - Transactions'!B369</f>
        <v>0</v>
      </c>
      <c r="C367">
        <f>'Input 2 - Transactions'!C369</f>
        <v>0</v>
      </c>
      <c r="D367">
        <f>'Input 2 - Transactions'!D369</f>
        <v>0</v>
      </c>
      <c r="E367">
        <f>'Input 2 - Transactions'!E369</f>
        <v>0</v>
      </c>
      <c r="F367" s="29">
        <f>'Input 2 - Transactions'!F369</f>
        <v>0</v>
      </c>
      <c r="G367" s="29">
        <f>'Input 2 - Transactions'!G369</f>
        <v>0</v>
      </c>
      <c r="H367" t="e">
        <f>_xlfn.XLOOKUP(A367,'DB - Identities'!U:U,'DB - Identities'!B:B)</f>
        <v>#N/A</v>
      </c>
      <c r="I367" t="e">
        <f>_xlfn.XLOOKUP(H367,c_parties,'DB - Contracting Parties'!C:C)</f>
        <v>#N/A</v>
      </c>
      <c r="J367" t="e">
        <f>_xlfn.XLOOKUP(A367,'DB - Identities'!U:U,'DB - Identities'!Q:Q)</f>
        <v>#N/A</v>
      </c>
      <c r="K367" t="e">
        <f>_xlfn.XLOOKUP(D367,Static!J:J,Static!K:K)</f>
        <v>#N/A</v>
      </c>
      <c r="L367" t="e">
        <f>IF(I367="Bank",_xlfn.XLOOKUP(J367,'Pricing Sheet'!A:A,'Pricing Sheet'!B:B,'Pricing Sheet'!$B$6),IF(I367="Corporate",_xlfn.XLOOKUP(J367,'Pricing Sheet'!F:F,'Pricing Sheet'!G:G,'Pricing Sheet'!$G$6),0))</f>
        <v>#N/A</v>
      </c>
      <c r="M367" t="str">
        <f t="shared" si="12"/>
        <v>OK</v>
      </c>
      <c r="N367" t="str">
        <f t="shared" si="13"/>
        <v>OK</v>
      </c>
    </row>
    <row r="368" spans="1:14">
      <c r="A368">
        <f>'Input 2 - Transactions'!A370</f>
        <v>0</v>
      </c>
      <c r="B368">
        <f>'Input 2 - Transactions'!B370</f>
        <v>0</v>
      </c>
      <c r="C368">
        <f>'Input 2 - Transactions'!C370</f>
        <v>0</v>
      </c>
      <c r="D368">
        <f>'Input 2 - Transactions'!D370</f>
        <v>0</v>
      </c>
      <c r="E368">
        <f>'Input 2 - Transactions'!E370</f>
        <v>0</v>
      </c>
      <c r="F368" s="29">
        <f>'Input 2 - Transactions'!F370</f>
        <v>0</v>
      </c>
      <c r="G368" s="29">
        <f>'Input 2 - Transactions'!G370</f>
        <v>0</v>
      </c>
      <c r="H368" t="e">
        <f>_xlfn.XLOOKUP(A368,'DB - Identities'!U:U,'DB - Identities'!B:B)</f>
        <v>#N/A</v>
      </c>
      <c r="I368" t="e">
        <f>_xlfn.XLOOKUP(H368,c_parties,'DB - Contracting Parties'!C:C)</f>
        <v>#N/A</v>
      </c>
      <c r="J368" t="e">
        <f>_xlfn.XLOOKUP(A368,'DB - Identities'!U:U,'DB - Identities'!Q:Q)</f>
        <v>#N/A</v>
      </c>
      <c r="K368" t="e">
        <f>_xlfn.XLOOKUP(D368,Static!J:J,Static!K:K)</f>
        <v>#N/A</v>
      </c>
      <c r="L368" t="e">
        <f>IF(I368="Bank",_xlfn.XLOOKUP(J368,'Pricing Sheet'!A:A,'Pricing Sheet'!B:B,'Pricing Sheet'!$B$6),IF(I368="Corporate",_xlfn.XLOOKUP(J368,'Pricing Sheet'!F:F,'Pricing Sheet'!G:G,'Pricing Sheet'!$G$6),0))</f>
        <v>#N/A</v>
      </c>
      <c r="M368" t="str">
        <f t="shared" si="12"/>
        <v>OK</v>
      </c>
      <c r="N368" t="str">
        <f t="shared" si="13"/>
        <v>OK</v>
      </c>
    </row>
    <row r="369" spans="1:14">
      <c r="A369">
        <f>'Input 2 - Transactions'!A371</f>
        <v>0</v>
      </c>
      <c r="B369">
        <f>'Input 2 - Transactions'!B371</f>
        <v>0</v>
      </c>
      <c r="C369">
        <f>'Input 2 - Transactions'!C371</f>
        <v>0</v>
      </c>
      <c r="D369">
        <f>'Input 2 - Transactions'!D371</f>
        <v>0</v>
      </c>
      <c r="E369">
        <f>'Input 2 - Transactions'!E371</f>
        <v>0</v>
      </c>
      <c r="F369" s="29">
        <f>'Input 2 - Transactions'!F371</f>
        <v>0</v>
      </c>
      <c r="G369" s="29">
        <f>'Input 2 - Transactions'!G371</f>
        <v>0</v>
      </c>
      <c r="H369" t="e">
        <f>_xlfn.XLOOKUP(A369,'DB - Identities'!U:U,'DB - Identities'!B:B)</f>
        <v>#N/A</v>
      </c>
      <c r="I369" t="e">
        <f>_xlfn.XLOOKUP(H369,c_parties,'DB - Contracting Parties'!C:C)</f>
        <v>#N/A</v>
      </c>
      <c r="J369" t="e">
        <f>_xlfn.XLOOKUP(A369,'DB - Identities'!U:U,'DB - Identities'!Q:Q)</f>
        <v>#N/A</v>
      </c>
      <c r="K369" t="e">
        <f>_xlfn.XLOOKUP(D369,Static!J:J,Static!K:K)</f>
        <v>#N/A</v>
      </c>
      <c r="L369" t="e">
        <f>IF(I369="Bank",_xlfn.XLOOKUP(J369,'Pricing Sheet'!A:A,'Pricing Sheet'!B:B,'Pricing Sheet'!$B$6),IF(I369="Corporate",_xlfn.XLOOKUP(J369,'Pricing Sheet'!F:F,'Pricing Sheet'!G:G,'Pricing Sheet'!$G$6),0))</f>
        <v>#N/A</v>
      </c>
      <c r="M369" t="str">
        <f t="shared" si="12"/>
        <v>OK</v>
      </c>
      <c r="N369" t="str">
        <f t="shared" si="13"/>
        <v>OK</v>
      </c>
    </row>
    <row r="370" spans="1:14">
      <c r="A370">
        <f>'Input 2 - Transactions'!A372</f>
        <v>0</v>
      </c>
      <c r="B370">
        <f>'Input 2 - Transactions'!B372</f>
        <v>0</v>
      </c>
      <c r="C370">
        <f>'Input 2 - Transactions'!C372</f>
        <v>0</v>
      </c>
      <c r="D370">
        <f>'Input 2 - Transactions'!D372</f>
        <v>0</v>
      </c>
      <c r="E370">
        <f>'Input 2 - Transactions'!E372</f>
        <v>0</v>
      </c>
      <c r="F370" s="29">
        <f>'Input 2 - Transactions'!F372</f>
        <v>0</v>
      </c>
      <c r="G370" s="29">
        <f>'Input 2 - Transactions'!G372</f>
        <v>0</v>
      </c>
      <c r="H370" t="e">
        <f>_xlfn.XLOOKUP(A370,'DB - Identities'!U:U,'DB - Identities'!B:B)</f>
        <v>#N/A</v>
      </c>
      <c r="I370" t="e">
        <f>_xlfn.XLOOKUP(H370,c_parties,'DB - Contracting Parties'!C:C)</f>
        <v>#N/A</v>
      </c>
      <c r="J370" t="e">
        <f>_xlfn.XLOOKUP(A370,'DB - Identities'!U:U,'DB - Identities'!Q:Q)</f>
        <v>#N/A</v>
      </c>
      <c r="K370" t="e">
        <f>_xlfn.XLOOKUP(D370,Static!J:J,Static!K:K)</f>
        <v>#N/A</v>
      </c>
      <c r="L370" t="e">
        <f>IF(I370="Bank",_xlfn.XLOOKUP(J370,'Pricing Sheet'!A:A,'Pricing Sheet'!B:B,'Pricing Sheet'!$B$6),IF(I370="Corporate",_xlfn.XLOOKUP(J370,'Pricing Sheet'!F:F,'Pricing Sheet'!G:G,'Pricing Sheet'!$G$6),0))</f>
        <v>#N/A</v>
      </c>
      <c r="M370" t="str">
        <f t="shared" si="12"/>
        <v>OK</v>
      </c>
      <c r="N370" t="str">
        <f t="shared" si="13"/>
        <v>OK</v>
      </c>
    </row>
    <row r="371" spans="1:14">
      <c r="A371">
        <f>'Input 2 - Transactions'!A373</f>
        <v>0</v>
      </c>
      <c r="B371">
        <f>'Input 2 - Transactions'!B373</f>
        <v>0</v>
      </c>
      <c r="C371">
        <f>'Input 2 - Transactions'!C373</f>
        <v>0</v>
      </c>
      <c r="D371">
        <f>'Input 2 - Transactions'!D373</f>
        <v>0</v>
      </c>
      <c r="E371">
        <f>'Input 2 - Transactions'!E373</f>
        <v>0</v>
      </c>
      <c r="F371" s="29">
        <f>'Input 2 - Transactions'!F373</f>
        <v>0</v>
      </c>
      <c r="G371" s="29">
        <f>'Input 2 - Transactions'!G373</f>
        <v>0</v>
      </c>
      <c r="H371" t="e">
        <f>_xlfn.XLOOKUP(A371,'DB - Identities'!U:U,'DB - Identities'!B:B)</f>
        <v>#N/A</v>
      </c>
      <c r="I371" t="e">
        <f>_xlfn.XLOOKUP(H371,c_parties,'DB - Contracting Parties'!C:C)</f>
        <v>#N/A</v>
      </c>
      <c r="J371" t="e">
        <f>_xlfn.XLOOKUP(A371,'DB - Identities'!U:U,'DB - Identities'!Q:Q)</f>
        <v>#N/A</v>
      </c>
      <c r="K371" t="e">
        <f>_xlfn.XLOOKUP(D371,Static!J:J,Static!K:K)</f>
        <v>#N/A</v>
      </c>
      <c r="L371" t="e">
        <f>IF(I371="Bank",_xlfn.XLOOKUP(J371,'Pricing Sheet'!A:A,'Pricing Sheet'!B:B,'Pricing Sheet'!$B$6),IF(I371="Corporate",_xlfn.XLOOKUP(J371,'Pricing Sheet'!F:F,'Pricing Sheet'!G:G,'Pricing Sheet'!$G$6),0))</f>
        <v>#N/A</v>
      </c>
      <c r="M371" t="str">
        <f t="shared" si="12"/>
        <v>OK</v>
      </c>
      <c r="N371" t="str">
        <f t="shared" si="13"/>
        <v>OK</v>
      </c>
    </row>
    <row r="372" spans="1:14">
      <c r="A372">
        <f>'Input 2 - Transactions'!A374</f>
        <v>0</v>
      </c>
      <c r="B372">
        <f>'Input 2 - Transactions'!B374</f>
        <v>0</v>
      </c>
      <c r="C372">
        <f>'Input 2 - Transactions'!C374</f>
        <v>0</v>
      </c>
      <c r="D372">
        <f>'Input 2 - Transactions'!D374</f>
        <v>0</v>
      </c>
      <c r="E372">
        <f>'Input 2 - Transactions'!E374</f>
        <v>0</v>
      </c>
      <c r="F372" s="29">
        <f>'Input 2 - Transactions'!F374</f>
        <v>0</v>
      </c>
      <c r="G372" s="29">
        <f>'Input 2 - Transactions'!G374</f>
        <v>0</v>
      </c>
      <c r="H372" t="e">
        <f>_xlfn.XLOOKUP(A372,'DB - Identities'!U:U,'DB - Identities'!B:B)</f>
        <v>#N/A</v>
      </c>
      <c r="I372" t="e">
        <f>_xlfn.XLOOKUP(H372,c_parties,'DB - Contracting Parties'!C:C)</f>
        <v>#N/A</v>
      </c>
      <c r="J372" t="e">
        <f>_xlfn.XLOOKUP(A372,'DB - Identities'!U:U,'DB - Identities'!Q:Q)</f>
        <v>#N/A</v>
      </c>
      <c r="K372" t="e">
        <f>_xlfn.XLOOKUP(D372,Static!J:J,Static!K:K)</f>
        <v>#N/A</v>
      </c>
      <c r="L372" t="e">
        <f>IF(I372="Bank",_xlfn.XLOOKUP(J372,'Pricing Sheet'!A:A,'Pricing Sheet'!B:B,'Pricing Sheet'!$B$6),IF(I372="Corporate",_xlfn.XLOOKUP(J372,'Pricing Sheet'!F:F,'Pricing Sheet'!G:G,'Pricing Sheet'!$G$6),0))</f>
        <v>#N/A</v>
      </c>
      <c r="M372" t="str">
        <f t="shared" si="12"/>
        <v>OK</v>
      </c>
      <c r="N372" t="str">
        <f t="shared" si="13"/>
        <v>OK</v>
      </c>
    </row>
    <row r="373" spans="1:14">
      <c r="A373">
        <f>'Input 2 - Transactions'!A375</f>
        <v>0</v>
      </c>
      <c r="B373">
        <f>'Input 2 - Transactions'!B375</f>
        <v>0</v>
      </c>
      <c r="C373">
        <f>'Input 2 - Transactions'!C375</f>
        <v>0</v>
      </c>
      <c r="D373">
        <f>'Input 2 - Transactions'!D375</f>
        <v>0</v>
      </c>
      <c r="E373">
        <f>'Input 2 - Transactions'!E375</f>
        <v>0</v>
      </c>
      <c r="F373" s="29">
        <f>'Input 2 - Transactions'!F375</f>
        <v>0</v>
      </c>
      <c r="G373" s="29">
        <f>'Input 2 - Transactions'!G375</f>
        <v>0</v>
      </c>
      <c r="H373" t="e">
        <f>_xlfn.XLOOKUP(A373,'DB - Identities'!U:U,'DB - Identities'!B:B)</f>
        <v>#N/A</v>
      </c>
      <c r="I373" t="e">
        <f>_xlfn.XLOOKUP(H373,c_parties,'DB - Contracting Parties'!C:C)</f>
        <v>#N/A</v>
      </c>
      <c r="J373" t="e">
        <f>_xlfn.XLOOKUP(A373,'DB - Identities'!U:U,'DB - Identities'!Q:Q)</f>
        <v>#N/A</v>
      </c>
      <c r="K373" t="e">
        <f>_xlfn.XLOOKUP(D373,Static!J:J,Static!K:K)</f>
        <v>#N/A</v>
      </c>
      <c r="L373" t="e">
        <f>IF(I373="Bank",_xlfn.XLOOKUP(J373,'Pricing Sheet'!A:A,'Pricing Sheet'!B:B,'Pricing Sheet'!$B$6),IF(I373="Corporate",_xlfn.XLOOKUP(J373,'Pricing Sheet'!F:F,'Pricing Sheet'!G:G,'Pricing Sheet'!$G$6),0))</f>
        <v>#N/A</v>
      </c>
      <c r="M373" t="str">
        <f t="shared" si="12"/>
        <v>OK</v>
      </c>
      <c r="N373" t="str">
        <f t="shared" si="13"/>
        <v>OK</v>
      </c>
    </row>
    <row r="374" spans="1:14">
      <c r="A374">
        <f>'Input 2 - Transactions'!A376</f>
        <v>0</v>
      </c>
      <c r="B374">
        <f>'Input 2 - Transactions'!B376</f>
        <v>0</v>
      </c>
      <c r="C374">
        <f>'Input 2 - Transactions'!C376</f>
        <v>0</v>
      </c>
      <c r="D374">
        <f>'Input 2 - Transactions'!D376</f>
        <v>0</v>
      </c>
      <c r="E374">
        <f>'Input 2 - Transactions'!E376</f>
        <v>0</v>
      </c>
      <c r="F374" s="29">
        <f>'Input 2 - Transactions'!F376</f>
        <v>0</v>
      </c>
      <c r="G374" s="29">
        <f>'Input 2 - Transactions'!G376</f>
        <v>0</v>
      </c>
      <c r="H374" t="e">
        <f>_xlfn.XLOOKUP(A374,'DB - Identities'!U:U,'DB - Identities'!B:B)</f>
        <v>#N/A</v>
      </c>
      <c r="I374" t="e">
        <f>_xlfn.XLOOKUP(H374,c_parties,'DB - Contracting Parties'!C:C)</f>
        <v>#N/A</v>
      </c>
      <c r="J374" t="e">
        <f>_xlfn.XLOOKUP(A374,'DB - Identities'!U:U,'DB - Identities'!Q:Q)</f>
        <v>#N/A</v>
      </c>
      <c r="K374" t="e">
        <f>_xlfn.XLOOKUP(D374,Static!J:J,Static!K:K)</f>
        <v>#N/A</v>
      </c>
      <c r="L374" t="e">
        <f>IF(I374="Bank",_xlfn.XLOOKUP(J374,'Pricing Sheet'!A:A,'Pricing Sheet'!B:B,'Pricing Sheet'!$B$6),IF(I374="Corporate",_xlfn.XLOOKUP(J374,'Pricing Sheet'!F:F,'Pricing Sheet'!G:G,'Pricing Sheet'!$G$6),0))</f>
        <v>#N/A</v>
      </c>
      <c r="M374" t="str">
        <f t="shared" si="12"/>
        <v>OK</v>
      </c>
      <c r="N374" t="str">
        <f t="shared" si="13"/>
        <v>OK</v>
      </c>
    </row>
    <row r="375" spans="1:14">
      <c r="A375">
        <f>'Input 2 - Transactions'!A377</f>
        <v>0</v>
      </c>
      <c r="B375">
        <f>'Input 2 - Transactions'!B377</f>
        <v>0</v>
      </c>
      <c r="C375">
        <f>'Input 2 - Transactions'!C377</f>
        <v>0</v>
      </c>
      <c r="D375">
        <f>'Input 2 - Transactions'!D377</f>
        <v>0</v>
      </c>
      <c r="E375">
        <f>'Input 2 - Transactions'!E377</f>
        <v>0</v>
      </c>
      <c r="F375" s="29">
        <f>'Input 2 - Transactions'!F377</f>
        <v>0</v>
      </c>
      <c r="G375" s="29">
        <f>'Input 2 - Transactions'!G377</f>
        <v>0</v>
      </c>
      <c r="H375" t="e">
        <f>_xlfn.XLOOKUP(A375,'DB - Identities'!U:U,'DB - Identities'!B:B)</f>
        <v>#N/A</v>
      </c>
      <c r="I375" t="e">
        <f>_xlfn.XLOOKUP(H375,c_parties,'DB - Contracting Parties'!C:C)</f>
        <v>#N/A</v>
      </c>
      <c r="J375" t="e">
        <f>_xlfn.XLOOKUP(A375,'DB - Identities'!U:U,'DB - Identities'!Q:Q)</f>
        <v>#N/A</v>
      </c>
      <c r="K375" t="e">
        <f>_xlfn.XLOOKUP(D375,Static!J:J,Static!K:K)</f>
        <v>#N/A</v>
      </c>
      <c r="L375" t="e">
        <f>IF(I375="Bank",_xlfn.XLOOKUP(J375,'Pricing Sheet'!A:A,'Pricing Sheet'!B:B,'Pricing Sheet'!$B$6),IF(I375="Corporate",_xlfn.XLOOKUP(J375,'Pricing Sheet'!F:F,'Pricing Sheet'!G:G,'Pricing Sheet'!$G$6),0))</f>
        <v>#N/A</v>
      </c>
      <c r="M375" t="str">
        <f t="shared" si="12"/>
        <v>OK</v>
      </c>
      <c r="N375" t="str">
        <f t="shared" si="13"/>
        <v>OK</v>
      </c>
    </row>
    <row r="376" spans="1:14">
      <c r="A376">
        <f>'Input 2 - Transactions'!A378</f>
        <v>0</v>
      </c>
      <c r="B376">
        <f>'Input 2 - Transactions'!B378</f>
        <v>0</v>
      </c>
      <c r="C376">
        <f>'Input 2 - Transactions'!C378</f>
        <v>0</v>
      </c>
      <c r="D376">
        <f>'Input 2 - Transactions'!D378</f>
        <v>0</v>
      </c>
      <c r="E376">
        <f>'Input 2 - Transactions'!E378</f>
        <v>0</v>
      </c>
      <c r="F376" s="29">
        <f>'Input 2 - Transactions'!F378</f>
        <v>0</v>
      </c>
      <c r="G376" s="29">
        <f>'Input 2 - Transactions'!G378</f>
        <v>0</v>
      </c>
      <c r="H376" t="e">
        <f>_xlfn.XLOOKUP(A376,'DB - Identities'!U:U,'DB - Identities'!B:B)</f>
        <v>#N/A</v>
      </c>
      <c r="I376" t="e">
        <f>_xlfn.XLOOKUP(H376,c_parties,'DB - Contracting Parties'!C:C)</f>
        <v>#N/A</v>
      </c>
      <c r="J376" t="e">
        <f>_xlfn.XLOOKUP(A376,'DB - Identities'!U:U,'DB - Identities'!Q:Q)</f>
        <v>#N/A</v>
      </c>
      <c r="K376" t="e">
        <f>_xlfn.XLOOKUP(D376,Static!J:J,Static!K:K)</f>
        <v>#N/A</v>
      </c>
      <c r="L376" t="e">
        <f>IF(I376="Bank",_xlfn.XLOOKUP(J376,'Pricing Sheet'!A:A,'Pricing Sheet'!B:B,'Pricing Sheet'!$B$6),IF(I376="Corporate",_xlfn.XLOOKUP(J376,'Pricing Sheet'!F:F,'Pricing Sheet'!G:G,'Pricing Sheet'!$G$6),0))</f>
        <v>#N/A</v>
      </c>
      <c r="M376" t="str">
        <f t="shared" si="12"/>
        <v>OK</v>
      </c>
      <c r="N376" t="str">
        <f t="shared" si="13"/>
        <v>OK</v>
      </c>
    </row>
    <row r="377" spans="1:14">
      <c r="A377">
        <f>'Input 2 - Transactions'!A379</f>
        <v>0</v>
      </c>
      <c r="B377">
        <f>'Input 2 - Transactions'!B379</f>
        <v>0</v>
      </c>
      <c r="C377">
        <f>'Input 2 - Transactions'!C379</f>
        <v>0</v>
      </c>
      <c r="D377">
        <f>'Input 2 - Transactions'!D379</f>
        <v>0</v>
      </c>
      <c r="E377">
        <f>'Input 2 - Transactions'!E379</f>
        <v>0</v>
      </c>
      <c r="F377" s="29">
        <f>'Input 2 - Transactions'!F379</f>
        <v>0</v>
      </c>
      <c r="G377" s="29">
        <f>'Input 2 - Transactions'!G379</f>
        <v>0</v>
      </c>
      <c r="H377" t="e">
        <f>_xlfn.XLOOKUP(A377,'DB - Identities'!U:U,'DB - Identities'!B:B)</f>
        <v>#N/A</v>
      </c>
      <c r="I377" t="e">
        <f>_xlfn.XLOOKUP(H377,c_parties,'DB - Contracting Parties'!C:C)</f>
        <v>#N/A</v>
      </c>
      <c r="J377" t="e">
        <f>_xlfn.XLOOKUP(A377,'DB - Identities'!U:U,'DB - Identities'!Q:Q)</f>
        <v>#N/A</v>
      </c>
      <c r="K377" t="e">
        <f>_xlfn.XLOOKUP(D377,Static!J:J,Static!K:K)</f>
        <v>#N/A</v>
      </c>
      <c r="L377" t="e">
        <f>IF(I377="Bank",_xlfn.XLOOKUP(J377,'Pricing Sheet'!A:A,'Pricing Sheet'!B:B,'Pricing Sheet'!$B$6),IF(I377="Corporate",_xlfn.XLOOKUP(J377,'Pricing Sheet'!F:F,'Pricing Sheet'!G:G,'Pricing Sheet'!$G$6),0))</f>
        <v>#N/A</v>
      </c>
      <c r="M377" t="str">
        <f t="shared" si="12"/>
        <v>OK</v>
      </c>
      <c r="N377" t="str">
        <f t="shared" si="13"/>
        <v>OK</v>
      </c>
    </row>
    <row r="378" spans="1:14">
      <c r="A378">
        <f>'Input 2 - Transactions'!A380</f>
        <v>0</v>
      </c>
      <c r="B378">
        <f>'Input 2 - Transactions'!B380</f>
        <v>0</v>
      </c>
      <c r="C378">
        <f>'Input 2 - Transactions'!C380</f>
        <v>0</v>
      </c>
      <c r="D378">
        <f>'Input 2 - Transactions'!D380</f>
        <v>0</v>
      </c>
      <c r="E378">
        <f>'Input 2 - Transactions'!E380</f>
        <v>0</v>
      </c>
      <c r="F378" s="29">
        <f>'Input 2 - Transactions'!F380</f>
        <v>0</v>
      </c>
      <c r="G378" s="29">
        <f>'Input 2 - Transactions'!G380</f>
        <v>0</v>
      </c>
      <c r="H378" t="e">
        <f>_xlfn.XLOOKUP(A378,'DB - Identities'!U:U,'DB - Identities'!B:B)</f>
        <v>#N/A</v>
      </c>
      <c r="I378" t="e">
        <f>_xlfn.XLOOKUP(H378,c_parties,'DB - Contracting Parties'!C:C)</f>
        <v>#N/A</v>
      </c>
      <c r="J378" t="e">
        <f>_xlfn.XLOOKUP(A378,'DB - Identities'!U:U,'DB - Identities'!Q:Q)</f>
        <v>#N/A</v>
      </c>
      <c r="K378" t="e">
        <f>_xlfn.XLOOKUP(D378,Static!J:J,Static!K:K)</f>
        <v>#N/A</v>
      </c>
      <c r="L378" t="e">
        <f>IF(I378="Bank",_xlfn.XLOOKUP(J378,'Pricing Sheet'!A:A,'Pricing Sheet'!B:B,'Pricing Sheet'!$B$6),IF(I378="Corporate",_xlfn.XLOOKUP(J378,'Pricing Sheet'!F:F,'Pricing Sheet'!G:G,'Pricing Sheet'!$G$6),0))</f>
        <v>#N/A</v>
      </c>
      <c r="M378" t="str">
        <f t="shared" si="12"/>
        <v>OK</v>
      </c>
      <c r="N378" t="str">
        <f t="shared" si="13"/>
        <v>OK</v>
      </c>
    </row>
    <row r="379" spans="1:14">
      <c r="A379">
        <f>'Input 2 - Transactions'!A381</f>
        <v>0</v>
      </c>
      <c r="B379">
        <f>'Input 2 - Transactions'!B381</f>
        <v>0</v>
      </c>
      <c r="C379">
        <f>'Input 2 - Transactions'!C381</f>
        <v>0</v>
      </c>
      <c r="D379">
        <f>'Input 2 - Transactions'!D381</f>
        <v>0</v>
      </c>
      <c r="E379">
        <f>'Input 2 - Transactions'!E381</f>
        <v>0</v>
      </c>
      <c r="F379" s="29">
        <f>'Input 2 - Transactions'!F381</f>
        <v>0</v>
      </c>
      <c r="G379" s="29">
        <f>'Input 2 - Transactions'!G381</f>
        <v>0</v>
      </c>
      <c r="H379" t="e">
        <f>_xlfn.XLOOKUP(A379,'DB - Identities'!U:U,'DB - Identities'!B:B)</f>
        <v>#N/A</v>
      </c>
      <c r="I379" t="e">
        <f>_xlfn.XLOOKUP(H379,c_parties,'DB - Contracting Parties'!C:C)</f>
        <v>#N/A</v>
      </c>
      <c r="J379" t="e">
        <f>_xlfn.XLOOKUP(A379,'DB - Identities'!U:U,'DB - Identities'!Q:Q)</f>
        <v>#N/A</v>
      </c>
      <c r="K379" t="e">
        <f>_xlfn.XLOOKUP(D379,Static!J:J,Static!K:K)</f>
        <v>#N/A</v>
      </c>
      <c r="L379" t="e">
        <f>IF(I379="Bank",_xlfn.XLOOKUP(J379,'Pricing Sheet'!A:A,'Pricing Sheet'!B:B,'Pricing Sheet'!$B$6),IF(I379="Corporate",_xlfn.XLOOKUP(J379,'Pricing Sheet'!F:F,'Pricing Sheet'!G:G,'Pricing Sheet'!$G$6),0))</f>
        <v>#N/A</v>
      </c>
      <c r="M379" t="str">
        <f t="shared" si="12"/>
        <v>OK</v>
      </c>
      <c r="N379" t="str">
        <f t="shared" si="13"/>
        <v>OK</v>
      </c>
    </row>
    <row r="380" spans="1:14">
      <c r="A380">
        <f>'Input 2 - Transactions'!A382</f>
        <v>0</v>
      </c>
      <c r="B380">
        <f>'Input 2 - Transactions'!B382</f>
        <v>0</v>
      </c>
      <c r="C380">
        <f>'Input 2 - Transactions'!C382</f>
        <v>0</v>
      </c>
      <c r="D380">
        <f>'Input 2 - Transactions'!D382</f>
        <v>0</v>
      </c>
      <c r="E380">
        <f>'Input 2 - Transactions'!E382</f>
        <v>0</v>
      </c>
      <c r="F380" s="29">
        <f>'Input 2 - Transactions'!F382</f>
        <v>0</v>
      </c>
      <c r="G380" s="29">
        <f>'Input 2 - Transactions'!G382</f>
        <v>0</v>
      </c>
      <c r="H380" t="e">
        <f>_xlfn.XLOOKUP(A380,'DB - Identities'!U:U,'DB - Identities'!B:B)</f>
        <v>#N/A</v>
      </c>
      <c r="I380" t="e">
        <f>_xlfn.XLOOKUP(H380,c_parties,'DB - Contracting Parties'!C:C)</f>
        <v>#N/A</v>
      </c>
      <c r="J380" t="e">
        <f>_xlfn.XLOOKUP(A380,'DB - Identities'!U:U,'DB - Identities'!Q:Q)</f>
        <v>#N/A</v>
      </c>
      <c r="K380" t="e">
        <f>_xlfn.XLOOKUP(D380,Static!J:J,Static!K:K)</f>
        <v>#N/A</v>
      </c>
      <c r="L380" t="e">
        <f>IF(I380="Bank",_xlfn.XLOOKUP(J380,'Pricing Sheet'!A:A,'Pricing Sheet'!B:B,'Pricing Sheet'!$B$6),IF(I380="Corporate",_xlfn.XLOOKUP(J380,'Pricing Sheet'!F:F,'Pricing Sheet'!G:G,'Pricing Sheet'!$G$6),0))</f>
        <v>#N/A</v>
      </c>
      <c r="M380" t="str">
        <f t="shared" si="12"/>
        <v>OK</v>
      </c>
      <c r="N380" t="str">
        <f t="shared" si="13"/>
        <v>OK</v>
      </c>
    </row>
    <row r="381" spans="1:14">
      <c r="A381">
        <f>'Input 2 - Transactions'!A383</f>
        <v>0</v>
      </c>
      <c r="B381">
        <f>'Input 2 - Transactions'!B383</f>
        <v>0</v>
      </c>
      <c r="C381">
        <f>'Input 2 - Transactions'!C383</f>
        <v>0</v>
      </c>
      <c r="D381">
        <f>'Input 2 - Transactions'!D383</f>
        <v>0</v>
      </c>
      <c r="E381">
        <f>'Input 2 - Transactions'!E383</f>
        <v>0</v>
      </c>
      <c r="F381" s="29">
        <f>'Input 2 - Transactions'!F383</f>
        <v>0</v>
      </c>
      <c r="G381" s="29">
        <f>'Input 2 - Transactions'!G383</f>
        <v>0</v>
      </c>
      <c r="H381" t="e">
        <f>_xlfn.XLOOKUP(A381,'DB - Identities'!U:U,'DB - Identities'!B:B)</f>
        <v>#N/A</v>
      </c>
      <c r="I381" t="e">
        <f>_xlfn.XLOOKUP(H381,c_parties,'DB - Contracting Parties'!C:C)</f>
        <v>#N/A</v>
      </c>
      <c r="J381" t="e">
        <f>_xlfn.XLOOKUP(A381,'DB - Identities'!U:U,'DB - Identities'!Q:Q)</f>
        <v>#N/A</v>
      </c>
      <c r="K381" t="e">
        <f>_xlfn.XLOOKUP(D381,Static!J:J,Static!K:K)</f>
        <v>#N/A</v>
      </c>
      <c r="L381" t="e">
        <f>IF(I381="Bank",_xlfn.XLOOKUP(J381,'Pricing Sheet'!A:A,'Pricing Sheet'!B:B,'Pricing Sheet'!$B$6),IF(I381="Corporate",_xlfn.XLOOKUP(J381,'Pricing Sheet'!F:F,'Pricing Sheet'!G:G,'Pricing Sheet'!$G$6),0))</f>
        <v>#N/A</v>
      </c>
      <c r="M381" t="str">
        <f t="shared" si="12"/>
        <v>OK</v>
      </c>
      <c r="N381" t="str">
        <f t="shared" si="13"/>
        <v>OK</v>
      </c>
    </row>
    <row r="382" spans="1:14">
      <c r="A382">
        <f>'Input 2 - Transactions'!A384</f>
        <v>0</v>
      </c>
      <c r="B382">
        <f>'Input 2 - Transactions'!B384</f>
        <v>0</v>
      </c>
      <c r="C382">
        <f>'Input 2 - Transactions'!C384</f>
        <v>0</v>
      </c>
      <c r="D382">
        <f>'Input 2 - Transactions'!D384</f>
        <v>0</v>
      </c>
      <c r="E382">
        <f>'Input 2 - Transactions'!E384</f>
        <v>0</v>
      </c>
      <c r="F382" s="29">
        <f>'Input 2 - Transactions'!F384</f>
        <v>0</v>
      </c>
      <c r="G382" s="29">
        <f>'Input 2 - Transactions'!G384</f>
        <v>0</v>
      </c>
      <c r="H382" t="e">
        <f>_xlfn.XLOOKUP(A382,'DB - Identities'!U:U,'DB - Identities'!B:B)</f>
        <v>#N/A</v>
      </c>
      <c r="I382" t="e">
        <f>_xlfn.XLOOKUP(H382,c_parties,'DB - Contracting Parties'!C:C)</f>
        <v>#N/A</v>
      </c>
      <c r="J382" t="e">
        <f>_xlfn.XLOOKUP(A382,'DB - Identities'!U:U,'DB - Identities'!Q:Q)</f>
        <v>#N/A</v>
      </c>
      <c r="K382" t="e">
        <f>_xlfn.XLOOKUP(D382,Static!J:J,Static!K:K)</f>
        <v>#N/A</v>
      </c>
      <c r="L382" t="e">
        <f>IF(I382="Bank",_xlfn.XLOOKUP(J382,'Pricing Sheet'!A:A,'Pricing Sheet'!B:B,'Pricing Sheet'!$B$6),IF(I382="Corporate",_xlfn.XLOOKUP(J382,'Pricing Sheet'!F:F,'Pricing Sheet'!G:G,'Pricing Sheet'!$G$6),0))</f>
        <v>#N/A</v>
      </c>
      <c r="M382" t="str">
        <f t="shared" si="12"/>
        <v>OK</v>
      </c>
      <c r="N382" t="str">
        <f t="shared" si="13"/>
        <v>OK</v>
      </c>
    </row>
    <row r="383" spans="1:14">
      <c r="A383">
        <f>'Input 2 - Transactions'!A385</f>
        <v>0</v>
      </c>
      <c r="B383">
        <f>'Input 2 - Transactions'!B385</f>
        <v>0</v>
      </c>
      <c r="C383">
        <f>'Input 2 - Transactions'!C385</f>
        <v>0</v>
      </c>
      <c r="D383">
        <f>'Input 2 - Transactions'!D385</f>
        <v>0</v>
      </c>
      <c r="E383">
        <f>'Input 2 - Transactions'!E385</f>
        <v>0</v>
      </c>
      <c r="F383" s="29">
        <f>'Input 2 - Transactions'!F385</f>
        <v>0</v>
      </c>
      <c r="G383" s="29">
        <f>'Input 2 - Transactions'!G385</f>
        <v>0</v>
      </c>
      <c r="H383" t="e">
        <f>_xlfn.XLOOKUP(A383,'DB - Identities'!U:U,'DB - Identities'!B:B)</f>
        <v>#N/A</v>
      </c>
      <c r="I383" t="e">
        <f>_xlfn.XLOOKUP(H383,c_parties,'DB - Contracting Parties'!C:C)</f>
        <v>#N/A</v>
      </c>
      <c r="J383" t="e">
        <f>_xlfn.XLOOKUP(A383,'DB - Identities'!U:U,'DB - Identities'!Q:Q)</f>
        <v>#N/A</v>
      </c>
      <c r="K383" t="e">
        <f>_xlfn.XLOOKUP(D383,Static!J:J,Static!K:K)</f>
        <v>#N/A</v>
      </c>
      <c r="L383" t="e">
        <f>IF(I383="Bank",_xlfn.XLOOKUP(J383,'Pricing Sheet'!A:A,'Pricing Sheet'!B:B,'Pricing Sheet'!$B$6),IF(I383="Corporate",_xlfn.XLOOKUP(J383,'Pricing Sheet'!F:F,'Pricing Sheet'!G:G,'Pricing Sheet'!$G$6),0))</f>
        <v>#N/A</v>
      </c>
      <c r="M383" t="str">
        <f t="shared" si="12"/>
        <v>OK</v>
      </c>
      <c r="N383" t="str">
        <f t="shared" si="13"/>
        <v>OK</v>
      </c>
    </row>
    <row r="384" spans="1:14">
      <c r="A384">
        <f>'Input 2 - Transactions'!A386</f>
        <v>0</v>
      </c>
      <c r="B384">
        <f>'Input 2 - Transactions'!B386</f>
        <v>0</v>
      </c>
      <c r="C384">
        <f>'Input 2 - Transactions'!C386</f>
        <v>0</v>
      </c>
      <c r="D384">
        <f>'Input 2 - Transactions'!D386</f>
        <v>0</v>
      </c>
      <c r="E384">
        <f>'Input 2 - Transactions'!E386</f>
        <v>0</v>
      </c>
      <c r="F384" s="29">
        <f>'Input 2 - Transactions'!F386</f>
        <v>0</v>
      </c>
      <c r="G384" s="29">
        <f>'Input 2 - Transactions'!G386</f>
        <v>0</v>
      </c>
      <c r="H384" t="e">
        <f>_xlfn.XLOOKUP(A384,'DB - Identities'!U:U,'DB - Identities'!B:B)</f>
        <v>#N/A</v>
      </c>
      <c r="I384" t="e">
        <f>_xlfn.XLOOKUP(H384,c_parties,'DB - Contracting Parties'!C:C)</f>
        <v>#N/A</v>
      </c>
      <c r="J384" t="e">
        <f>_xlfn.XLOOKUP(A384,'DB - Identities'!U:U,'DB - Identities'!Q:Q)</f>
        <v>#N/A</v>
      </c>
      <c r="K384" t="e">
        <f>_xlfn.XLOOKUP(D384,Static!J:J,Static!K:K)</f>
        <v>#N/A</v>
      </c>
      <c r="L384" t="e">
        <f>IF(I384="Bank",_xlfn.XLOOKUP(J384,'Pricing Sheet'!A:A,'Pricing Sheet'!B:B,'Pricing Sheet'!$B$6),IF(I384="Corporate",_xlfn.XLOOKUP(J384,'Pricing Sheet'!F:F,'Pricing Sheet'!G:G,'Pricing Sheet'!$G$6),0))</f>
        <v>#N/A</v>
      </c>
      <c r="M384" t="str">
        <f t="shared" si="12"/>
        <v>OK</v>
      </c>
      <c r="N384" t="str">
        <f t="shared" si="13"/>
        <v>OK</v>
      </c>
    </row>
    <row r="385" spans="1:14">
      <c r="A385">
        <f>'Input 2 - Transactions'!A387</f>
        <v>0</v>
      </c>
      <c r="B385">
        <f>'Input 2 - Transactions'!B387</f>
        <v>0</v>
      </c>
      <c r="C385">
        <f>'Input 2 - Transactions'!C387</f>
        <v>0</v>
      </c>
      <c r="D385">
        <f>'Input 2 - Transactions'!D387</f>
        <v>0</v>
      </c>
      <c r="E385">
        <f>'Input 2 - Transactions'!E387</f>
        <v>0</v>
      </c>
      <c r="F385" s="29">
        <f>'Input 2 - Transactions'!F387</f>
        <v>0</v>
      </c>
      <c r="G385" s="29">
        <f>'Input 2 - Transactions'!G387</f>
        <v>0</v>
      </c>
      <c r="H385" t="e">
        <f>_xlfn.XLOOKUP(A385,'DB - Identities'!U:U,'DB - Identities'!B:B)</f>
        <v>#N/A</v>
      </c>
      <c r="I385" t="e">
        <f>_xlfn.XLOOKUP(H385,c_parties,'DB - Contracting Parties'!C:C)</f>
        <v>#N/A</v>
      </c>
      <c r="J385" t="e">
        <f>_xlfn.XLOOKUP(A385,'DB - Identities'!U:U,'DB - Identities'!Q:Q)</f>
        <v>#N/A</v>
      </c>
      <c r="K385" t="e">
        <f>_xlfn.XLOOKUP(D385,Static!J:J,Static!K:K)</f>
        <v>#N/A</v>
      </c>
      <c r="L385" t="e">
        <f>IF(I385="Bank",_xlfn.XLOOKUP(J385,'Pricing Sheet'!A:A,'Pricing Sheet'!B:B,'Pricing Sheet'!$B$6),IF(I385="Corporate",_xlfn.XLOOKUP(J385,'Pricing Sheet'!F:F,'Pricing Sheet'!G:G,'Pricing Sheet'!$G$6),0))</f>
        <v>#N/A</v>
      </c>
      <c r="M385" t="str">
        <f t="shared" ref="M385:M398" si="14">IF(AND(A385&lt;&gt;0,ISNA(H385)),"ERROR", "OK")</f>
        <v>OK</v>
      </c>
      <c r="N385" t="str">
        <f t="shared" ref="N385:N398" si="15">IF(AND(A385&lt;&gt;0,ISNA(J385)),"ERROR", "OK")</f>
        <v>OK</v>
      </c>
    </row>
    <row r="386" spans="1:14">
      <c r="A386">
        <f>'Input 2 - Transactions'!A388</f>
        <v>0</v>
      </c>
      <c r="B386">
        <f>'Input 2 - Transactions'!B388</f>
        <v>0</v>
      </c>
      <c r="C386">
        <f>'Input 2 - Transactions'!C388</f>
        <v>0</v>
      </c>
      <c r="D386">
        <f>'Input 2 - Transactions'!D388</f>
        <v>0</v>
      </c>
      <c r="E386">
        <f>'Input 2 - Transactions'!E388</f>
        <v>0</v>
      </c>
      <c r="F386" s="29">
        <f>'Input 2 - Transactions'!F388</f>
        <v>0</v>
      </c>
      <c r="G386" s="29">
        <f>'Input 2 - Transactions'!G388</f>
        <v>0</v>
      </c>
      <c r="H386" t="e">
        <f>_xlfn.XLOOKUP(A386,'DB - Identities'!U:U,'DB - Identities'!B:B)</f>
        <v>#N/A</v>
      </c>
      <c r="I386" t="e">
        <f>_xlfn.XLOOKUP(H386,c_parties,'DB - Contracting Parties'!C:C)</f>
        <v>#N/A</v>
      </c>
      <c r="J386" t="e">
        <f>_xlfn.XLOOKUP(A386,'DB - Identities'!U:U,'DB - Identities'!Q:Q)</f>
        <v>#N/A</v>
      </c>
      <c r="K386" t="e">
        <f>_xlfn.XLOOKUP(D386,Static!J:J,Static!K:K)</f>
        <v>#N/A</v>
      </c>
      <c r="L386" t="e">
        <f>IF(I386="Bank",_xlfn.XLOOKUP(J386,'Pricing Sheet'!A:A,'Pricing Sheet'!B:B,'Pricing Sheet'!$B$6),IF(I386="Corporate",_xlfn.XLOOKUP(J386,'Pricing Sheet'!F:F,'Pricing Sheet'!G:G,'Pricing Sheet'!$G$6),0))</f>
        <v>#N/A</v>
      </c>
      <c r="M386" t="str">
        <f t="shared" si="14"/>
        <v>OK</v>
      </c>
      <c r="N386" t="str">
        <f t="shared" si="15"/>
        <v>OK</v>
      </c>
    </row>
    <row r="387" spans="1:14">
      <c r="A387">
        <f>'Input 2 - Transactions'!A389</f>
        <v>0</v>
      </c>
      <c r="B387">
        <f>'Input 2 - Transactions'!B389</f>
        <v>0</v>
      </c>
      <c r="C387">
        <f>'Input 2 - Transactions'!C389</f>
        <v>0</v>
      </c>
      <c r="D387">
        <f>'Input 2 - Transactions'!D389</f>
        <v>0</v>
      </c>
      <c r="E387">
        <f>'Input 2 - Transactions'!E389</f>
        <v>0</v>
      </c>
      <c r="F387" s="29">
        <f>'Input 2 - Transactions'!F389</f>
        <v>0</v>
      </c>
      <c r="G387" s="29">
        <f>'Input 2 - Transactions'!G389</f>
        <v>0</v>
      </c>
      <c r="H387" t="e">
        <f>_xlfn.XLOOKUP(A387,'DB - Identities'!U:U,'DB - Identities'!B:B)</f>
        <v>#N/A</v>
      </c>
      <c r="I387" t="e">
        <f>_xlfn.XLOOKUP(H387,c_parties,'DB - Contracting Parties'!C:C)</f>
        <v>#N/A</v>
      </c>
      <c r="J387" t="e">
        <f>_xlfn.XLOOKUP(A387,'DB - Identities'!U:U,'DB - Identities'!Q:Q)</f>
        <v>#N/A</v>
      </c>
      <c r="K387" t="e">
        <f>_xlfn.XLOOKUP(D387,Static!J:J,Static!K:K)</f>
        <v>#N/A</v>
      </c>
      <c r="L387" t="e">
        <f>IF(I387="Bank",_xlfn.XLOOKUP(J387,'Pricing Sheet'!A:A,'Pricing Sheet'!B:B,'Pricing Sheet'!$B$6),IF(I387="Corporate",_xlfn.XLOOKUP(J387,'Pricing Sheet'!F:F,'Pricing Sheet'!G:G,'Pricing Sheet'!$G$6),0))</f>
        <v>#N/A</v>
      </c>
      <c r="M387" t="str">
        <f t="shared" si="14"/>
        <v>OK</v>
      </c>
      <c r="N387" t="str">
        <f t="shared" si="15"/>
        <v>OK</v>
      </c>
    </row>
    <row r="388" spans="1:14">
      <c r="A388">
        <f>'Input 2 - Transactions'!A390</f>
        <v>0</v>
      </c>
      <c r="B388">
        <f>'Input 2 - Transactions'!B390</f>
        <v>0</v>
      </c>
      <c r="C388">
        <f>'Input 2 - Transactions'!C390</f>
        <v>0</v>
      </c>
      <c r="D388">
        <f>'Input 2 - Transactions'!D390</f>
        <v>0</v>
      </c>
      <c r="E388">
        <f>'Input 2 - Transactions'!E390</f>
        <v>0</v>
      </c>
      <c r="F388" s="29">
        <f>'Input 2 - Transactions'!F390</f>
        <v>0</v>
      </c>
      <c r="G388" s="29">
        <f>'Input 2 - Transactions'!G390</f>
        <v>0</v>
      </c>
      <c r="H388" t="e">
        <f>_xlfn.XLOOKUP(A388,'DB - Identities'!U:U,'DB - Identities'!B:B)</f>
        <v>#N/A</v>
      </c>
      <c r="I388" t="e">
        <f>_xlfn.XLOOKUP(H388,c_parties,'DB - Contracting Parties'!C:C)</f>
        <v>#N/A</v>
      </c>
      <c r="J388" t="e">
        <f>_xlfn.XLOOKUP(A388,'DB - Identities'!U:U,'DB - Identities'!Q:Q)</f>
        <v>#N/A</v>
      </c>
      <c r="K388" t="e">
        <f>_xlfn.XLOOKUP(D388,Static!J:J,Static!K:K)</f>
        <v>#N/A</v>
      </c>
      <c r="L388" t="e">
        <f>IF(I388="Bank",_xlfn.XLOOKUP(J388,'Pricing Sheet'!A:A,'Pricing Sheet'!B:B,'Pricing Sheet'!$B$6),IF(I388="Corporate",_xlfn.XLOOKUP(J388,'Pricing Sheet'!F:F,'Pricing Sheet'!G:G,'Pricing Sheet'!$G$6),0))</f>
        <v>#N/A</v>
      </c>
      <c r="M388" t="str">
        <f t="shared" si="14"/>
        <v>OK</v>
      </c>
      <c r="N388" t="str">
        <f t="shared" si="15"/>
        <v>OK</v>
      </c>
    </row>
    <row r="389" spans="1:14">
      <c r="A389">
        <f>'Input 2 - Transactions'!A391</f>
        <v>0</v>
      </c>
      <c r="B389">
        <f>'Input 2 - Transactions'!B391</f>
        <v>0</v>
      </c>
      <c r="C389">
        <f>'Input 2 - Transactions'!C391</f>
        <v>0</v>
      </c>
      <c r="D389">
        <f>'Input 2 - Transactions'!D391</f>
        <v>0</v>
      </c>
      <c r="E389">
        <f>'Input 2 - Transactions'!E391</f>
        <v>0</v>
      </c>
      <c r="F389" s="29">
        <f>'Input 2 - Transactions'!F391</f>
        <v>0</v>
      </c>
      <c r="G389" s="29">
        <f>'Input 2 - Transactions'!G391</f>
        <v>0</v>
      </c>
      <c r="H389" t="e">
        <f>_xlfn.XLOOKUP(A389,'DB - Identities'!U:U,'DB - Identities'!B:B)</f>
        <v>#N/A</v>
      </c>
      <c r="I389" t="e">
        <f>_xlfn.XLOOKUP(H389,c_parties,'DB - Contracting Parties'!C:C)</f>
        <v>#N/A</v>
      </c>
      <c r="J389" t="e">
        <f>_xlfn.XLOOKUP(A389,'DB - Identities'!U:U,'DB - Identities'!Q:Q)</f>
        <v>#N/A</v>
      </c>
      <c r="K389" t="e">
        <f>_xlfn.XLOOKUP(D389,Static!J:J,Static!K:K)</f>
        <v>#N/A</v>
      </c>
      <c r="L389" t="e">
        <f>IF(I389="Bank",_xlfn.XLOOKUP(J389,'Pricing Sheet'!A:A,'Pricing Sheet'!B:B,'Pricing Sheet'!$B$6),IF(I389="Corporate",_xlfn.XLOOKUP(J389,'Pricing Sheet'!F:F,'Pricing Sheet'!G:G,'Pricing Sheet'!$G$6),0))</f>
        <v>#N/A</v>
      </c>
      <c r="M389" t="str">
        <f t="shared" si="14"/>
        <v>OK</v>
      </c>
      <c r="N389" t="str">
        <f t="shared" si="15"/>
        <v>OK</v>
      </c>
    </row>
    <row r="390" spans="1:14">
      <c r="A390">
        <f>'Input 2 - Transactions'!A392</f>
        <v>0</v>
      </c>
      <c r="B390">
        <f>'Input 2 - Transactions'!B392</f>
        <v>0</v>
      </c>
      <c r="C390">
        <f>'Input 2 - Transactions'!C392</f>
        <v>0</v>
      </c>
      <c r="D390">
        <f>'Input 2 - Transactions'!D392</f>
        <v>0</v>
      </c>
      <c r="E390">
        <f>'Input 2 - Transactions'!E392</f>
        <v>0</v>
      </c>
      <c r="F390" s="29">
        <f>'Input 2 - Transactions'!F392</f>
        <v>0</v>
      </c>
      <c r="G390" s="29">
        <f>'Input 2 - Transactions'!G392</f>
        <v>0</v>
      </c>
      <c r="H390" t="e">
        <f>_xlfn.XLOOKUP(A390,'DB - Identities'!U:U,'DB - Identities'!B:B)</f>
        <v>#N/A</v>
      </c>
      <c r="I390" t="e">
        <f>_xlfn.XLOOKUP(H390,c_parties,'DB - Contracting Parties'!C:C)</f>
        <v>#N/A</v>
      </c>
      <c r="J390" t="e">
        <f>_xlfn.XLOOKUP(A390,'DB - Identities'!U:U,'DB - Identities'!Q:Q)</f>
        <v>#N/A</v>
      </c>
      <c r="K390" t="e">
        <f>_xlfn.XLOOKUP(D390,Static!J:J,Static!K:K)</f>
        <v>#N/A</v>
      </c>
      <c r="L390" t="e">
        <f>IF(I390="Bank",_xlfn.XLOOKUP(J390,'Pricing Sheet'!A:A,'Pricing Sheet'!B:B,'Pricing Sheet'!$B$6),IF(I390="Corporate",_xlfn.XLOOKUP(J390,'Pricing Sheet'!F:F,'Pricing Sheet'!G:G,'Pricing Sheet'!$G$6),0))</f>
        <v>#N/A</v>
      </c>
      <c r="M390" t="str">
        <f t="shared" si="14"/>
        <v>OK</v>
      </c>
      <c r="N390" t="str">
        <f t="shared" si="15"/>
        <v>OK</v>
      </c>
    </row>
    <row r="391" spans="1:14">
      <c r="A391">
        <f>'Input 2 - Transactions'!A393</f>
        <v>0</v>
      </c>
      <c r="B391">
        <f>'Input 2 - Transactions'!B393</f>
        <v>0</v>
      </c>
      <c r="C391">
        <f>'Input 2 - Transactions'!C393</f>
        <v>0</v>
      </c>
      <c r="D391">
        <f>'Input 2 - Transactions'!D393</f>
        <v>0</v>
      </c>
      <c r="E391">
        <f>'Input 2 - Transactions'!E393</f>
        <v>0</v>
      </c>
      <c r="F391" s="29">
        <f>'Input 2 - Transactions'!F393</f>
        <v>0</v>
      </c>
      <c r="G391" s="29">
        <f>'Input 2 - Transactions'!G393</f>
        <v>0</v>
      </c>
      <c r="H391" t="e">
        <f>_xlfn.XLOOKUP(A391,'DB - Identities'!U:U,'DB - Identities'!B:B)</f>
        <v>#N/A</v>
      </c>
      <c r="I391" t="e">
        <f>_xlfn.XLOOKUP(H391,c_parties,'DB - Contracting Parties'!C:C)</f>
        <v>#N/A</v>
      </c>
      <c r="J391" t="e">
        <f>_xlfn.XLOOKUP(A391,'DB - Identities'!U:U,'DB - Identities'!Q:Q)</f>
        <v>#N/A</v>
      </c>
      <c r="K391" t="e">
        <f>_xlfn.XLOOKUP(D391,Static!J:J,Static!K:K)</f>
        <v>#N/A</v>
      </c>
      <c r="L391" t="e">
        <f>IF(I391="Bank",_xlfn.XLOOKUP(J391,'Pricing Sheet'!A:A,'Pricing Sheet'!B:B,'Pricing Sheet'!$B$6),IF(I391="Corporate",_xlfn.XLOOKUP(J391,'Pricing Sheet'!F:F,'Pricing Sheet'!G:G,'Pricing Sheet'!$G$6),0))</f>
        <v>#N/A</v>
      </c>
      <c r="M391" t="str">
        <f t="shared" si="14"/>
        <v>OK</v>
      </c>
      <c r="N391" t="str">
        <f t="shared" si="15"/>
        <v>OK</v>
      </c>
    </row>
    <row r="392" spans="1:14">
      <c r="A392">
        <f>'Input 2 - Transactions'!A394</f>
        <v>0</v>
      </c>
      <c r="B392">
        <f>'Input 2 - Transactions'!B394</f>
        <v>0</v>
      </c>
      <c r="C392">
        <f>'Input 2 - Transactions'!C394</f>
        <v>0</v>
      </c>
      <c r="D392">
        <f>'Input 2 - Transactions'!D394</f>
        <v>0</v>
      </c>
      <c r="E392">
        <f>'Input 2 - Transactions'!E394</f>
        <v>0</v>
      </c>
      <c r="F392" s="29">
        <f>'Input 2 - Transactions'!F394</f>
        <v>0</v>
      </c>
      <c r="G392" s="29">
        <f>'Input 2 - Transactions'!G394</f>
        <v>0</v>
      </c>
      <c r="H392" t="e">
        <f>_xlfn.XLOOKUP(A392,'DB - Identities'!U:U,'DB - Identities'!B:B)</f>
        <v>#N/A</v>
      </c>
      <c r="I392" t="e">
        <f>_xlfn.XLOOKUP(H392,c_parties,'DB - Contracting Parties'!C:C)</f>
        <v>#N/A</v>
      </c>
      <c r="J392" t="e">
        <f>_xlfn.XLOOKUP(A392,'DB - Identities'!U:U,'DB - Identities'!Q:Q)</f>
        <v>#N/A</v>
      </c>
      <c r="K392" t="e">
        <f>_xlfn.XLOOKUP(D392,Static!J:J,Static!K:K)</f>
        <v>#N/A</v>
      </c>
      <c r="L392" t="e">
        <f>IF(I392="Bank",_xlfn.XLOOKUP(J392,'Pricing Sheet'!A:A,'Pricing Sheet'!B:B,'Pricing Sheet'!$B$6),IF(I392="Corporate",_xlfn.XLOOKUP(J392,'Pricing Sheet'!F:F,'Pricing Sheet'!G:G,'Pricing Sheet'!$G$6),0))</f>
        <v>#N/A</v>
      </c>
      <c r="M392" t="str">
        <f t="shared" si="14"/>
        <v>OK</v>
      </c>
      <c r="N392" t="str">
        <f t="shared" si="15"/>
        <v>OK</v>
      </c>
    </row>
    <row r="393" spans="1:14">
      <c r="A393">
        <f>'Input 2 - Transactions'!A395</f>
        <v>0</v>
      </c>
      <c r="B393">
        <f>'Input 2 - Transactions'!B395</f>
        <v>0</v>
      </c>
      <c r="C393">
        <f>'Input 2 - Transactions'!C395</f>
        <v>0</v>
      </c>
      <c r="D393">
        <f>'Input 2 - Transactions'!D395</f>
        <v>0</v>
      </c>
      <c r="E393">
        <f>'Input 2 - Transactions'!E395</f>
        <v>0</v>
      </c>
      <c r="F393" s="29">
        <f>'Input 2 - Transactions'!F395</f>
        <v>0</v>
      </c>
      <c r="G393" s="29">
        <f>'Input 2 - Transactions'!G395</f>
        <v>0</v>
      </c>
      <c r="H393" t="e">
        <f>_xlfn.XLOOKUP(A393,'DB - Identities'!U:U,'DB - Identities'!B:B)</f>
        <v>#N/A</v>
      </c>
      <c r="I393" t="e">
        <f>_xlfn.XLOOKUP(H393,c_parties,'DB - Contracting Parties'!C:C)</f>
        <v>#N/A</v>
      </c>
      <c r="J393" t="e">
        <f>_xlfn.XLOOKUP(A393,'DB - Identities'!U:U,'DB - Identities'!Q:Q)</f>
        <v>#N/A</v>
      </c>
      <c r="K393" t="e">
        <f>_xlfn.XLOOKUP(D393,Static!J:J,Static!K:K)</f>
        <v>#N/A</v>
      </c>
      <c r="L393" t="e">
        <f>IF(I393="Bank",_xlfn.XLOOKUP(J393,'Pricing Sheet'!A:A,'Pricing Sheet'!B:B,'Pricing Sheet'!$B$6),IF(I393="Corporate",_xlfn.XLOOKUP(J393,'Pricing Sheet'!F:F,'Pricing Sheet'!G:G,'Pricing Sheet'!$G$6),0))</f>
        <v>#N/A</v>
      </c>
      <c r="M393" t="str">
        <f t="shared" si="14"/>
        <v>OK</v>
      </c>
      <c r="N393" t="str">
        <f t="shared" si="15"/>
        <v>OK</v>
      </c>
    </row>
    <row r="394" spans="1:14">
      <c r="A394">
        <f>'Input 2 - Transactions'!A396</f>
        <v>0</v>
      </c>
      <c r="B394">
        <f>'Input 2 - Transactions'!B396</f>
        <v>0</v>
      </c>
      <c r="C394">
        <f>'Input 2 - Transactions'!C396</f>
        <v>0</v>
      </c>
      <c r="D394">
        <f>'Input 2 - Transactions'!D396</f>
        <v>0</v>
      </c>
      <c r="E394">
        <f>'Input 2 - Transactions'!E396</f>
        <v>0</v>
      </c>
      <c r="F394" s="29">
        <f>'Input 2 - Transactions'!F396</f>
        <v>0</v>
      </c>
      <c r="G394" s="29">
        <f>'Input 2 - Transactions'!G396</f>
        <v>0</v>
      </c>
      <c r="H394" t="e">
        <f>_xlfn.XLOOKUP(A394,'DB - Identities'!U:U,'DB - Identities'!B:B)</f>
        <v>#N/A</v>
      </c>
      <c r="I394" t="e">
        <f>_xlfn.XLOOKUP(H394,c_parties,'DB - Contracting Parties'!C:C)</f>
        <v>#N/A</v>
      </c>
      <c r="J394" t="e">
        <f>_xlfn.XLOOKUP(A394,'DB - Identities'!U:U,'DB - Identities'!Q:Q)</f>
        <v>#N/A</v>
      </c>
      <c r="K394" t="e">
        <f>_xlfn.XLOOKUP(D394,Static!J:J,Static!K:K)</f>
        <v>#N/A</v>
      </c>
      <c r="L394" t="e">
        <f>IF(I394="Bank",_xlfn.XLOOKUP(J394,'Pricing Sheet'!A:A,'Pricing Sheet'!B:B,'Pricing Sheet'!$B$6),IF(I394="Corporate",_xlfn.XLOOKUP(J394,'Pricing Sheet'!F:F,'Pricing Sheet'!G:G,'Pricing Sheet'!$G$6),0))</f>
        <v>#N/A</v>
      </c>
      <c r="M394" t="str">
        <f t="shared" si="14"/>
        <v>OK</v>
      </c>
      <c r="N394" t="str">
        <f t="shared" si="15"/>
        <v>OK</v>
      </c>
    </row>
    <row r="395" spans="1:14">
      <c r="A395">
        <f>'Input 2 - Transactions'!A397</f>
        <v>0</v>
      </c>
      <c r="B395">
        <f>'Input 2 - Transactions'!B397</f>
        <v>0</v>
      </c>
      <c r="C395">
        <f>'Input 2 - Transactions'!C397</f>
        <v>0</v>
      </c>
      <c r="D395">
        <f>'Input 2 - Transactions'!D397</f>
        <v>0</v>
      </c>
      <c r="E395">
        <f>'Input 2 - Transactions'!E397</f>
        <v>0</v>
      </c>
      <c r="F395" s="29">
        <f>'Input 2 - Transactions'!F397</f>
        <v>0</v>
      </c>
      <c r="G395" s="29">
        <f>'Input 2 - Transactions'!G397</f>
        <v>0</v>
      </c>
      <c r="H395" t="e">
        <f>_xlfn.XLOOKUP(A395,'DB - Identities'!U:U,'DB - Identities'!B:B)</f>
        <v>#N/A</v>
      </c>
      <c r="I395" t="e">
        <f>_xlfn.XLOOKUP(H395,c_parties,'DB - Contracting Parties'!C:C)</f>
        <v>#N/A</v>
      </c>
      <c r="J395" t="e">
        <f>_xlfn.XLOOKUP(A395,'DB - Identities'!U:U,'DB - Identities'!Q:Q)</f>
        <v>#N/A</v>
      </c>
      <c r="K395" t="e">
        <f>_xlfn.XLOOKUP(D395,Static!J:J,Static!K:K)</f>
        <v>#N/A</v>
      </c>
      <c r="L395" t="e">
        <f>IF(I395="Bank",_xlfn.XLOOKUP(J395,'Pricing Sheet'!A:A,'Pricing Sheet'!B:B,'Pricing Sheet'!$B$6),IF(I395="Corporate",_xlfn.XLOOKUP(J395,'Pricing Sheet'!F:F,'Pricing Sheet'!G:G,'Pricing Sheet'!$G$6),0))</f>
        <v>#N/A</v>
      </c>
      <c r="M395" t="str">
        <f t="shared" si="14"/>
        <v>OK</v>
      </c>
      <c r="N395" t="str">
        <f t="shared" si="15"/>
        <v>OK</v>
      </c>
    </row>
    <row r="396" spans="1:14">
      <c r="A396">
        <f>'Input 2 - Transactions'!A398</f>
        <v>0</v>
      </c>
      <c r="B396">
        <f>'Input 2 - Transactions'!B398</f>
        <v>0</v>
      </c>
      <c r="C396">
        <f>'Input 2 - Transactions'!C398</f>
        <v>0</v>
      </c>
      <c r="D396">
        <f>'Input 2 - Transactions'!D398</f>
        <v>0</v>
      </c>
      <c r="E396">
        <f>'Input 2 - Transactions'!E398</f>
        <v>0</v>
      </c>
      <c r="F396" s="29">
        <f>'Input 2 - Transactions'!F398</f>
        <v>0</v>
      </c>
      <c r="G396" s="29">
        <f>'Input 2 - Transactions'!G398</f>
        <v>0</v>
      </c>
      <c r="H396" t="e">
        <f>_xlfn.XLOOKUP(A396,'DB - Identities'!U:U,'DB - Identities'!B:B)</f>
        <v>#N/A</v>
      </c>
      <c r="I396" t="e">
        <f>_xlfn.XLOOKUP(H396,c_parties,'DB - Contracting Parties'!C:C)</f>
        <v>#N/A</v>
      </c>
      <c r="J396" t="e">
        <f>_xlfn.XLOOKUP(A396,'DB - Identities'!U:U,'DB - Identities'!Q:Q)</f>
        <v>#N/A</v>
      </c>
      <c r="K396" t="e">
        <f>_xlfn.XLOOKUP(D396,Static!J:J,Static!K:K)</f>
        <v>#N/A</v>
      </c>
      <c r="L396" t="e">
        <f>IF(I396="Bank",_xlfn.XLOOKUP(J396,'Pricing Sheet'!A:A,'Pricing Sheet'!B:B,'Pricing Sheet'!$B$6),IF(I396="Corporate",_xlfn.XLOOKUP(J396,'Pricing Sheet'!F:F,'Pricing Sheet'!G:G,'Pricing Sheet'!$G$6),0))</f>
        <v>#N/A</v>
      </c>
      <c r="M396" t="str">
        <f t="shared" si="14"/>
        <v>OK</v>
      </c>
      <c r="N396" t="str">
        <f t="shared" si="15"/>
        <v>OK</v>
      </c>
    </row>
    <row r="397" spans="1:14">
      <c r="A397">
        <f>'Input 2 - Transactions'!A399</f>
        <v>0</v>
      </c>
      <c r="B397">
        <f>'Input 2 - Transactions'!B399</f>
        <v>0</v>
      </c>
      <c r="C397">
        <f>'Input 2 - Transactions'!C399</f>
        <v>0</v>
      </c>
      <c r="D397">
        <f>'Input 2 - Transactions'!D399</f>
        <v>0</v>
      </c>
      <c r="E397">
        <f>'Input 2 - Transactions'!E399</f>
        <v>0</v>
      </c>
      <c r="F397" s="29">
        <f>'Input 2 - Transactions'!F399</f>
        <v>0</v>
      </c>
      <c r="G397" s="29">
        <f>'Input 2 - Transactions'!G399</f>
        <v>0</v>
      </c>
      <c r="H397" t="e">
        <f>_xlfn.XLOOKUP(A397,'DB - Identities'!U:U,'DB - Identities'!B:B)</f>
        <v>#N/A</v>
      </c>
      <c r="I397" t="e">
        <f>_xlfn.XLOOKUP(H397,c_parties,'DB - Contracting Parties'!C:C)</f>
        <v>#N/A</v>
      </c>
      <c r="J397" t="e">
        <f>_xlfn.XLOOKUP(A397,'DB - Identities'!U:U,'DB - Identities'!Q:Q)</f>
        <v>#N/A</v>
      </c>
      <c r="K397" t="e">
        <f>_xlfn.XLOOKUP(D397,Static!J:J,Static!K:K)</f>
        <v>#N/A</v>
      </c>
      <c r="L397" t="e">
        <f>IF(I397="Bank",_xlfn.XLOOKUP(J397,'Pricing Sheet'!A:A,'Pricing Sheet'!B:B,'Pricing Sheet'!$B$6),IF(I397="Corporate",_xlfn.XLOOKUP(J397,'Pricing Sheet'!F:F,'Pricing Sheet'!G:G,'Pricing Sheet'!$G$6),0))</f>
        <v>#N/A</v>
      </c>
      <c r="M397" t="str">
        <f t="shared" si="14"/>
        <v>OK</v>
      </c>
      <c r="N397" t="str">
        <f t="shared" si="15"/>
        <v>OK</v>
      </c>
    </row>
    <row r="398" spans="1:14">
      <c r="A398">
        <f>'Input 2 - Transactions'!A400</f>
        <v>0</v>
      </c>
      <c r="B398">
        <f>'Input 2 - Transactions'!B400</f>
        <v>0</v>
      </c>
      <c r="C398">
        <f>'Input 2 - Transactions'!C400</f>
        <v>0</v>
      </c>
      <c r="D398">
        <f>'Input 2 - Transactions'!D400</f>
        <v>0</v>
      </c>
      <c r="E398">
        <f>'Input 2 - Transactions'!E400</f>
        <v>0</v>
      </c>
      <c r="F398" s="29">
        <f>'Input 2 - Transactions'!F400</f>
        <v>0</v>
      </c>
      <c r="G398" s="29">
        <f>'Input 2 - Transactions'!G400</f>
        <v>0</v>
      </c>
      <c r="H398" t="e">
        <f>_xlfn.XLOOKUP(A398,'DB - Identities'!U:U,'DB - Identities'!B:B)</f>
        <v>#N/A</v>
      </c>
      <c r="I398" t="e">
        <f>_xlfn.XLOOKUP(H398,c_parties,'DB - Contracting Parties'!C:C)</f>
        <v>#N/A</v>
      </c>
      <c r="J398" t="e">
        <f>_xlfn.XLOOKUP(A398,'DB - Identities'!U:U,'DB - Identities'!Q:Q)</f>
        <v>#N/A</v>
      </c>
      <c r="K398" t="e">
        <f>_xlfn.XLOOKUP(D398,Static!J:J,Static!K:K)</f>
        <v>#N/A</v>
      </c>
      <c r="L398" t="e">
        <f>IF(I398="Bank",_xlfn.XLOOKUP(J398,'Pricing Sheet'!A:A,'Pricing Sheet'!B:B,'Pricing Sheet'!$B$6),IF(I398="Corporate",_xlfn.XLOOKUP(J398,'Pricing Sheet'!F:F,'Pricing Sheet'!G:G,'Pricing Sheet'!$G$6),0))</f>
        <v>#N/A</v>
      </c>
      <c r="M398" t="str">
        <f t="shared" si="14"/>
        <v>OK</v>
      </c>
      <c r="N398" t="str">
        <f t="shared" si="15"/>
        <v>OK</v>
      </c>
    </row>
    <row r="399" spans="1:14">
      <c r="A399">
        <f>'Input 2 - Transactions'!A401</f>
        <v>0</v>
      </c>
      <c r="B399">
        <f>'Input 2 - Transactions'!B401</f>
        <v>0</v>
      </c>
      <c r="C399">
        <f>'Input 2 - Transactions'!C401</f>
        <v>0</v>
      </c>
      <c r="D399">
        <f>'Input 2 - Transactions'!D401</f>
        <v>0</v>
      </c>
      <c r="E399">
        <f>'Input 2 - Transactions'!E401</f>
        <v>0</v>
      </c>
      <c r="F399" s="29">
        <f>'Input 2 - Transactions'!F401</f>
        <v>0</v>
      </c>
      <c r="G399" s="29">
        <f>'Input 2 - Transactions'!G401</f>
        <v>0</v>
      </c>
      <c r="H399" t="e">
        <f>_xlfn.XLOOKUP(A399,'DB - Identities'!U:U,'DB - Identities'!B:B)</f>
        <v>#N/A</v>
      </c>
      <c r="I399" t="e">
        <f>_xlfn.XLOOKUP(H399,c_parties,'DB - Contracting Parties'!C:C)</f>
        <v>#N/A</v>
      </c>
      <c r="J399" t="e">
        <f>_xlfn.XLOOKUP(A399,'DB - Identities'!U:U,'DB - Identities'!Q:Q)</f>
        <v>#N/A</v>
      </c>
      <c r="K399" t="e">
        <f>_xlfn.XLOOKUP(D399,Static!J:J,Static!K:K)</f>
        <v>#N/A</v>
      </c>
      <c r="L399" t="e">
        <f>IF(I399="Bank",_xlfn.XLOOKUP(J399,'Pricing Sheet'!A:A,'Pricing Sheet'!B:B,'Pricing Sheet'!$B$6),IF(I399="Corporate",_xlfn.XLOOKUP(J399,'Pricing Sheet'!F:F,'Pricing Sheet'!G:G,'Pricing Sheet'!$G$6),0))</f>
        <v>#N/A</v>
      </c>
      <c r="M399" t="str">
        <f t="shared" ref="M399:M400" si="16">IF(AND(A399&lt;&gt;0,ISNA(H399)),"ERROR", "OK")</f>
        <v>OK</v>
      </c>
      <c r="N399" t="str">
        <f t="shared" ref="N399:N400" si="17">IF(AND(A399&lt;&gt;0,ISNA(J399)),"ERROR", "OK")</f>
        <v>OK</v>
      </c>
    </row>
    <row r="400" spans="1:14">
      <c r="A400">
        <f>'Input 2 - Transactions'!A402</f>
        <v>0</v>
      </c>
      <c r="B400">
        <f>'Input 2 - Transactions'!B402</f>
        <v>0</v>
      </c>
      <c r="C400">
        <f>'Input 2 - Transactions'!C402</f>
        <v>0</v>
      </c>
      <c r="D400">
        <f>'Input 2 - Transactions'!D402</f>
        <v>0</v>
      </c>
      <c r="E400">
        <f>'Input 2 - Transactions'!E402</f>
        <v>0</v>
      </c>
      <c r="F400" s="29">
        <f>'Input 2 - Transactions'!F402</f>
        <v>0</v>
      </c>
      <c r="G400" s="29">
        <f>'Input 2 - Transactions'!G402</f>
        <v>0</v>
      </c>
      <c r="H400" t="e">
        <f>_xlfn.XLOOKUP(A400,'DB - Identities'!U:U,'DB - Identities'!B:B)</f>
        <v>#N/A</v>
      </c>
      <c r="I400" t="e">
        <f>_xlfn.XLOOKUP(H400,c_parties,'DB - Contracting Parties'!C:C)</f>
        <v>#N/A</v>
      </c>
      <c r="J400" t="e">
        <f>_xlfn.XLOOKUP(A400,'DB - Identities'!U:U,'DB - Identities'!Q:Q)</f>
        <v>#N/A</v>
      </c>
      <c r="K400" t="e">
        <f>_xlfn.XLOOKUP(D400,Static!J:J,Static!K:K)</f>
        <v>#N/A</v>
      </c>
      <c r="L400" t="e">
        <f>IF(I400="Bank",_xlfn.XLOOKUP(J400,'Pricing Sheet'!A:A,'Pricing Sheet'!B:B,'Pricing Sheet'!$B$6),IF(I400="Corporate",_xlfn.XLOOKUP(J400,'Pricing Sheet'!F:F,'Pricing Sheet'!G:G,'Pricing Sheet'!$G$6),0))</f>
        <v>#N/A</v>
      </c>
      <c r="M400" t="str">
        <f t="shared" si="16"/>
        <v>OK</v>
      </c>
      <c r="N400" t="str">
        <f t="shared" si="17"/>
        <v>OK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F15B6-A5D3-C946-80F3-DFB3D72B2407}">
  <sheetPr codeName="Sheet8">
    <pageSetUpPr fitToPage="1"/>
  </sheetPr>
  <dimension ref="A2:P212"/>
  <sheetViews>
    <sheetView workbookViewId="0">
      <selection activeCell="C11" sqref="C11"/>
    </sheetView>
  </sheetViews>
  <sheetFormatPr baseColWidth="10" defaultColWidth="10.5" defaultRowHeight="16"/>
  <cols>
    <col min="1" max="1" width="23" style="43" customWidth="1"/>
    <col min="2" max="2" width="11.5" style="43" customWidth="1"/>
    <col min="3" max="3" width="26.5" customWidth="1"/>
    <col min="4" max="4" width="22.5" customWidth="1"/>
    <col min="5" max="5" width="19" customWidth="1"/>
    <col min="6" max="6" width="16.5" customWidth="1"/>
    <col min="7" max="7" width="2.5" customWidth="1"/>
    <col min="9" max="9" width="14" customWidth="1"/>
    <col min="11" max="11" width="13" customWidth="1"/>
  </cols>
  <sheetData>
    <row r="2" spans="1:16" ht="77.25" customHeight="1">
      <c r="A2" s="82" t="s">
        <v>2110</v>
      </c>
      <c r="B2" s="46"/>
    </row>
    <row r="3" spans="1:16">
      <c r="A3" s="137" t="s">
        <v>2103</v>
      </c>
      <c r="B3" s="278" t="s">
        <v>425</v>
      </c>
      <c r="C3" s="279"/>
      <c r="D3" s="279"/>
      <c r="E3" s="136"/>
      <c r="F3" s="136"/>
    </row>
    <row r="4" spans="1:16">
      <c r="A4" s="137" t="s">
        <v>2111</v>
      </c>
      <c r="B4" s="278" t="str">
        <f>TEXT(_xlfn.XLOOKUP(I4,Static!F:F,Static!E:E), "dd-mmm-yy")&amp;" to "&amp;TEXT(I4,"dd-mmm-yy")</f>
        <v>01-Aug-21 to 31-Aug-21</v>
      </c>
      <c r="C4" s="279"/>
      <c r="D4" s="279"/>
      <c r="E4" s="136"/>
      <c r="F4" s="136"/>
      <c r="I4" s="135">
        <v>44439</v>
      </c>
      <c r="J4" s="28"/>
    </row>
    <row r="5" spans="1:16">
      <c r="A5" s="137" t="s">
        <v>2112</v>
      </c>
      <c r="B5" s="230">
        <f ca="1">COUNTIF(J9:J200,TRUE)</f>
        <v>0</v>
      </c>
      <c r="C5" s="136"/>
      <c r="D5" s="136"/>
      <c r="E5" s="136"/>
      <c r="F5" s="136"/>
    </row>
    <row r="6" spans="1:16">
      <c r="A6" s="230"/>
      <c r="B6" s="230"/>
      <c r="C6" s="136"/>
      <c r="D6" s="136"/>
      <c r="E6" s="136"/>
      <c r="F6" s="136"/>
    </row>
    <row r="7" spans="1:16" ht="21">
      <c r="A7" s="143" t="s">
        <v>2113</v>
      </c>
      <c r="B7" s="230"/>
      <c r="C7" s="136"/>
      <c r="D7" s="136"/>
      <c r="E7" s="136"/>
      <c r="F7" s="136"/>
    </row>
    <row r="8" spans="1:16">
      <c r="A8" s="137" t="s">
        <v>2114</v>
      </c>
      <c r="B8" s="230"/>
      <c r="C8" s="137" t="s">
        <v>2115</v>
      </c>
      <c r="D8" s="137" t="s">
        <v>2116</v>
      </c>
      <c r="E8" s="137" t="s">
        <v>2117</v>
      </c>
      <c r="F8" s="138" t="s">
        <v>2118</v>
      </c>
      <c r="G8" s="1"/>
      <c r="H8" s="282" t="s">
        <v>2119</v>
      </c>
      <c r="I8" s="282"/>
      <c r="J8" s="282"/>
      <c r="K8" s="282"/>
      <c r="L8" s="282"/>
      <c r="M8" s="282"/>
      <c r="N8" s="282"/>
      <c r="O8" s="282"/>
      <c r="P8" s="282"/>
    </row>
    <row r="9" spans="1:16">
      <c r="A9" s="279" t="str">
        <f ca="1">IF(J9,_xlfn.XLOOKUP(L9,'Billing Working'!G:G,'Billing Working'!B:B,"ERROR"),"")</f>
        <v/>
      </c>
      <c r="B9" s="279"/>
      <c r="C9" s="136" t="str">
        <f ca="1">IF(J9,LEFT(_xlfn.XLOOKUP(L9,'Billing Working'!G:G,'Billing Working'!F:F),10),"")</f>
        <v/>
      </c>
      <c r="D9" s="136" t="str">
        <f ca="1">IF(J9,LEFT(_xlfn.XLOOKUP(L9,'Billing Working'!G:G,'Billing Working'!E:E),16),"")</f>
        <v/>
      </c>
      <c r="E9" s="136" t="str">
        <f ca="1">IF(J9,_xlfn.XLOOKUP(L9,'Billing Working'!G:G,'Billing Working'!K:K),"")</f>
        <v/>
      </c>
      <c r="F9" s="139" t="str">
        <f ca="1">IF(J9,_xlfn.XLOOKUP(L9,'Billing Working'!G:G,'Billing Working'!L:L),"")</f>
        <v/>
      </c>
      <c r="H9" s="28"/>
      <c r="I9" s="28" t="e">
        <f>MATCH($B$3,'Billing Working'!$H$1:$H$498,0)</f>
        <v>#N/A</v>
      </c>
      <c r="J9" s="28" t="b">
        <f ca="1">_xlfn.IFNA(IF(K9=$B$3,TRUE,FALSE),FALSE)</f>
        <v>0</v>
      </c>
      <c r="K9" s="28" t="e">
        <f ca="1">_xlfn.XLOOKUP(L9,'Billing Working'!G:G,'Billing Working'!H:H)</f>
        <v>#N/A</v>
      </c>
      <c r="L9" s="28" t="e">
        <f ca="1">OFFSET('Billing Working'!$G$1,I9-1,0)</f>
        <v>#N/A</v>
      </c>
      <c r="M9" s="28"/>
      <c r="N9" s="28"/>
    </row>
    <row r="10" spans="1:16">
      <c r="A10" s="279" t="str">
        <f ca="1">IF(J10,_xlfn.XLOOKUP(L10,'Billing Working'!G:G,'Billing Working'!B:B,"ERROR"),"")</f>
        <v/>
      </c>
      <c r="B10" s="279"/>
      <c r="C10" s="136" t="str">
        <f ca="1">IF(J10,LEFT(_xlfn.XLOOKUP(L10,'Billing Working'!G:G,'Billing Working'!F:F),10),"")</f>
        <v/>
      </c>
      <c r="D10" s="136" t="str">
        <f ca="1">IF(J10,LEFT(_xlfn.XLOOKUP(L10,'Billing Working'!G:G,'Billing Working'!E:E),16),"")</f>
        <v/>
      </c>
      <c r="E10" s="136" t="str">
        <f ca="1">IF(J10,_xlfn.XLOOKUP(L10,'Billing Working'!G:G,'Billing Working'!K:K),"")</f>
        <v/>
      </c>
      <c r="F10" s="139" t="str">
        <f ca="1">IF(J10,_xlfn.XLOOKUP(L10,'Billing Working'!G:G,'Billing Working'!L:L),"")</f>
        <v/>
      </c>
      <c r="H10" s="28"/>
      <c r="I10" s="28" t="e">
        <f>MATCH($B$3,INDEX('Billing Working'!$H:$H,I9+1):'Billing Working'!$H$498,0)+I9</f>
        <v>#N/A</v>
      </c>
      <c r="J10" s="28" t="b">
        <f t="shared" ref="J10:J40" ca="1" si="0">_xlfn.IFNA(IF(K10=$B$3,TRUE,FALSE),FALSE)</f>
        <v>0</v>
      </c>
      <c r="K10" s="28" t="e">
        <f ca="1">_xlfn.XLOOKUP(L10,'Billing Working'!G:G,'Billing Working'!H:H)</f>
        <v>#N/A</v>
      </c>
      <c r="L10" s="28" t="e">
        <f ca="1">OFFSET('Billing Working'!$G$1,I10-1,0)</f>
        <v>#N/A</v>
      </c>
      <c r="M10" s="28"/>
      <c r="N10" s="28"/>
    </row>
    <row r="11" spans="1:16">
      <c r="A11" s="279" t="str">
        <f ca="1">IF(J11,_xlfn.XLOOKUP(L11,'Billing Working'!G:G,'Billing Working'!B:B,"ERROR"),"")</f>
        <v/>
      </c>
      <c r="B11" s="279"/>
      <c r="C11" s="136" t="str">
        <f ca="1">IF(J11,LEFT(_xlfn.XLOOKUP(L11,'Billing Working'!G:G,'Billing Working'!F:F),10),"")</f>
        <v/>
      </c>
      <c r="D11" s="136" t="str">
        <f ca="1">IF(J11,LEFT(_xlfn.XLOOKUP(L11,'Billing Working'!G:G,'Billing Working'!E:E),16),"")</f>
        <v/>
      </c>
      <c r="E11" s="136" t="str">
        <f ca="1">IF(J11,_xlfn.XLOOKUP(L11,'Billing Working'!G:G,'Billing Working'!K:K),"")</f>
        <v/>
      </c>
      <c r="F11" s="139" t="str">
        <f ca="1">IF(J11,_xlfn.XLOOKUP(L11,'Billing Working'!G:G,'Billing Working'!L:L),"")</f>
        <v/>
      </c>
      <c r="H11" s="28"/>
      <c r="I11" s="28" t="e">
        <f>MATCH($B$3,INDEX('Billing Working'!$H:$H,I10+1):'Billing Working'!$H$498,0)+I10</f>
        <v>#N/A</v>
      </c>
      <c r="J11" s="28" t="b">
        <f t="shared" ca="1" si="0"/>
        <v>0</v>
      </c>
      <c r="K11" s="28" t="e">
        <f ca="1">_xlfn.XLOOKUP(L11,'Billing Working'!G:G,'Billing Working'!H:H)</f>
        <v>#N/A</v>
      </c>
      <c r="L11" s="28" t="e">
        <f ca="1">OFFSET('Billing Working'!$G$1,I11-1,0)</f>
        <v>#N/A</v>
      </c>
      <c r="M11" s="28"/>
      <c r="N11" s="28"/>
    </row>
    <row r="12" spans="1:16">
      <c r="A12" s="279" t="str">
        <f ca="1">IF(J12,_xlfn.XLOOKUP(L12,'Billing Working'!G:G,'Billing Working'!B:B,"ERROR"),"")</f>
        <v/>
      </c>
      <c r="B12" s="279"/>
      <c r="C12" s="136" t="str">
        <f ca="1">IF(J12,LEFT(_xlfn.XLOOKUP(L12,'Billing Working'!G:G,'Billing Working'!F:F),10),"")</f>
        <v/>
      </c>
      <c r="D12" s="136" t="str">
        <f ca="1">IF(J12,LEFT(_xlfn.XLOOKUP(L12,'Billing Working'!G:G,'Billing Working'!E:E),16),"")</f>
        <v/>
      </c>
      <c r="E12" s="136" t="str">
        <f ca="1">IF(J12,_xlfn.XLOOKUP(L12,'Billing Working'!G:G,'Billing Working'!K:K),"")</f>
        <v/>
      </c>
      <c r="F12" s="139" t="str">
        <f ca="1">IF(J12,_xlfn.XLOOKUP(L12,'Billing Working'!G:G,'Billing Working'!L:L),"")</f>
        <v/>
      </c>
      <c r="H12" s="28"/>
      <c r="I12" s="28" t="e">
        <f>MATCH($B$3,INDEX('Billing Working'!$H:$H,I11+1):'Billing Working'!$H$498,0)+I11</f>
        <v>#N/A</v>
      </c>
      <c r="J12" s="28" t="b">
        <f t="shared" ca="1" si="0"/>
        <v>0</v>
      </c>
      <c r="K12" s="28" t="e">
        <f ca="1">_xlfn.XLOOKUP(L12,'Billing Working'!G:G,'Billing Working'!H:H)</f>
        <v>#N/A</v>
      </c>
      <c r="L12" s="28" t="e">
        <f ca="1">OFFSET('Billing Working'!$G$1,I12-1,0)</f>
        <v>#N/A</v>
      </c>
      <c r="M12" s="28"/>
      <c r="N12" s="28"/>
    </row>
    <row r="13" spans="1:16">
      <c r="A13" s="279" t="str">
        <f ca="1">IF(J13,_xlfn.XLOOKUP(L13,'Billing Working'!G:G,'Billing Working'!B:B,"ERROR"),"")</f>
        <v/>
      </c>
      <c r="B13" s="279"/>
      <c r="C13" s="136" t="str">
        <f ca="1">IF(J13,LEFT(_xlfn.XLOOKUP(L13,'Billing Working'!G:G,'Billing Working'!F:F),10),"")</f>
        <v/>
      </c>
      <c r="D13" s="136" t="str">
        <f ca="1">IF(J13,LEFT(_xlfn.XLOOKUP(L13,'Billing Working'!G:G,'Billing Working'!E:E),16),"")</f>
        <v/>
      </c>
      <c r="E13" s="136" t="str">
        <f ca="1">IF(J13,_xlfn.XLOOKUP(L13,'Billing Working'!G:G,'Billing Working'!K:K),"")</f>
        <v/>
      </c>
      <c r="F13" s="139" t="str">
        <f ca="1">IF(J13,_xlfn.XLOOKUP(L13,'Billing Working'!G:G,'Billing Working'!L:L),"")</f>
        <v/>
      </c>
      <c r="H13" s="28"/>
      <c r="I13" s="28" t="e">
        <f>MATCH($B$3,INDEX('Billing Working'!$H:$H,I12+1):'Billing Working'!$H$498,0)+I12</f>
        <v>#N/A</v>
      </c>
      <c r="J13" s="28" t="b">
        <f t="shared" ca="1" si="0"/>
        <v>0</v>
      </c>
      <c r="K13" s="28" t="e">
        <f ca="1">_xlfn.XLOOKUP(L13,'Billing Working'!G:G,'Billing Working'!H:H)</f>
        <v>#N/A</v>
      </c>
      <c r="L13" s="28" t="e">
        <f ca="1">OFFSET('Billing Working'!$G$1,I13-1,0)</f>
        <v>#N/A</v>
      </c>
      <c r="M13" s="28"/>
      <c r="N13" s="28"/>
    </row>
    <row r="14" spans="1:16">
      <c r="A14" s="279" t="str">
        <f ca="1">IF(J14,_xlfn.XLOOKUP(L14,'Billing Working'!G:G,'Billing Working'!B:B,"ERROR"),"")</f>
        <v/>
      </c>
      <c r="B14" s="279"/>
      <c r="C14" s="136" t="str">
        <f ca="1">IF(J14,LEFT(_xlfn.XLOOKUP(L14,'Billing Working'!G:G,'Billing Working'!F:F),10),"")</f>
        <v/>
      </c>
      <c r="D14" s="136" t="str">
        <f ca="1">IF(J14,LEFT(_xlfn.XLOOKUP(L14,'Billing Working'!G:G,'Billing Working'!E:E),16),"")</f>
        <v/>
      </c>
      <c r="E14" s="136" t="str">
        <f ca="1">IF(J14,_xlfn.XLOOKUP(L14,'Billing Working'!G:G,'Billing Working'!K:K),"")</f>
        <v/>
      </c>
      <c r="F14" s="139" t="str">
        <f ca="1">IF(J14,_xlfn.XLOOKUP(L14,'Billing Working'!G:G,'Billing Working'!L:L),"")</f>
        <v/>
      </c>
      <c r="H14" s="28"/>
      <c r="I14" s="28" t="e">
        <f>MATCH($B$3,INDEX('Billing Working'!$H:$H,I13+1):'Billing Working'!$H$498,0)+I13</f>
        <v>#N/A</v>
      </c>
      <c r="J14" s="28" t="b">
        <f t="shared" ca="1" si="0"/>
        <v>0</v>
      </c>
      <c r="K14" s="28" t="e">
        <f ca="1">_xlfn.XLOOKUP(L14,'Billing Working'!G:G,'Billing Working'!H:H)</f>
        <v>#N/A</v>
      </c>
      <c r="L14" s="28" t="e">
        <f ca="1">OFFSET('Billing Working'!$G$1,I14-1,0)</f>
        <v>#N/A</v>
      </c>
      <c r="M14" s="28"/>
      <c r="N14" s="28"/>
    </row>
    <row r="15" spans="1:16">
      <c r="A15" s="279" t="str">
        <f ca="1">IF(J15,_xlfn.XLOOKUP(L15,'Billing Working'!G:G,'Billing Working'!B:B,"ERROR"),"")</f>
        <v/>
      </c>
      <c r="B15" s="279"/>
      <c r="C15" s="136" t="str">
        <f ca="1">IF(J15,LEFT(_xlfn.XLOOKUP(L15,'Billing Working'!G:G,'Billing Working'!F:F),10),"")</f>
        <v/>
      </c>
      <c r="D15" s="136" t="str">
        <f ca="1">IF(J15,LEFT(_xlfn.XLOOKUP(L15,'Billing Working'!G:G,'Billing Working'!E:E),16),"")</f>
        <v/>
      </c>
      <c r="E15" s="136" t="str">
        <f ca="1">IF(J15,_xlfn.XLOOKUP(L15,'Billing Working'!G:G,'Billing Working'!K:K),"")</f>
        <v/>
      </c>
      <c r="F15" s="139" t="str">
        <f ca="1">IF(J15,_xlfn.XLOOKUP(L15,'Billing Working'!G:G,'Billing Working'!L:L),"")</f>
        <v/>
      </c>
      <c r="H15" s="28"/>
      <c r="I15" s="28" t="e">
        <f>MATCH($B$3,INDEX('Billing Working'!$H:$H,I14+1):'Billing Working'!$H$498,0)+I14</f>
        <v>#N/A</v>
      </c>
      <c r="J15" s="28" t="b">
        <f t="shared" ca="1" si="0"/>
        <v>0</v>
      </c>
      <c r="K15" s="28" t="e">
        <f ca="1">_xlfn.XLOOKUP(L15,'Billing Working'!G:G,'Billing Working'!H:H)</f>
        <v>#N/A</v>
      </c>
      <c r="L15" s="28" t="e">
        <f ca="1">OFFSET('Billing Working'!$G$1,I15-1,0)</f>
        <v>#N/A</v>
      </c>
      <c r="M15" s="28"/>
      <c r="N15" s="28"/>
    </row>
    <row r="16" spans="1:16">
      <c r="A16" s="279" t="str">
        <f ca="1">IF(J16,_xlfn.XLOOKUP(L16,'Billing Working'!G:G,'Billing Working'!B:B,"ERROR"),"")</f>
        <v/>
      </c>
      <c r="B16" s="279"/>
      <c r="C16" s="136" t="str">
        <f ca="1">IF(J16,LEFT(_xlfn.XLOOKUP(L16,'Billing Working'!G:G,'Billing Working'!F:F),10),"")</f>
        <v/>
      </c>
      <c r="D16" s="136" t="str">
        <f ca="1">IF(J16,LEFT(_xlfn.XLOOKUP(L16,'Billing Working'!G:G,'Billing Working'!E:E),16),"")</f>
        <v/>
      </c>
      <c r="E16" s="136" t="str">
        <f ca="1">IF(J16,_xlfn.XLOOKUP(L16,'Billing Working'!G:G,'Billing Working'!K:K),"")</f>
        <v/>
      </c>
      <c r="F16" s="139" t="str">
        <f ca="1">IF(J16,_xlfn.XLOOKUP(L16,'Billing Working'!G:G,'Billing Working'!L:L),"")</f>
        <v/>
      </c>
      <c r="H16" s="28"/>
      <c r="I16" s="28" t="e">
        <f>MATCH($B$3,INDEX('Billing Working'!$H:$H,I15+1):'Billing Working'!$H$498,0)+I15</f>
        <v>#N/A</v>
      </c>
      <c r="J16" s="28" t="b">
        <f t="shared" ca="1" si="0"/>
        <v>0</v>
      </c>
      <c r="K16" s="28" t="e">
        <f ca="1">_xlfn.XLOOKUP(L16,'Billing Working'!G:G,'Billing Working'!H:H)</f>
        <v>#N/A</v>
      </c>
      <c r="L16" s="28" t="e">
        <f ca="1">OFFSET('Billing Working'!$G$1,I16-1,0)</f>
        <v>#N/A</v>
      </c>
      <c r="M16" s="28"/>
      <c r="N16" s="28"/>
    </row>
    <row r="17" spans="1:14">
      <c r="A17" s="279" t="str">
        <f ca="1">IF(J17,_xlfn.XLOOKUP(L17,'Billing Working'!G:G,'Billing Working'!B:B,"ERROR"),"")</f>
        <v/>
      </c>
      <c r="B17" s="279"/>
      <c r="C17" s="136" t="str">
        <f ca="1">IF(J17,LEFT(_xlfn.XLOOKUP(L17,'Billing Working'!G:G,'Billing Working'!F:F),10),"")</f>
        <v/>
      </c>
      <c r="D17" s="136" t="str">
        <f ca="1">IF(J17,LEFT(_xlfn.XLOOKUP(L17,'Billing Working'!G:G,'Billing Working'!E:E),16),"")</f>
        <v/>
      </c>
      <c r="E17" s="136" t="str">
        <f ca="1">IF(J17,_xlfn.XLOOKUP(L17,'Billing Working'!G:G,'Billing Working'!K:K),"")</f>
        <v/>
      </c>
      <c r="F17" s="139" t="str">
        <f ca="1">IF(J17,_xlfn.XLOOKUP(L17,'Billing Working'!G:G,'Billing Working'!L:L),"")</f>
        <v/>
      </c>
      <c r="H17" s="28"/>
      <c r="I17" s="28" t="e">
        <f>MATCH($B$3,INDEX('Billing Working'!$H:$H,I16+1):'Billing Working'!$H$498,0)+I16</f>
        <v>#N/A</v>
      </c>
      <c r="J17" s="28" t="b">
        <f t="shared" ca="1" si="0"/>
        <v>0</v>
      </c>
      <c r="K17" s="28" t="e">
        <f ca="1">_xlfn.XLOOKUP(L17,'Billing Working'!G:G,'Billing Working'!H:H)</f>
        <v>#N/A</v>
      </c>
      <c r="L17" s="28" t="e">
        <f ca="1">OFFSET('Billing Working'!$G$1,I17-1,0)</f>
        <v>#N/A</v>
      </c>
      <c r="M17" s="28"/>
      <c r="N17" s="28"/>
    </row>
    <row r="18" spans="1:14">
      <c r="A18" s="279" t="str">
        <f ca="1">IF(J18,_xlfn.XLOOKUP(L18,'Billing Working'!G:G,'Billing Working'!B:B,"ERROR"),"")</f>
        <v/>
      </c>
      <c r="B18" s="279"/>
      <c r="C18" s="136" t="str">
        <f ca="1">IF(J18,LEFT(_xlfn.XLOOKUP(L18,'Billing Working'!G:G,'Billing Working'!F:F),10),"")</f>
        <v/>
      </c>
      <c r="D18" s="136" t="str">
        <f ca="1">IF(J18,LEFT(_xlfn.XLOOKUP(L18,'Billing Working'!G:G,'Billing Working'!E:E),16),"")</f>
        <v/>
      </c>
      <c r="E18" s="136" t="str">
        <f ca="1">IF(J18,_xlfn.XLOOKUP(L18,'Billing Working'!G:G,'Billing Working'!K:K),"")</f>
        <v/>
      </c>
      <c r="F18" s="139" t="str">
        <f ca="1">IF(J18,_xlfn.XLOOKUP(L18,'Billing Working'!G:G,'Billing Working'!L:L),"")</f>
        <v/>
      </c>
      <c r="H18" s="28"/>
      <c r="I18" s="28" t="e">
        <f>MATCH($B$3,INDEX('Billing Working'!$H:$H,I17+1):'Billing Working'!$H$498,0)+I17</f>
        <v>#N/A</v>
      </c>
      <c r="J18" s="28" t="b">
        <f t="shared" ca="1" si="0"/>
        <v>0</v>
      </c>
      <c r="K18" s="28" t="e">
        <f ca="1">_xlfn.XLOOKUP(L18,'Billing Working'!G:G,'Billing Working'!H:H)</f>
        <v>#N/A</v>
      </c>
      <c r="L18" s="28" t="e">
        <f ca="1">OFFSET('Billing Working'!$G$1,I18-1,0)</f>
        <v>#N/A</v>
      </c>
      <c r="M18" s="28"/>
      <c r="N18" s="28"/>
    </row>
    <row r="19" spans="1:14">
      <c r="A19" s="279" t="str">
        <f ca="1">IF(J19,_xlfn.XLOOKUP(L19,'Billing Working'!G:G,'Billing Working'!B:B,"ERROR"),"")</f>
        <v/>
      </c>
      <c r="B19" s="279"/>
      <c r="C19" s="136" t="str">
        <f ca="1">IF(J19,LEFT(_xlfn.XLOOKUP(L19,'Billing Working'!G:G,'Billing Working'!F:F),10),"")</f>
        <v/>
      </c>
      <c r="D19" s="136" t="str">
        <f ca="1">IF(J19,LEFT(_xlfn.XLOOKUP(L19,'Billing Working'!G:G,'Billing Working'!E:E),16),"")</f>
        <v/>
      </c>
      <c r="E19" s="136" t="str">
        <f ca="1">IF(J19,_xlfn.XLOOKUP(L19,'Billing Working'!G:G,'Billing Working'!K:K),"")</f>
        <v/>
      </c>
      <c r="F19" s="139" t="str">
        <f ca="1">IF(J19,_xlfn.XLOOKUP(L19,'Billing Working'!G:G,'Billing Working'!L:L),"")</f>
        <v/>
      </c>
      <c r="H19" s="28"/>
      <c r="I19" s="28" t="e">
        <f>MATCH($B$3,INDEX('Billing Working'!$H:$H,I18+1):'Billing Working'!$H$498,0)+I18</f>
        <v>#N/A</v>
      </c>
      <c r="J19" s="28" t="b">
        <f t="shared" ca="1" si="0"/>
        <v>0</v>
      </c>
      <c r="K19" s="28" t="e">
        <f ca="1">_xlfn.XLOOKUP(L19,'Billing Working'!G:G,'Billing Working'!H:H)</f>
        <v>#N/A</v>
      </c>
      <c r="L19" s="28" t="e">
        <f ca="1">OFFSET('Billing Working'!$G$1,I19-1,0)</f>
        <v>#N/A</v>
      </c>
      <c r="M19" s="28"/>
      <c r="N19" s="28"/>
    </row>
    <row r="20" spans="1:14">
      <c r="A20" s="279" t="str">
        <f ca="1">IF(J20,_xlfn.XLOOKUP(L20,'Billing Working'!G:G,'Billing Working'!B:B,"ERROR"),"")</f>
        <v/>
      </c>
      <c r="B20" s="279"/>
      <c r="C20" s="136" t="str">
        <f ca="1">IF(J20,LEFT(_xlfn.XLOOKUP(L20,'Billing Working'!G:G,'Billing Working'!F:F),10),"")</f>
        <v/>
      </c>
      <c r="D20" s="136" t="str">
        <f ca="1">IF(J20,LEFT(_xlfn.XLOOKUP(L20,'Billing Working'!G:G,'Billing Working'!E:E),16),"")</f>
        <v/>
      </c>
      <c r="E20" s="136" t="str">
        <f ca="1">IF(J20,_xlfn.XLOOKUP(L20,'Billing Working'!G:G,'Billing Working'!K:K),"")</f>
        <v/>
      </c>
      <c r="F20" s="139" t="str">
        <f ca="1">IF(J20,_xlfn.XLOOKUP(L20,'Billing Working'!G:G,'Billing Working'!L:L),"")</f>
        <v/>
      </c>
      <c r="H20" s="28"/>
      <c r="I20" s="28" t="e">
        <f>MATCH($B$3,INDEX('Billing Working'!$H:$H,I19+1):'Billing Working'!$H$498,0)+I19</f>
        <v>#N/A</v>
      </c>
      <c r="J20" s="28" t="b">
        <f t="shared" ca="1" si="0"/>
        <v>0</v>
      </c>
      <c r="K20" s="28" t="e">
        <f ca="1">_xlfn.XLOOKUP(L20,'Billing Working'!G:G,'Billing Working'!H:H)</f>
        <v>#N/A</v>
      </c>
      <c r="L20" s="28" t="e">
        <f ca="1">OFFSET('Billing Working'!$G$1,I20-1,0)</f>
        <v>#N/A</v>
      </c>
      <c r="M20" s="28"/>
      <c r="N20" s="28"/>
    </row>
    <row r="21" spans="1:14">
      <c r="A21" s="279" t="str">
        <f ca="1">IF(J21,_xlfn.XLOOKUP(L21,'Billing Working'!G:G,'Billing Working'!B:B,"ERROR"),"")</f>
        <v/>
      </c>
      <c r="B21" s="279"/>
      <c r="C21" s="136" t="str">
        <f ca="1">IF(J21,LEFT(_xlfn.XLOOKUP(L21,'Billing Working'!G:G,'Billing Working'!F:F),10),"")</f>
        <v/>
      </c>
      <c r="D21" s="136" t="str">
        <f ca="1">IF(J21,LEFT(_xlfn.XLOOKUP(L21,'Billing Working'!G:G,'Billing Working'!E:E),16),"")</f>
        <v/>
      </c>
      <c r="E21" s="136" t="str">
        <f ca="1">IF(J21,_xlfn.XLOOKUP(L21,'Billing Working'!G:G,'Billing Working'!K:K),"")</f>
        <v/>
      </c>
      <c r="F21" s="139" t="str">
        <f ca="1">IF(J21,_xlfn.XLOOKUP(L21,'Billing Working'!G:G,'Billing Working'!L:L),"")</f>
        <v/>
      </c>
      <c r="H21" s="28"/>
      <c r="I21" s="28" t="e">
        <f>MATCH($B$3,INDEX('Billing Working'!$H:$H,I20+1):'Billing Working'!$H$498,0)+I20</f>
        <v>#N/A</v>
      </c>
      <c r="J21" s="28" t="b">
        <f t="shared" ca="1" si="0"/>
        <v>0</v>
      </c>
      <c r="K21" s="28" t="e">
        <f ca="1">_xlfn.XLOOKUP(L21,'Billing Working'!G:G,'Billing Working'!H:H)</f>
        <v>#N/A</v>
      </c>
      <c r="L21" s="28" t="e">
        <f ca="1">OFFSET('Billing Working'!$G$1,I21-1,0)</f>
        <v>#N/A</v>
      </c>
      <c r="M21" s="28"/>
      <c r="N21" s="28"/>
    </row>
    <row r="22" spans="1:14">
      <c r="A22" s="279" t="str">
        <f ca="1">IF(J22,_xlfn.XLOOKUP(L22,'Billing Working'!G:G,'Billing Working'!B:B,"ERROR"),"")</f>
        <v/>
      </c>
      <c r="B22" s="279"/>
      <c r="C22" s="136" t="str">
        <f ca="1">IF(J22,LEFT(_xlfn.XLOOKUP(L22,'Billing Working'!G:G,'Billing Working'!F:F),10),"")</f>
        <v/>
      </c>
      <c r="D22" s="136" t="str">
        <f ca="1">IF(J22,LEFT(_xlfn.XLOOKUP(L22,'Billing Working'!G:G,'Billing Working'!E:E),16),"")</f>
        <v/>
      </c>
      <c r="E22" s="136" t="str">
        <f ca="1">IF(J22,_xlfn.XLOOKUP(L22,'Billing Working'!G:G,'Billing Working'!K:K),"")</f>
        <v/>
      </c>
      <c r="F22" s="139" t="str">
        <f ca="1">IF(J22,_xlfn.XLOOKUP(L22,'Billing Working'!G:G,'Billing Working'!L:L),"")</f>
        <v/>
      </c>
      <c r="H22" s="28"/>
      <c r="I22" s="28" t="e">
        <f>MATCH($B$3,INDEX('Billing Working'!$H:$H,I21+1):'Billing Working'!$H$498,0)+I21</f>
        <v>#N/A</v>
      </c>
      <c r="J22" s="28" t="b">
        <f t="shared" ca="1" si="0"/>
        <v>0</v>
      </c>
      <c r="K22" s="28" t="e">
        <f ca="1">_xlfn.XLOOKUP(L22,'Billing Working'!G:G,'Billing Working'!H:H)</f>
        <v>#N/A</v>
      </c>
      <c r="L22" s="28" t="e">
        <f ca="1">OFFSET('Billing Working'!$G$1,I22-1,0)</f>
        <v>#N/A</v>
      </c>
      <c r="M22" s="28"/>
      <c r="N22" s="28"/>
    </row>
    <row r="23" spans="1:14">
      <c r="A23" s="279" t="str">
        <f ca="1">IF(J23,_xlfn.XLOOKUP(L23,'Billing Working'!G:G,'Billing Working'!B:B,"ERROR"),"")</f>
        <v/>
      </c>
      <c r="B23" s="279"/>
      <c r="C23" s="136" t="str">
        <f ca="1">IF(J23,LEFT(_xlfn.XLOOKUP(L23,'Billing Working'!G:G,'Billing Working'!F:F),10),"")</f>
        <v/>
      </c>
      <c r="D23" s="136" t="str">
        <f ca="1">IF(J23,LEFT(_xlfn.XLOOKUP(L23,'Billing Working'!G:G,'Billing Working'!E:E),16),"")</f>
        <v/>
      </c>
      <c r="E23" s="136" t="str">
        <f ca="1">IF(J23,_xlfn.XLOOKUP(L23,'Billing Working'!G:G,'Billing Working'!K:K),"")</f>
        <v/>
      </c>
      <c r="F23" s="139" t="str">
        <f ca="1">IF(J23,_xlfn.XLOOKUP(L23,'Billing Working'!G:G,'Billing Working'!L:L),"")</f>
        <v/>
      </c>
      <c r="H23" s="28"/>
      <c r="I23" s="28" t="e">
        <f>MATCH($B$3,INDEX('Billing Working'!$H:$H,I22+1):'Billing Working'!$H$498,0)+I22</f>
        <v>#N/A</v>
      </c>
      <c r="J23" s="28" t="b">
        <f t="shared" ca="1" si="0"/>
        <v>0</v>
      </c>
      <c r="K23" s="28" t="e">
        <f ca="1">_xlfn.XLOOKUP(L23,'Billing Working'!G:G,'Billing Working'!H:H)</f>
        <v>#N/A</v>
      </c>
      <c r="L23" s="28" t="e">
        <f ca="1">OFFSET('Billing Working'!$G$1,I23-1,0)</f>
        <v>#N/A</v>
      </c>
      <c r="M23" s="28"/>
      <c r="N23" s="28"/>
    </row>
    <row r="24" spans="1:14">
      <c r="A24" s="279" t="str">
        <f ca="1">IF(J24,_xlfn.XLOOKUP(L24,'Billing Working'!G:G,'Billing Working'!B:B,"ERROR"),"")</f>
        <v/>
      </c>
      <c r="B24" s="279"/>
      <c r="C24" s="136" t="str">
        <f ca="1">IF(J24,LEFT(_xlfn.XLOOKUP(L24,'Billing Working'!G:G,'Billing Working'!F:F),10),"")</f>
        <v/>
      </c>
      <c r="D24" s="136" t="str">
        <f ca="1">IF(J24,LEFT(_xlfn.XLOOKUP(L24,'Billing Working'!G:G,'Billing Working'!E:E),16),"")</f>
        <v/>
      </c>
      <c r="E24" s="136" t="str">
        <f ca="1">IF(J24,_xlfn.XLOOKUP(L24,'Billing Working'!G:G,'Billing Working'!K:K),"")</f>
        <v/>
      </c>
      <c r="F24" s="139" t="str">
        <f ca="1">IF(J24,_xlfn.XLOOKUP(L24,'Billing Working'!G:G,'Billing Working'!L:L),"")</f>
        <v/>
      </c>
      <c r="H24" s="28"/>
      <c r="I24" s="28" t="e">
        <f>MATCH($B$3,INDEX('Billing Working'!$H:$H,I23+1):'Billing Working'!$H$498,0)+I23</f>
        <v>#N/A</v>
      </c>
      <c r="J24" s="28" t="b">
        <f t="shared" ca="1" si="0"/>
        <v>0</v>
      </c>
      <c r="K24" s="28" t="e">
        <f ca="1">_xlfn.XLOOKUP(L24,'Billing Working'!G:G,'Billing Working'!H:H)</f>
        <v>#N/A</v>
      </c>
      <c r="L24" s="28" t="e">
        <f ca="1">OFFSET('Billing Working'!$G$1,I24-1,0)</f>
        <v>#N/A</v>
      </c>
      <c r="M24" s="28"/>
      <c r="N24" s="28"/>
    </row>
    <row r="25" spans="1:14">
      <c r="A25" s="279" t="str">
        <f ca="1">IF(J25,_xlfn.XLOOKUP(L25,'Billing Working'!G:G,'Billing Working'!B:B,"ERROR"),"")</f>
        <v/>
      </c>
      <c r="B25" s="279"/>
      <c r="C25" s="136" t="str">
        <f ca="1">IF(J25,LEFT(_xlfn.XLOOKUP(L25,'Billing Working'!G:G,'Billing Working'!F:F),10),"")</f>
        <v/>
      </c>
      <c r="D25" s="136" t="str">
        <f ca="1">IF(J25,LEFT(_xlfn.XLOOKUP(L25,'Billing Working'!G:G,'Billing Working'!E:E),16),"")</f>
        <v/>
      </c>
      <c r="E25" s="136" t="str">
        <f ca="1">IF(J25,_xlfn.XLOOKUP(L25,'Billing Working'!G:G,'Billing Working'!K:K),"")</f>
        <v/>
      </c>
      <c r="F25" s="139" t="str">
        <f ca="1">IF(J25,_xlfn.XLOOKUP(L25,'Billing Working'!G:G,'Billing Working'!L:L),"")</f>
        <v/>
      </c>
      <c r="H25" s="28"/>
      <c r="I25" s="28" t="e">
        <f>MATCH($B$3,INDEX('Billing Working'!$H:$H,I24+1):'Billing Working'!$H$498,0)+I24</f>
        <v>#N/A</v>
      </c>
      <c r="J25" s="28" t="b">
        <f t="shared" ca="1" si="0"/>
        <v>0</v>
      </c>
      <c r="K25" s="28" t="e">
        <f ca="1">_xlfn.XLOOKUP(L25,'Billing Working'!G:G,'Billing Working'!H:H)</f>
        <v>#N/A</v>
      </c>
      <c r="L25" s="28" t="e">
        <f ca="1">OFFSET('Billing Working'!$G$1,I25-1,0)</f>
        <v>#N/A</v>
      </c>
      <c r="M25" s="28"/>
      <c r="N25" s="28"/>
    </row>
    <row r="26" spans="1:14">
      <c r="A26" s="279" t="str">
        <f ca="1">IF(J26,_xlfn.XLOOKUP(L26,'Billing Working'!G:G,'Billing Working'!B:B,"ERROR"),"")</f>
        <v/>
      </c>
      <c r="B26" s="279"/>
      <c r="C26" s="136" t="str">
        <f ca="1">IF(J26,LEFT(_xlfn.XLOOKUP(L26,'Billing Working'!G:G,'Billing Working'!F:F),10),"")</f>
        <v/>
      </c>
      <c r="D26" s="136" t="str">
        <f ca="1">IF(J26,LEFT(_xlfn.XLOOKUP(L26,'Billing Working'!G:G,'Billing Working'!E:E),16),"")</f>
        <v/>
      </c>
      <c r="E26" s="136" t="str">
        <f ca="1">IF(J26,_xlfn.XLOOKUP(L26,'Billing Working'!G:G,'Billing Working'!K:K),"")</f>
        <v/>
      </c>
      <c r="F26" s="139" t="str">
        <f ca="1">IF(J26,_xlfn.XLOOKUP(L26,'Billing Working'!G:G,'Billing Working'!L:L),"")</f>
        <v/>
      </c>
      <c r="H26" s="28"/>
      <c r="I26" s="28" t="e">
        <f>MATCH($B$3,INDEX('Billing Working'!$H:$H,I25+1):'Billing Working'!$H$498,0)+I25</f>
        <v>#N/A</v>
      </c>
      <c r="J26" s="28" t="b">
        <f t="shared" ca="1" si="0"/>
        <v>0</v>
      </c>
      <c r="K26" s="28" t="e">
        <f ca="1">_xlfn.XLOOKUP(L26,'Billing Working'!G:G,'Billing Working'!H:H)</f>
        <v>#N/A</v>
      </c>
      <c r="L26" s="28" t="e">
        <f ca="1">OFFSET('Billing Working'!$G$1,I26-1,0)</f>
        <v>#N/A</v>
      </c>
      <c r="M26" s="28"/>
      <c r="N26" s="28"/>
    </row>
    <row r="27" spans="1:14">
      <c r="A27" s="279" t="str">
        <f ca="1">IF(J27,_xlfn.XLOOKUP(L27,'Billing Working'!G:G,'Billing Working'!B:B,"ERROR"),"")</f>
        <v/>
      </c>
      <c r="B27" s="279"/>
      <c r="C27" s="136" t="str">
        <f ca="1">IF(J27,LEFT(_xlfn.XLOOKUP(L27,'Billing Working'!G:G,'Billing Working'!F:F),10),"")</f>
        <v/>
      </c>
      <c r="D27" s="136" t="str">
        <f ca="1">IF(J27,LEFT(_xlfn.XLOOKUP(L27,'Billing Working'!G:G,'Billing Working'!E:E),16),"")</f>
        <v/>
      </c>
      <c r="E27" s="136" t="str">
        <f ca="1">IF(J27,_xlfn.XLOOKUP(L27,'Billing Working'!G:G,'Billing Working'!K:K),"")</f>
        <v/>
      </c>
      <c r="F27" s="139" t="str">
        <f ca="1">IF(J27,_xlfn.XLOOKUP(L27,'Billing Working'!G:G,'Billing Working'!L:L),"")</f>
        <v/>
      </c>
      <c r="H27" s="28"/>
      <c r="I27" s="28" t="e">
        <f>MATCH($B$3,INDEX('Billing Working'!$H:$H,I26+1):'Billing Working'!$H$498,0)+I26</f>
        <v>#N/A</v>
      </c>
      <c r="J27" s="28" t="b">
        <f t="shared" ca="1" si="0"/>
        <v>0</v>
      </c>
      <c r="K27" s="28" t="e">
        <f ca="1">_xlfn.XLOOKUP(L27,'Billing Working'!G:G,'Billing Working'!H:H)</f>
        <v>#N/A</v>
      </c>
      <c r="L27" s="28" t="e">
        <f ca="1">OFFSET('Billing Working'!$G$1,I27-1,0)</f>
        <v>#N/A</v>
      </c>
      <c r="M27" s="28"/>
      <c r="N27" s="28"/>
    </row>
    <row r="28" spans="1:14">
      <c r="A28" s="279" t="str">
        <f ca="1">IF(J28,_xlfn.XLOOKUP(L28,'Billing Working'!G:G,'Billing Working'!B:B,"ERROR"),"")</f>
        <v/>
      </c>
      <c r="B28" s="279"/>
      <c r="C28" s="136" t="str">
        <f ca="1">IF(J28,LEFT(_xlfn.XLOOKUP(L28,'Billing Working'!G:G,'Billing Working'!F:F),10),"")</f>
        <v/>
      </c>
      <c r="D28" s="136" t="str">
        <f ca="1">IF(J28,LEFT(_xlfn.XLOOKUP(L28,'Billing Working'!G:G,'Billing Working'!E:E),16),"")</f>
        <v/>
      </c>
      <c r="E28" s="136" t="str">
        <f ca="1">IF(J28,_xlfn.XLOOKUP(L28,'Billing Working'!G:G,'Billing Working'!K:K),"")</f>
        <v/>
      </c>
      <c r="F28" s="139" t="str">
        <f ca="1">IF(J28,_xlfn.XLOOKUP(L28,'Billing Working'!G:G,'Billing Working'!L:L),"")</f>
        <v/>
      </c>
      <c r="H28" s="28"/>
      <c r="I28" s="28" t="e">
        <f>MATCH($B$3,INDEX('Billing Working'!$H:$H,I27+1):'Billing Working'!$H$498,0)+I27</f>
        <v>#N/A</v>
      </c>
      <c r="J28" s="28" t="b">
        <f t="shared" ca="1" si="0"/>
        <v>0</v>
      </c>
      <c r="K28" s="28" t="e">
        <f ca="1">_xlfn.XLOOKUP(L28,'Billing Working'!G:G,'Billing Working'!H:H)</f>
        <v>#N/A</v>
      </c>
      <c r="L28" s="28" t="e">
        <f ca="1">OFFSET('Billing Working'!$G$1,I28-1,0)</f>
        <v>#N/A</v>
      </c>
      <c r="M28" s="28"/>
      <c r="N28" s="28"/>
    </row>
    <row r="29" spans="1:14">
      <c r="A29" s="279" t="str">
        <f ca="1">IF(J29,_xlfn.XLOOKUP(L29,'Billing Working'!G:G,'Billing Working'!B:B,"ERROR"),"")</f>
        <v/>
      </c>
      <c r="B29" s="279"/>
      <c r="C29" s="136" t="str">
        <f ca="1">IF(J29,LEFT(_xlfn.XLOOKUP(L29,'Billing Working'!G:G,'Billing Working'!F:F),10),"")</f>
        <v/>
      </c>
      <c r="D29" s="136" t="str">
        <f ca="1">IF(J29,LEFT(_xlfn.XLOOKUP(L29,'Billing Working'!G:G,'Billing Working'!E:E),16),"")</f>
        <v/>
      </c>
      <c r="E29" s="136" t="str">
        <f ca="1">IF(J29,_xlfn.XLOOKUP(L29,'Billing Working'!G:G,'Billing Working'!K:K),"")</f>
        <v/>
      </c>
      <c r="F29" s="139" t="str">
        <f ca="1">IF(J29,_xlfn.XLOOKUP(L29,'Billing Working'!G:G,'Billing Working'!L:L),"")</f>
        <v/>
      </c>
      <c r="H29" s="28"/>
      <c r="I29" s="28" t="e">
        <f>MATCH($B$3,INDEX('Billing Working'!$H:$H,I28+1):'Billing Working'!$H$498,0)+I28</f>
        <v>#N/A</v>
      </c>
      <c r="J29" s="28" t="b">
        <f t="shared" ca="1" si="0"/>
        <v>0</v>
      </c>
      <c r="K29" s="28" t="e">
        <f ca="1">_xlfn.XLOOKUP(L29,'Billing Working'!G:G,'Billing Working'!H:H)</f>
        <v>#N/A</v>
      </c>
      <c r="L29" s="28" t="e">
        <f ca="1">OFFSET('Billing Working'!$G$1,I29-1,0)</f>
        <v>#N/A</v>
      </c>
      <c r="M29" s="28"/>
      <c r="N29" s="28"/>
    </row>
    <row r="30" spans="1:14">
      <c r="A30" s="279" t="str">
        <f ca="1">IF(J30,_xlfn.XLOOKUP(L30,'Billing Working'!G:G,'Billing Working'!B:B,"ERROR"),"")</f>
        <v/>
      </c>
      <c r="B30" s="279"/>
      <c r="C30" s="136" t="str">
        <f ca="1">IF(J30,LEFT(_xlfn.XLOOKUP(L30,'Billing Working'!G:G,'Billing Working'!F:F),10),"")</f>
        <v/>
      </c>
      <c r="D30" s="136" t="str">
        <f ca="1">IF(J30,LEFT(_xlfn.XLOOKUP(L30,'Billing Working'!G:G,'Billing Working'!E:E),16),"")</f>
        <v/>
      </c>
      <c r="E30" s="136" t="str">
        <f ca="1">IF(J30,_xlfn.XLOOKUP(L30,'Billing Working'!G:G,'Billing Working'!K:K),"")</f>
        <v/>
      </c>
      <c r="F30" s="139" t="str">
        <f ca="1">IF(J30,_xlfn.XLOOKUP(L30,'Billing Working'!G:G,'Billing Working'!L:L),"")</f>
        <v/>
      </c>
      <c r="H30" s="28"/>
      <c r="I30" s="28" t="e">
        <f>MATCH($B$3,INDEX('Billing Working'!$H:$H,I29+1):'Billing Working'!$H$498,0)+I29</f>
        <v>#N/A</v>
      </c>
      <c r="J30" s="28" t="b">
        <f t="shared" ca="1" si="0"/>
        <v>0</v>
      </c>
      <c r="K30" s="28" t="e">
        <f ca="1">_xlfn.XLOOKUP(L30,'Billing Working'!G:G,'Billing Working'!H:H)</f>
        <v>#N/A</v>
      </c>
      <c r="L30" s="28" t="e">
        <f ca="1">OFFSET('Billing Working'!$G$1,I30-1,0)</f>
        <v>#N/A</v>
      </c>
      <c r="M30" s="28"/>
      <c r="N30" s="28"/>
    </row>
    <row r="31" spans="1:14">
      <c r="A31" s="279" t="str">
        <f ca="1">IF(J31,_xlfn.XLOOKUP(L31,'Billing Working'!G:G,'Billing Working'!B:B,"ERROR"),"")</f>
        <v/>
      </c>
      <c r="B31" s="279"/>
      <c r="C31" s="136" t="str">
        <f ca="1">IF(J31,LEFT(_xlfn.XLOOKUP(L31,'Billing Working'!G:G,'Billing Working'!F:F),10),"")</f>
        <v/>
      </c>
      <c r="D31" s="136" t="str">
        <f ca="1">IF(J31,LEFT(_xlfn.XLOOKUP(L31,'Billing Working'!G:G,'Billing Working'!E:E),16),"")</f>
        <v/>
      </c>
      <c r="E31" s="136" t="str">
        <f ca="1">IF(J31,_xlfn.XLOOKUP(L31,'Billing Working'!G:G,'Billing Working'!K:K),"")</f>
        <v/>
      </c>
      <c r="F31" s="139" t="str">
        <f ca="1">IF(J31,_xlfn.XLOOKUP(L31,'Billing Working'!G:G,'Billing Working'!L:L),"")</f>
        <v/>
      </c>
      <c r="H31" s="28"/>
      <c r="I31" s="28" t="e">
        <f>MATCH($B$3,INDEX('Billing Working'!$H:$H,I30+1):'Billing Working'!$H$498,0)+I30</f>
        <v>#N/A</v>
      </c>
      <c r="J31" s="28" t="b">
        <f t="shared" ca="1" si="0"/>
        <v>0</v>
      </c>
      <c r="K31" s="28" t="e">
        <f ca="1">_xlfn.XLOOKUP(L31,'Billing Working'!G:G,'Billing Working'!H:H)</f>
        <v>#N/A</v>
      </c>
      <c r="L31" s="28" t="e">
        <f ca="1">OFFSET('Billing Working'!$G$1,I31-1,0)</f>
        <v>#N/A</v>
      </c>
      <c r="M31" s="28"/>
      <c r="N31" s="28"/>
    </row>
    <row r="32" spans="1:14">
      <c r="A32" s="279" t="str">
        <f ca="1">IF(J32,_xlfn.XLOOKUP(L32,'Billing Working'!G:G,'Billing Working'!B:B,"ERROR"),"")</f>
        <v/>
      </c>
      <c r="B32" s="279"/>
      <c r="C32" s="136" t="str">
        <f ca="1">IF(J32,LEFT(_xlfn.XLOOKUP(L32,'Billing Working'!G:G,'Billing Working'!F:F),10),"")</f>
        <v/>
      </c>
      <c r="D32" s="136" t="str">
        <f ca="1">IF(J32,LEFT(_xlfn.XLOOKUP(L32,'Billing Working'!G:G,'Billing Working'!E:E),16),"")</f>
        <v/>
      </c>
      <c r="E32" s="136" t="str">
        <f ca="1">IF(J32,_xlfn.XLOOKUP(L32,'Billing Working'!G:G,'Billing Working'!K:K),"")</f>
        <v/>
      </c>
      <c r="F32" s="139" t="str">
        <f ca="1">IF(J32,_xlfn.XLOOKUP(L32,'Billing Working'!G:G,'Billing Working'!L:L),"")</f>
        <v/>
      </c>
      <c r="H32" s="28"/>
      <c r="I32" s="28" t="e">
        <f>MATCH($B$3,INDEX('Billing Working'!$H:$H,I31+1):'Billing Working'!$H$498,0)+I31</f>
        <v>#N/A</v>
      </c>
      <c r="J32" s="28" t="b">
        <f t="shared" ca="1" si="0"/>
        <v>0</v>
      </c>
      <c r="K32" s="28" t="e">
        <f ca="1">_xlfn.XLOOKUP(L32,'Billing Working'!G:G,'Billing Working'!H:H)</f>
        <v>#N/A</v>
      </c>
      <c r="L32" s="28" t="e">
        <f ca="1">OFFSET('Billing Working'!$G$1,I32-1,0)</f>
        <v>#N/A</v>
      </c>
      <c r="M32" s="28"/>
      <c r="N32" s="28"/>
    </row>
    <row r="33" spans="1:15">
      <c r="A33" s="279" t="str">
        <f ca="1">IF(J33,_xlfn.XLOOKUP(L33,'Billing Working'!G:G,'Billing Working'!B:B,"ERROR"),"")</f>
        <v/>
      </c>
      <c r="B33" s="279"/>
      <c r="C33" s="136" t="str">
        <f ca="1">IF(J33,LEFT(_xlfn.XLOOKUP(L33,'Billing Working'!G:G,'Billing Working'!F:F),10),"")</f>
        <v/>
      </c>
      <c r="D33" s="136" t="str">
        <f ca="1">IF(J33,LEFT(_xlfn.XLOOKUP(L33,'Billing Working'!G:G,'Billing Working'!E:E),16),"")</f>
        <v/>
      </c>
      <c r="E33" s="136" t="str">
        <f ca="1">IF(J33,_xlfn.XLOOKUP(L33,'Billing Working'!G:G,'Billing Working'!K:K),"")</f>
        <v/>
      </c>
      <c r="F33" s="139" t="str">
        <f ca="1">IF(J33,_xlfn.XLOOKUP(L33,'Billing Working'!G:G,'Billing Working'!L:L),"")</f>
        <v/>
      </c>
      <c r="H33" s="28"/>
      <c r="I33" s="28" t="e">
        <f>MATCH($B$3,INDEX('Billing Working'!$H:$H,I32+1):'Billing Working'!$H$498,0)+I32</f>
        <v>#N/A</v>
      </c>
      <c r="J33" s="28" t="b">
        <f t="shared" ca="1" si="0"/>
        <v>0</v>
      </c>
      <c r="K33" s="28" t="e">
        <f ca="1">_xlfn.XLOOKUP(L33,'Billing Working'!G:G,'Billing Working'!H:H)</f>
        <v>#N/A</v>
      </c>
      <c r="L33" s="28" t="e">
        <f ca="1">OFFSET('Billing Working'!$G$1,I33-1,0)</f>
        <v>#N/A</v>
      </c>
      <c r="M33" s="28"/>
      <c r="N33" s="28"/>
    </row>
    <row r="34" spans="1:15">
      <c r="A34" s="279" t="str">
        <f ca="1">IF(J34,_xlfn.XLOOKUP(L34,'Billing Working'!G:G,'Billing Working'!B:B,"ERROR"),"")</f>
        <v/>
      </c>
      <c r="B34" s="279"/>
      <c r="C34" s="136" t="str">
        <f ca="1">IF(J34,LEFT(_xlfn.XLOOKUP(L34,'Billing Working'!G:G,'Billing Working'!F:F),10),"")</f>
        <v/>
      </c>
      <c r="D34" s="136" t="str">
        <f ca="1">IF(J34,LEFT(_xlfn.XLOOKUP(L34,'Billing Working'!G:G,'Billing Working'!E:E),16),"")</f>
        <v/>
      </c>
      <c r="E34" s="136" t="str">
        <f ca="1">IF(J34,_xlfn.XLOOKUP(L34,'Billing Working'!G:G,'Billing Working'!K:K),"")</f>
        <v/>
      </c>
      <c r="F34" s="139" t="str">
        <f ca="1">IF(J34,_xlfn.XLOOKUP(L34,'Billing Working'!G:G,'Billing Working'!L:L),"")</f>
        <v/>
      </c>
      <c r="H34" s="28"/>
      <c r="I34" s="28" t="e">
        <f>MATCH($B$3,INDEX('Billing Working'!$H:$H,I33+1):'Billing Working'!$H$498,0)+I33</f>
        <v>#N/A</v>
      </c>
      <c r="J34" s="28" t="b">
        <f t="shared" ca="1" si="0"/>
        <v>0</v>
      </c>
      <c r="K34" s="28" t="e">
        <f ca="1">_xlfn.XLOOKUP(L34,'Billing Working'!G:G,'Billing Working'!H:H)</f>
        <v>#N/A</v>
      </c>
      <c r="L34" s="28" t="e">
        <f ca="1">OFFSET('Billing Working'!$G$1,I34-1,0)</f>
        <v>#N/A</v>
      </c>
      <c r="M34" s="28"/>
      <c r="N34" s="28"/>
    </row>
    <row r="35" spans="1:15">
      <c r="A35" s="279" t="str">
        <f ca="1">IF(J35,_xlfn.XLOOKUP(L35,'Billing Working'!G:G,'Billing Working'!B:B,"ERROR"),"")</f>
        <v/>
      </c>
      <c r="B35" s="279"/>
      <c r="C35" s="136" t="str">
        <f ca="1">IF(J35,LEFT(_xlfn.XLOOKUP(L35,'Billing Working'!G:G,'Billing Working'!F:F),10),"")</f>
        <v/>
      </c>
      <c r="D35" s="136" t="str">
        <f ca="1">IF(J35,LEFT(_xlfn.XLOOKUP(L35,'Billing Working'!G:G,'Billing Working'!E:E),16),"")</f>
        <v/>
      </c>
      <c r="E35" s="136" t="str">
        <f ca="1">IF(J35,_xlfn.XLOOKUP(L35,'Billing Working'!G:G,'Billing Working'!K:K),"")</f>
        <v/>
      </c>
      <c r="F35" s="139" t="str">
        <f ca="1">IF(J35,_xlfn.XLOOKUP(L35,'Billing Working'!G:G,'Billing Working'!L:L),"")</f>
        <v/>
      </c>
      <c r="H35" s="28"/>
      <c r="I35" s="28" t="e">
        <f>MATCH($B$3,INDEX('Billing Working'!$H:$H,I34+1):'Billing Working'!$H$498,0)+I34</f>
        <v>#N/A</v>
      </c>
      <c r="J35" s="28" t="b">
        <f t="shared" ca="1" si="0"/>
        <v>0</v>
      </c>
      <c r="K35" s="28" t="e">
        <f ca="1">_xlfn.XLOOKUP(L35,'Billing Working'!G:G,'Billing Working'!H:H)</f>
        <v>#N/A</v>
      </c>
      <c r="L35" s="28" t="e">
        <f ca="1">OFFSET('Billing Working'!$G$1,I35-1,0)</f>
        <v>#N/A</v>
      </c>
      <c r="M35" s="28"/>
      <c r="N35" s="28"/>
    </row>
    <row r="36" spans="1:15">
      <c r="A36" s="279" t="str">
        <f ca="1">IF(J36,_xlfn.XLOOKUP(L36,'Billing Working'!G:G,'Billing Working'!B:B,"ERROR"),"")</f>
        <v/>
      </c>
      <c r="B36" s="279"/>
      <c r="C36" s="136" t="str">
        <f ca="1">IF(J36,LEFT(_xlfn.XLOOKUP(L36,'Billing Working'!G:G,'Billing Working'!F:F),10),"")</f>
        <v/>
      </c>
      <c r="D36" s="136" t="str">
        <f ca="1">IF(J36,LEFT(_xlfn.XLOOKUP(L36,'Billing Working'!G:G,'Billing Working'!E:E),16),"")</f>
        <v/>
      </c>
      <c r="E36" s="136" t="str">
        <f ca="1">IF(J36,_xlfn.XLOOKUP(L36,'Billing Working'!G:G,'Billing Working'!K:K),"")</f>
        <v/>
      </c>
      <c r="F36" s="139" t="str">
        <f ca="1">IF(J36,_xlfn.XLOOKUP(L36,'Billing Working'!G:G,'Billing Working'!L:L),"")</f>
        <v/>
      </c>
      <c r="H36" s="28"/>
      <c r="I36" s="28" t="e">
        <f>MATCH($B$3,INDEX('Billing Working'!$H:$H,I35+1):'Billing Working'!$H$498,0)+I35</f>
        <v>#N/A</v>
      </c>
      <c r="J36" s="28" t="b">
        <f t="shared" ca="1" si="0"/>
        <v>0</v>
      </c>
      <c r="K36" s="28" t="e">
        <f ca="1">_xlfn.XLOOKUP(L36,'Billing Working'!G:G,'Billing Working'!H:H)</f>
        <v>#N/A</v>
      </c>
      <c r="L36" s="28" t="e">
        <f ca="1">OFFSET('Billing Working'!$G$1,I36-1,0)</f>
        <v>#N/A</v>
      </c>
      <c r="M36" s="28"/>
      <c r="N36" s="28"/>
    </row>
    <row r="37" spans="1:15">
      <c r="A37" s="279" t="str">
        <f ca="1">IF(J37,_xlfn.XLOOKUP(L37,'Billing Working'!G:G,'Billing Working'!B:B,"ERROR"),"")</f>
        <v/>
      </c>
      <c r="B37" s="279"/>
      <c r="C37" s="136" t="str">
        <f ca="1">IF(J37,LEFT(_xlfn.XLOOKUP(L37,'Billing Working'!G:G,'Billing Working'!F:F),10),"")</f>
        <v/>
      </c>
      <c r="D37" s="136" t="str">
        <f ca="1">IF(J37,LEFT(_xlfn.XLOOKUP(L37,'Billing Working'!G:G,'Billing Working'!E:E),16),"")</f>
        <v/>
      </c>
      <c r="E37" s="136" t="str">
        <f ca="1">IF(J37,_xlfn.XLOOKUP(L37,'Billing Working'!G:G,'Billing Working'!K:K),"")</f>
        <v/>
      </c>
      <c r="F37" s="139" t="str">
        <f ca="1">IF(J37,_xlfn.XLOOKUP(L37,'Billing Working'!G:G,'Billing Working'!L:L),"")</f>
        <v/>
      </c>
      <c r="H37" s="28"/>
      <c r="I37" s="28" t="e">
        <f>MATCH($B$3,INDEX('Billing Working'!$H:$H,I36+1):'Billing Working'!$H$498,0)+I36</f>
        <v>#N/A</v>
      </c>
      <c r="J37" s="28" t="b">
        <f t="shared" ca="1" si="0"/>
        <v>0</v>
      </c>
      <c r="K37" s="28" t="e">
        <f ca="1">_xlfn.XLOOKUP(L37,'Billing Working'!G:G,'Billing Working'!H:H)</f>
        <v>#N/A</v>
      </c>
      <c r="L37" s="28" t="e">
        <f ca="1">OFFSET('Billing Working'!$G$1,I37-1,0)</f>
        <v>#N/A</v>
      </c>
      <c r="M37" s="28"/>
      <c r="N37" s="28"/>
    </row>
    <row r="38" spans="1:15">
      <c r="A38" s="279" t="str">
        <f ca="1">IF(J38,_xlfn.XLOOKUP(L38,'Billing Working'!G:G,'Billing Working'!B:B,"ERROR"),"")</f>
        <v/>
      </c>
      <c r="B38" s="279"/>
      <c r="C38" s="136" t="str">
        <f ca="1">IF(J38,LEFT(_xlfn.XLOOKUP(L38,'Billing Working'!G:G,'Billing Working'!F:F),10),"")</f>
        <v/>
      </c>
      <c r="D38" s="136" t="str">
        <f ca="1">IF(J38,LEFT(_xlfn.XLOOKUP(L38,'Billing Working'!G:G,'Billing Working'!E:E),16),"")</f>
        <v/>
      </c>
      <c r="E38" s="136" t="str">
        <f ca="1">IF(J38,_xlfn.XLOOKUP(L38,'Billing Working'!G:G,'Billing Working'!K:K),"")</f>
        <v/>
      </c>
      <c r="F38" s="139" t="str">
        <f ca="1">IF(J38,_xlfn.XLOOKUP(L38,'Billing Working'!G:G,'Billing Working'!L:L),"")</f>
        <v/>
      </c>
      <c r="H38" s="28"/>
      <c r="I38" s="28" t="e">
        <f>MATCH($B$3,INDEX('Billing Working'!$H:$H,I37+1):'Billing Working'!$H$498,0)+I37</f>
        <v>#N/A</v>
      </c>
      <c r="J38" s="28" t="b">
        <f t="shared" ca="1" si="0"/>
        <v>0</v>
      </c>
      <c r="K38" s="28" t="e">
        <f ca="1">_xlfn.XLOOKUP(L38,'Billing Working'!G:G,'Billing Working'!H:H)</f>
        <v>#N/A</v>
      </c>
      <c r="L38" s="28" t="e">
        <f ca="1">OFFSET('Billing Working'!$G$1,I38-1,0)</f>
        <v>#N/A</v>
      </c>
      <c r="M38" s="28"/>
      <c r="N38" s="28"/>
    </row>
    <row r="39" spans="1:15">
      <c r="A39" s="279" t="str">
        <f ca="1">IF(J39,_xlfn.XLOOKUP(L39,'Billing Working'!G:G,'Billing Working'!B:B,"ERROR"),"")</f>
        <v/>
      </c>
      <c r="B39" s="279"/>
      <c r="C39" s="136" t="str">
        <f ca="1">IF(J39,LEFT(_xlfn.XLOOKUP(L39,'Billing Working'!G:G,'Billing Working'!F:F),10),"")</f>
        <v/>
      </c>
      <c r="D39" s="136" t="str">
        <f ca="1">IF(J39,LEFT(_xlfn.XLOOKUP(L39,'Billing Working'!G:G,'Billing Working'!E:E),16),"")</f>
        <v/>
      </c>
      <c r="E39" s="136" t="str">
        <f ca="1">IF(J39,_xlfn.XLOOKUP(L39,'Billing Working'!G:G,'Billing Working'!K:K),"")</f>
        <v/>
      </c>
      <c r="F39" s="139" t="str">
        <f ca="1">IF(J39,_xlfn.XLOOKUP(L39,'Billing Working'!G:G,'Billing Working'!L:L),"")</f>
        <v/>
      </c>
      <c r="H39" s="28"/>
      <c r="I39" s="28" t="e">
        <f>MATCH($B$3,INDEX('Billing Working'!$H:$H,I38+1):'Billing Working'!$H$498,0)+I38</f>
        <v>#N/A</v>
      </c>
      <c r="J39" s="28" t="b">
        <f t="shared" ca="1" si="0"/>
        <v>0</v>
      </c>
      <c r="K39" s="28" t="e">
        <f ca="1">_xlfn.XLOOKUP(L39,'Billing Working'!G:G,'Billing Working'!H:H)</f>
        <v>#N/A</v>
      </c>
      <c r="L39" s="28" t="e">
        <f ca="1">OFFSET('Billing Working'!$G$1,I39-1,0)</f>
        <v>#N/A</v>
      </c>
      <c r="M39" s="28"/>
      <c r="N39" s="28"/>
    </row>
    <row r="40" spans="1:15">
      <c r="A40" s="279" t="str">
        <f ca="1">IF(J40,_xlfn.XLOOKUP(L40,'Billing Working'!G:G,'Billing Working'!B:B,"ERROR"),"")</f>
        <v/>
      </c>
      <c r="B40" s="279"/>
      <c r="C40" s="136" t="str">
        <f ca="1">IF(J40,LEFT(_xlfn.XLOOKUP(L40,'Billing Working'!G:G,'Billing Working'!F:F),10),"")</f>
        <v/>
      </c>
      <c r="D40" s="136" t="str">
        <f ca="1">IF(J40,LEFT(_xlfn.XLOOKUP(L40,'Billing Working'!G:G,'Billing Working'!E:E),16),"")</f>
        <v/>
      </c>
      <c r="E40" s="136" t="str">
        <f ca="1">IF(J40,_xlfn.XLOOKUP(L40,'Billing Working'!G:G,'Billing Working'!K:K),"")</f>
        <v/>
      </c>
      <c r="F40" s="139" t="str">
        <f ca="1">IF(J40,_xlfn.XLOOKUP(L40,'Billing Working'!G:G,'Billing Working'!L:L),"")</f>
        <v/>
      </c>
      <c r="H40" s="28"/>
      <c r="I40" s="28" t="e">
        <f>MATCH($B$3,INDEX('Billing Working'!$H:$H,I39+1):'Billing Working'!$H$498,0)+I39</f>
        <v>#N/A</v>
      </c>
      <c r="J40" s="28" t="b">
        <f t="shared" ca="1" si="0"/>
        <v>0</v>
      </c>
      <c r="K40" s="28" t="e">
        <f ca="1">_xlfn.XLOOKUP(L40,'Billing Working'!G:G,'Billing Working'!H:H)</f>
        <v>#N/A</v>
      </c>
      <c r="L40" s="28" t="e">
        <f ca="1">OFFSET('Billing Working'!$G$1,I40-1,0)</f>
        <v>#N/A</v>
      </c>
      <c r="M40" s="28"/>
      <c r="N40" s="28"/>
    </row>
    <row r="41" spans="1:15">
      <c r="A41" s="279" t="str">
        <f ca="1">IF(J41,_xlfn.XLOOKUP(L41,'Billing Working'!G:G,'Billing Working'!B:B,"ERROR"),"")</f>
        <v/>
      </c>
      <c r="B41" s="279"/>
      <c r="C41" s="136" t="str">
        <f ca="1">IF(J41,LEFT(_xlfn.XLOOKUP(L41,'Billing Working'!G:G,'Billing Working'!F:F),10),"")</f>
        <v/>
      </c>
      <c r="D41" s="136" t="str">
        <f ca="1">IF(J41,LEFT(_xlfn.XLOOKUP(L41,'Billing Working'!G:G,'Billing Working'!E:E),16),"")</f>
        <v/>
      </c>
      <c r="E41" s="136" t="str">
        <f ca="1">IF(J41,_xlfn.XLOOKUP(L41,'Billing Working'!G:G,'Billing Working'!K:K),"")</f>
        <v/>
      </c>
      <c r="F41" s="139" t="str">
        <f ca="1">IF(J41,_xlfn.XLOOKUP(L41,'Billing Working'!G:G,'Billing Working'!L:L),"")</f>
        <v/>
      </c>
      <c r="H41" s="28"/>
      <c r="I41" s="28" t="e">
        <f>MATCH($B$3,INDEX('Billing Working'!$H:$H,I40+1):'Billing Working'!$H$498,0)+I40</f>
        <v>#N/A</v>
      </c>
      <c r="J41" s="28" t="b">
        <f t="shared" ref="J41" ca="1" si="1">_xlfn.IFNA(IF(K41=$B$3,TRUE,FALSE),FALSE)</f>
        <v>0</v>
      </c>
      <c r="K41" s="28" t="e">
        <f ca="1">_xlfn.XLOOKUP(L41,'Billing Working'!G:G,'Billing Working'!H:H)</f>
        <v>#N/A</v>
      </c>
      <c r="L41" s="28" t="e">
        <f ca="1">OFFSET('Billing Working'!$G$1,I41-1,0)</f>
        <v>#N/A</v>
      </c>
      <c r="M41" s="28"/>
      <c r="N41" s="28"/>
      <c r="O41" s="26" t="s">
        <v>2120</v>
      </c>
    </row>
    <row r="42" spans="1:15" ht="20.25" customHeight="1">
      <c r="A42" s="142"/>
      <c r="B42" s="230"/>
      <c r="C42" s="136"/>
      <c r="D42" s="136"/>
      <c r="E42" s="280" t="str">
        <f>IF(J42,"ERROR - Too Many transactions", "")</f>
        <v/>
      </c>
      <c r="F42" s="280"/>
      <c r="H42" s="28"/>
      <c r="I42" s="28"/>
      <c r="J42" s="28"/>
      <c r="K42" s="28"/>
      <c r="L42" s="28"/>
      <c r="M42" s="28"/>
      <c r="N42" s="28"/>
    </row>
    <row r="43" spans="1:15" ht="20" thickBot="1">
      <c r="A43" s="137"/>
      <c r="B43" s="230"/>
      <c r="C43" s="136"/>
      <c r="D43" s="136"/>
      <c r="E43" s="140" t="s">
        <v>2121</v>
      </c>
      <c r="F43" s="141">
        <f ca="1">SUM(F9:F42)</f>
        <v>0</v>
      </c>
      <c r="G43" s="25"/>
      <c r="H43" s="28"/>
      <c r="I43" s="28"/>
      <c r="J43" s="28"/>
      <c r="K43" s="28"/>
      <c r="L43" s="28"/>
    </row>
    <row r="44" spans="1:15" ht="17" thickTop="1">
      <c r="H44" s="28"/>
      <c r="I44" s="28"/>
      <c r="J44" s="28"/>
      <c r="K44" s="28"/>
      <c r="L44" s="28"/>
    </row>
    <row r="45" spans="1:15">
      <c r="H45" s="28"/>
      <c r="I45" s="28"/>
      <c r="J45" s="28"/>
      <c r="K45" s="28"/>
      <c r="L45" s="28"/>
    </row>
    <row r="46" spans="1:15">
      <c r="H46" s="28"/>
      <c r="I46" s="28"/>
      <c r="J46" s="28"/>
      <c r="K46" s="28"/>
      <c r="L46" s="28"/>
    </row>
    <row r="47" spans="1:15">
      <c r="A47" s="47"/>
      <c r="B47" s="47"/>
      <c r="C47" s="5"/>
      <c r="D47" s="5"/>
      <c r="E47" s="5"/>
      <c r="F47" s="5"/>
      <c r="H47" s="28"/>
      <c r="I47" s="28"/>
      <c r="J47" s="28"/>
      <c r="K47" s="28"/>
      <c r="L47" s="28"/>
    </row>
    <row r="48" spans="1:15">
      <c r="A48" s="47"/>
      <c r="B48" s="47"/>
      <c r="C48" s="5"/>
      <c r="D48" s="5"/>
      <c r="E48" s="5"/>
      <c r="F48" s="5"/>
      <c r="H48" s="28"/>
      <c r="I48" s="28"/>
      <c r="J48" s="28"/>
      <c r="K48" s="28"/>
      <c r="L48" s="28"/>
    </row>
    <row r="49" spans="1:12" ht="15" customHeight="1">
      <c r="A49" s="47"/>
      <c r="B49" s="47"/>
      <c r="C49" s="5"/>
      <c r="D49" s="5"/>
      <c r="E49" s="5"/>
      <c r="F49" s="5"/>
      <c r="H49" s="28"/>
      <c r="I49" s="28"/>
      <c r="J49" s="28"/>
      <c r="K49" s="28"/>
      <c r="L49" s="28"/>
    </row>
    <row r="50" spans="1:12">
      <c r="D50" s="27"/>
      <c r="E50" s="281">
        <f ca="1">NOW()</f>
        <v>44448.489896180552</v>
      </c>
      <c r="F50" s="281"/>
      <c r="H50" s="28"/>
      <c r="I50" s="28"/>
      <c r="J50" s="28"/>
      <c r="K50" s="28"/>
      <c r="L50" s="28"/>
    </row>
    <row r="51" spans="1:12">
      <c r="H51" s="28"/>
      <c r="I51" s="28"/>
      <c r="J51" s="28"/>
      <c r="K51" s="28"/>
      <c r="L51" s="28"/>
    </row>
    <row r="52" spans="1:12">
      <c r="H52" s="28"/>
      <c r="I52" s="28"/>
      <c r="J52" s="28"/>
      <c r="K52" s="28"/>
      <c r="L52" s="28"/>
    </row>
    <row r="53" spans="1:12">
      <c r="H53" s="28"/>
      <c r="I53" s="28"/>
      <c r="J53" s="28"/>
      <c r="K53" s="28"/>
      <c r="L53" s="28"/>
    </row>
    <row r="54" spans="1:12">
      <c r="H54" s="28"/>
      <c r="I54" s="28"/>
      <c r="J54" s="28"/>
      <c r="K54" s="28"/>
      <c r="L54" s="28"/>
    </row>
    <row r="55" spans="1:12">
      <c r="H55" s="28"/>
      <c r="I55" s="28"/>
      <c r="J55" s="28"/>
      <c r="K55" s="28"/>
      <c r="L55" s="28"/>
    </row>
    <row r="56" spans="1:12">
      <c r="H56" s="28"/>
      <c r="I56" s="28"/>
      <c r="J56" s="28"/>
      <c r="K56" s="28"/>
      <c r="L56" s="28"/>
    </row>
    <row r="57" spans="1:12">
      <c r="H57" s="28"/>
      <c r="I57" s="28"/>
      <c r="J57" s="28"/>
      <c r="K57" s="28"/>
      <c r="L57" s="28"/>
    </row>
    <row r="58" spans="1:12">
      <c r="H58" s="28"/>
      <c r="I58" s="28"/>
      <c r="J58" s="28"/>
      <c r="K58" s="28"/>
      <c r="L58" s="28"/>
    </row>
    <row r="59" spans="1:12">
      <c r="H59" s="28"/>
      <c r="I59" s="28"/>
      <c r="J59" s="28"/>
      <c r="K59" s="28"/>
      <c r="L59" s="28"/>
    </row>
    <row r="60" spans="1:12">
      <c r="H60" s="28"/>
      <c r="I60" s="28"/>
      <c r="J60" s="28"/>
      <c r="K60" s="28"/>
      <c r="L60" s="28"/>
    </row>
    <row r="61" spans="1:12">
      <c r="H61" s="28"/>
      <c r="I61" s="28"/>
      <c r="J61" s="28"/>
      <c r="K61" s="28"/>
      <c r="L61" s="28"/>
    </row>
    <row r="62" spans="1:12">
      <c r="H62" s="28"/>
      <c r="I62" s="28"/>
      <c r="J62" s="28"/>
      <c r="K62" s="28"/>
      <c r="L62" s="28"/>
    </row>
    <row r="63" spans="1:12">
      <c r="H63" s="28"/>
      <c r="I63" s="28"/>
      <c r="J63" s="28"/>
      <c r="K63" s="28"/>
      <c r="L63" s="28"/>
    </row>
    <row r="64" spans="1:12">
      <c r="H64" s="28"/>
      <c r="I64" s="28"/>
      <c r="J64" s="28"/>
      <c r="K64" s="28"/>
      <c r="L64" s="28"/>
    </row>
    <row r="65" spans="8:12">
      <c r="H65" s="28"/>
      <c r="I65" s="28"/>
      <c r="J65" s="28"/>
      <c r="K65" s="28"/>
      <c r="L65" s="28"/>
    </row>
    <row r="66" spans="8:12">
      <c r="H66" s="28"/>
      <c r="I66" s="28"/>
      <c r="J66" s="28"/>
      <c r="K66" s="28"/>
      <c r="L66" s="28"/>
    </row>
    <row r="67" spans="8:12">
      <c r="H67" s="28"/>
      <c r="I67" s="28"/>
      <c r="J67" s="28"/>
      <c r="K67" s="28"/>
      <c r="L67" s="28"/>
    </row>
    <row r="68" spans="8:12">
      <c r="H68" s="28"/>
      <c r="I68" s="28"/>
      <c r="J68" s="28"/>
      <c r="K68" s="28"/>
      <c r="L68" s="28"/>
    </row>
    <row r="69" spans="8:12">
      <c r="H69" s="28"/>
      <c r="I69" s="28"/>
      <c r="J69" s="28"/>
      <c r="K69" s="28"/>
      <c r="L69" s="28"/>
    </row>
    <row r="70" spans="8:12">
      <c r="H70" s="28"/>
      <c r="I70" s="28"/>
      <c r="J70" s="28"/>
      <c r="K70" s="28"/>
      <c r="L70" s="28"/>
    </row>
    <row r="71" spans="8:12">
      <c r="H71" s="28"/>
      <c r="I71" s="28"/>
      <c r="J71" s="28"/>
      <c r="K71" s="28"/>
      <c r="L71" s="28"/>
    </row>
    <row r="72" spans="8:12">
      <c r="H72" s="28"/>
      <c r="I72" s="28"/>
      <c r="J72" s="28"/>
      <c r="K72" s="28"/>
      <c r="L72" s="28"/>
    </row>
    <row r="73" spans="8:12">
      <c r="H73" s="28"/>
      <c r="I73" s="28"/>
      <c r="J73" s="28"/>
      <c r="K73" s="28"/>
      <c r="L73" s="28"/>
    </row>
    <row r="74" spans="8:12">
      <c r="H74" s="28"/>
      <c r="I74" s="28"/>
      <c r="J74" s="28"/>
      <c r="K74" s="28"/>
      <c r="L74" s="28"/>
    </row>
    <row r="75" spans="8:12">
      <c r="H75" s="28"/>
      <c r="I75" s="28"/>
      <c r="J75" s="28"/>
      <c r="K75" s="28"/>
      <c r="L75" s="28"/>
    </row>
    <row r="76" spans="8:12">
      <c r="H76" s="28"/>
      <c r="I76" s="28"/>
      <c r="J76" s="28"/>
      <c r="K76" s="28"/>
      <c r="L76" s="28"/>
    </row>
    <row r="77" spans="8:12">
      <c r="H77" s="28"/>
      <c r="I77" s="28"/>
      <c r="J77" s="28"/>
      <c r="K77" s="28"/>
      <c r="L77" s="28"/>
    </row>
    <row r="78" spans="8:12">
      <c r="H78" s="28"/>
      <c r="I78" s="28"/>
      <c r="J78" s="28"/>
      <c r="K78" s="28"/>
      <c r="L78" s="28"/>
    </row>
    <row r="79" spans="8:12">
      <c r="H79" s="28"/>
      <c r="I79" s="28"/>
      <c r="J79" s="28"/>
      <c r="K79" s="28"/>
      <c r="L79" s="28"/>
    </row>
    <row r="80" spans="8:12">
      <c r="H80" s="28"/>
      <c r="I80" s="28"/>
      <c r="J80" s="28"/>
      <c r="K80" s="28"/>
      <c r="L80" s="28"/>
    </row>
    <row r="81" spans="8:12">
      <c r="H81" s="28"/>
      <c r="I81" s="28"/>
      <c r="J81" s="28"/>
      <c r="K81" s="28"/>
      <c r="L81" s="28"/>
    </row>
    <row r="82" spans="8:12">
      <c r="H82" s="28"/>
      <c r="I82" s="28"/>
      <c r="J82" s="28"/>
      <c r="K82" s="28"/>
      <c r="L82" s="28"/>
    </row>
    <row r="83" spans="8:12">
      <c r="H83" s="28"/>
      <c r="I83" s="28"/>
      <c r="J83" s="28"/>
      <c r="K83" s="28"/>
      <c r="L83" s="28"/>
    </row>
    <row r="84" spans="8:12">
      <c r="H84" s="28"/>
      <c r="I84" s="28"/>
      <c r="J84" s="28"/>
      <c r="K84" s="28"/>
      <c r="L84" s="28"/>
    </row>
    <row r="85" spans="8:12">
      <c r="H85" s="28"/>
      <c r="I85" s="28"/>
      <c r="J85" s="28"/>
      <c r="K85" s="28"/>
      <c r="L85" s="28"/>
    </row>
    <row r="86" spans="8:12">
      <c r="H86" s="28"/>
      <c r="I86" s="28"/>
      <c r="J86" s="28"/>
      <c r="K86" s="28"/>
      <c r="L86" s="28"/>
    </row>
    <row r="87" spans="8:12">
      <c r="H87" s="28"/>
      <c r="I87" s="28"/>
      <c r="J87" s="28"/>
      <c r="K87" s="28"/>
      <c r="L87" s="28"/>
    </row>
    <row r="88" spans="8:12">
      <c r="H88" s="28"/>
      <c r="I88" s="28"/>
      <c r="J88" s="28"/>
      <c r="K88" s="28"/>
      <c r="L88" s="28"/>
    </row>
    <row r="89" spans="8:12">
      <c r="H89" s="28"/>
      <c r="I89" s="28"/>
      <c r="J89" s="28"/>
      <c r="K89" s="28"/>
      <c r="L89" s="28"/>
    </row>
    <row r="90" spans="8:12">
      <c r="H90" s="28"/>
      <c r="I90" s="28"/>
      <c r="J90" s="28"/>
      <c r="K90" s="28"/>
      <c r="L90" s="28"/>
    </row>
    <row r="91" spans="8:12">
      <c r="H91" s="28"/>
      <c r="I91" s="28"/>
      <c r="J91" s="28"/>
      <c r="K91" s="28"/>
      <c r="L91" s="28"/>
    </row>
    <row r="92" spans="8:12">
      <c r="H92" s="28"/>
      <c r="I92" s="28"/>
      <c r="J92" s="28"/>
      <c r="K92" s="28"/>
      <c r="L92" s="28"/>
    </row>
    <row r="93" spans="8:12">
      <c r="H93" s="28"/>
      <c r="I93" s="28"/>
      <c r="J93" s="28"/>
      <c r="K93" s="28"/>
      <c r="L93" s="28"/>
    </row>
    <row r="94" spans="8:12">
      <c r="H94" s="28"/>
      <c r="I94" s="28"/>
      <c r="J94" s="28"/>
      <c r="K94" s="28"/>
      <c r="L94" s="28"/>
    </row>
    <row r="95" spans="8:12">
      <c r="H95" s="28"/>
      <c r="I95" s="28"/>
      <c r="J95" s="28"/>
      <c r="K95" s="28"/>
      <c r="L95" s="28"/>
    </row>
    <row r="96" spans="8:12">
      <c r="H96" s="28"/>
      <c r="I96" s="28"/>
      <c r="J96" s="28"/>
      <c r="K96" s="28"/>
      <c r="L96" s="28"/>
    </row>
    <row r="97" spans="8:12">
      <c r="H97" s="28"/>
      <c r="I97" s="28"/>
      <c r="J97" s="28"/>
      <c r="K97" s="28"/>
      <c r="L97" s="28"/>
    </row>
    <row r="98" spans="8:12">
      <c r="H98" s="28"/>
      <c r="I98" s="28"/>
      <c r="J98" s="28"/>
      <c r="K98" s="28"/>
      <c r="L98" s="28"/>
    </row>
    <row r="99" spans="8:12">
      <c r="H99" s="28"/>
      <c r="I99" s="28"/>
      <c r="J99" s="28"/>
      <c r="K99" s="28"/>
      <c r="L99" s="28"/>
    </row>
    <row r="100" spans="8:12">
      <c r="H100" s="28"/>
      <c r="I100" s="28"/>
      <c r="J100" s="28"/>
      <c r="K100" s="28"/>
      <c r="L100" s="28"/>
    </row>
    <row r="101" spans="8:12">
      <c r="H101" s="28"/>
      <c r="I101" s="28"/>
      <c r="J101" s="28"/>
      <c r="K101" s="28"/>
      <c r="L101" s="28"/>
    </row>
    <row r="102" spans="8:12">
      <c r="H102" s="28"/>
      <c r="I102" s="28"/>
      <c r="J102" s="28"/>
      <c r="K102" s="28"/>
      <c r="L102" s="28"/>
    </row>
    <row r="103" spans="8:12">
      <c r="H103" s="28"/>
      <c r="I103" s="28"/>
      <c r="J103" s="28"/>
      <c r="K103" s="28"/>
      <c r="L103" s="28"/>
    </row>
    <row r="104" spans="8:12">
      <c r="H104" s="28"/>
      <c r="I104" s="28"/>
      <c r="J104" s="28"/>
      <c r="K104" s="28"/>
      <c r="L104" s="28"/>
    </row>
    <row r="105" spans="8:12">
      <c r="H105" s="28"/>
      <c r="I105" s="28"/>
      <c r="J105" s="28"/>
      <c r="K105" s="28"/>
      <c r="L105" s="28"/>
    </row>
    <row r="106" spans="8:12">
      <c r="H106" s="28"/>
      <c r="I106" s="28"/>
      <c r="J106" s="28"/>
      <c r="K106" s="28"/>
      <c r="L106" s="28"/>
    </row>
    <row r="107" spans="8:12">
      <c r="H107" s="28"/>
      <c r="I107" s="28"/>
      <c r="J107" s="28"/>
      <c r="K107" s="28"/>
      <c r="L107" s="28"/>
    </row>
    <row r="108" spans="8:12">
      <c r="H108" s="28"/>
      <c r="I108" s="28"/>
      <c r="J108" s="28"/>
      <c r="K108" s="28"/>
      <c r="L108" s="28"/>
    </row>
    <row r="109" spans="8:12">
      <c r="H109" s="28"/>
      <c r="I109" s="28"/>
      <c r="J109" s="28"/>
      <c r="K109" s="28"/>
      <c r="L109" s="28"/>
    </row>
    <row r="110" spans="8:12">
      <c r="H110" s="28"/>
      <c r="I110" s="28"/>
      <c r="J110" s="28"/>
      <c r="K110" s="28"/>
      <c r="L110" s="28"/>
    </row>
    <row r="111" spans="8:12">
      <c r="H111" s="28"/>
      <c r="I111" s="28"/>
      <c r="J111" s="28"/>
      <c r="K111" s="28"/>
      <c r="L111" s="28"/>
    </row>
    <row r="112" spans="8:12">
      <c r="H112" s="28"/>
      <c r="I112" s="28"/>
      <c r="J112" s="28"/>
      <c r="K112" s="28"/>
      <c r="L112" s="28"/>
    </row>
    <row r="113" spans="8:12">
      <c r="H113" s="28"/>
      <c r="I113" s="28"/>
      <c r="J113" s="28"/>
      <c r="K113" s="28"/>
      <c r="L113" s="28"/>
    </row>
    <row r="114" spans="8:12">
      <c r="H114" s="28"/>
      <c r="I114" s="28"/>
      <c r="J114" s="28"/>
      <c r="K114" s="28"/>
      <c r="L114" s="28"/>
    </row>
    <row r="115" spans="8:12">
      <c r="H115" s="28"/>
      <c r="I115" s="28"/>
      <c r="J115" s="28"/>
      <c r="K115" s="28"/>
      <c r="L115" s="28"/>
    </row>
    <row r="116" spans="8:12">
      <c r="H116" s="28"/>
      <c r="I116" s="28"/>
      <c r="J116" s="28"/>
      <c r="K116" s="28"/>
      <c r="L116" s="28"/>
    </row>
    <row r="117" spans="8:12">
      <c r="H117" s="28"/>
      <c r="I117" s="28"/>
      <c r="J117" s="28"/>
      <c r="K117" s="28"/>
      <c r="L117" s="28"/>
    </row>
    <row r="118" spans="8:12">
      <c r="H118" s="28"/>
      <c r="I118" s="28"/>
      <c r="J118" s="28"/>
      <c r="K118" s="28"/>
      <c r="L118" s="28"/>
    </row>
    <row r="119" spans="8:12">
      <c r="H119" s="28"/>
      <c r="I119" s="28"/>
      <c r="J119" s="28"/>
      <c r="K119" s="28"/>
      <c r="L119" s="28"/>
    </row>
    <row r="120" spans="8:12">
      <c r="H120" s="28"/>
      <c r="I120" s="28"/>
      <c r="J120" s="28"/>
      <c r="K120" s="28"/>
      <c r="L120" s="28"/>
    </row>
    <row r="121" spans="8:12">
      <c r="H121" s="28"/>
      <c r="I121" s="28"/>
      <c r="J121" s="28"/>
      <c r="K121" s="28"/>
      <c r="L121" s="28"/>
    </row>
    <row r="122" spans="8:12">
      <c r="H122" s="28"/>
      <c r="I122" s="28"/>
      <c r="J122" s="28"/>
      <c r="K122" s="28"/>
      <c r="L122" s="28"/>
    </row>
    <row r="123" spans="8:12">
      <c r="H123" s="28"/>
      <c r="I123" s="28"/>
      <c r="J123" s="28"/>
      <c r="K123" s="28"/>
      <c r="L123" s="28"/>
    </row>
    <row r="124" spans="8:12">
      <c r="H124" s="28"/>
      <c r="I124" s="28"/>
      <c r="J124" s="28"/>
      <c r="K124" s="28"/>
      <c r="L124" s="28"/>
    </row>
    <row r="125" spans="8:12">
      <c r="H125" s="28"/>
      <c r="I125" s="28"/>
      <c r="J125" s="28"/>
      <c r="K125" s="28"/>
      <c r="L125" s="28"/>
    </row>
    <row r="126" spans="8:12">
      <c r="H126" s="28"/>
      <c r="I126" s="28"/>
      <c r="J126" s="28"/>
      <c r="K126" s="28"/>
      <c r="L126" s="28"/>
    </row>
    <row r="127" spans="8:12">
      <c r="H127" s="28"/>
      <c r="I127" s="28"/>
      <c r="J127" s="28"/>
      <c r="K127" s="28"/>
      <c r="L127" s="28"/>
    </row>
    <row r="128" spans="8:12">
      <c r="H128" s="28"/>
      <c r="I128" s="28"/>
      <c r="J128" s="28"/>
      <c r="K128" s="28"/>
      <c r="L128" s="28"/>
    </row>
    <row r="129" spans="8:12">
      <c r="H129" s="28"/>
      <c r="I129" s="28"/>
      <c r="J129" s="28"/>
      <c r="K129" s="28"/>
      <c r="L129" s="28"/>
    </row>
    <row r="130" spans="8:12">
      <c r="H130" s="28"/>
      <c r="I130" s="28"/>
      <c r="J130" s="28"/>
      <c r="K130" s="28"/>
      <c r="L130" s="28"/>
    </row>
    <row r="131" spans="8:12">
      <c r="H131" s="28"/>
      <c r="I131" s="28"/>
      <c r="J131" s="28"/>
      <c r="K131" s="28"/>
      <c r="L131" s="28"/>
    </row>
    <row r="132" spans="8:12">
      <c r="H132" s="28"/>
      <c r="I132" s="28"/>
      <c r="J132" s="28"/>
      <c r="K132" s="28"/>
      <c r="L132" s="28"/>
    </row>
    <row r="133" spans="8:12">
      <c r="H133" s="28"/>
      <c r="I133" s="28"/>
      <c r="J133" s="28"/>
      <c r="K133" s="28"/>
      <c r="L133" s="28"/>
    </row>
    <row r="134" spans="8:12">
      <c r="H134" s="28"/>
      <c r="I134" s="28"/>
      <c r="J134" s="28"/>
      <c r="K134" s="28"/>
      <c r="L134" s="28"/>
    </row>
    <row r="135" spans="8:12">
      <c r="H135" s="28"/>
      <c r="I135" s="28"/>
      <c r="J135" s="28"/>
      <c r="K135" s="28"/>
      <c r="L135" s="28"/>
    </row>
    <row r="136" spans="8:12">
      <c r="H136" s="28"/>
      <c r="I136" s="28"/>
      <c r="J136" s="28"/>
      <c r="K136" s="28"/>
      <c r="L136" s="28"/>
    </row>
    <row r="137" spans="8:12">
      <c r="H137" s="28"/>
      <c r="I137" s="28"/>
      <c r="J137" s="28"/>
      <c r="K137" s="28"/>
      <c r="L137" s="28"/>
    </row>
    <row r="138" spans="8:12">
      <c r="H138" s="28"/>
      <c r="I138" s="28"/>
      <c r="J138" s="28"/>
      <c r="K138" s="28"/>
      <c r="L138" s="28"/>
    </row>
    <row r="139" spans="8:12">
      <c r="H139" s="28"/>
      <c r="I139" s="28"/>
      <c r="J139" s="28"/>
      <c r="K139" s="28"/>
      <c r="L139" s="28"/>
    </row>
    <row r="140" spans="8:12">
      <c r="H140" s="28"/>
      <c r="I140" s="28"/>
      <c r="J140" s="28"/>
      <c r="K140" s="28"/>
      <c r="L140" s="28"/>
    </row>
    <row r="141" spans="8:12">
      <c r="H141" s="28"/>
      <c r="I141" s="28"/>
      <c r="J141" s="28"/>
      <c r="K141" s="28"/>
      <c r="L141" s="28"/>
    </row>
    <row r="142" spans="8:12">
      <c r="H142" s="28"/>
      <c r="I142" s="28"/>
      <c r="J142" s="28"/>
      <c r="K142" s="28"/>
      <c r="L142" s="28"/>
    </row>
    <row r="143" spans="8:12">
      <c r="H143" s="28"/>
      <c r="I143" s="28"/>
      <c r="J143" s="28"/>
      <c r="K143" s="28"/>
      <c r="L143" s="28"/>
    </row>
    <row r="144" spans="8:12">
      <c r="H144" s="28"/>
      <c r="I144" s="28"/>
      <c r="J144" s="28"/>
      <c r="K144" s="28"/>
      <c r="L144" s="28"/>
    </row>
    <row r="145" spans="8:12">
      <c r="H145" s="28"/>
      <c r="I145" s="28"/>
      <c r="J145" s="28"/>
      <c r="K145" s="28"/>
      <c r="L145" s="28"/>
    </row>
    <row r="146" spans="8:12">
      <c r="H146" s="28"/>
      <c r="I146" s="28"/>
      <c r="J146" s="28"/>
      <c r="K146" s="28"/>
      <c r="L146" s="28"/>
    </row>
    <row r="147" spans="8:12">
      <c r="H147" s="28"/>
      <c r="I147" s="28"/>
      <c r="J147" s="28"/>
      <c r="K147" s="28"/>
      <c r="L147" s="28"/>
    </row>
    <row r="148" spans="8:12">
      <c r="H148" s="28"/>
      <c r="I148" s="28"/>
      <c r="J148" s="28"/>
      <c r="K148" s="28"/>
      <c r="L148" s="28"/>
    </row>
    <row r="149" spans="8:12">
      <c r="H149" s="28"/>
      <c r="I149" s="28"/>
      <c r="J149" s="28"/>
      <c r="K149" s="28"/>
      <c r="L149" s="28"/>
    </row>
    <row r="150" spans="8:12">
      <c r="H150" s="28"/>
      <c r="I150" s="28"/>
      <c r="J150" s="28"/>
      <c r="K150" s="28"/>
      <c r="L150" s="28"/>
    </row>
    <row r="151" spans="8:12">
      <c r="H151" s="28"/>
      <c r="I151" s="28"/>
      <c r="J151" s="28"/>
      <c r="K151" s="28"/>
      <c r="L151" s="28"/>
    </row>
    <row r="152" spans="8:12">
      <c r="H152" s="28"/>
      <c r="I152" s="28"/>
      <c r="J152" s="28"/>
      <c r="K152" s="28"/>
      <c r="L152" s="28"/>
    </row>
    <row r="153" spans="8:12">
      <c r="H153" s="28"/>
      <c r="I153" s="28"/>
      <c r="J153" s="28"/>
      <c r="K153" s="28"/>
      <c r="L153" s="28"/>
    </row>
    <row r="154" spans="8:12">
      <c r="H154" s="28"/>
      <c r="I154" s="28"/>
      <c r="J154" s="28"/>
      <c r="K154" s="28"/>
      <c r="L154" s="28"/>
    </row>
    <row r="155" spans="8:12">
      <c r="H155" s="28"/>
      <c r="I155" s="28"/>
      <c r="J155" s="28"/>
      <c r="K155" s="28"/>
      <c r="L155" s="28"/>
    </row>
    <row r="156" spans="8:12">
      <c r="H156" s="28"/>
      <c r="I156" s="28"/>
      <c r="J156" s="28"/>
      <c r="K156" s="28"/>
      <c r="L156" s="28"/>
    </row>
    <row r="157" spans="8:12">
      <c r="H157" s="28"/>
      <c r="I157" s="28"/>
      <c r="J157" s="28"/>
      <c r="K157" s="28"/>
      <c r="L157" s="28"/>
    </row>
    <row r="158" spans="8:12">
      <c r="H158" s="28"/>
      <c r="I158" s="28"/>
      <c r="J158" s="28"/>
      <c r="K158" s="28"/>
      <c r="L158" s="28"/>
    </row>
    <row r="159" spans="8:12">
      <c r="H159" s="28"/>
      <c r="I159" s="28"/>
      <c r="J159" s="28"/>
      <c r="K159" s="28"/>
      <c r="L159" s="28"/>
    </row>
    <row r="160" spans="8:12">
      <c r="H160" s="28"/>
      <c r="I160" s="28"/>
      <c r="J160" s="28"/>
      <c r="K160" s="28"/>
      <c r="L160" s="28"/>
    </row>
    <row r="161" spans="8:12">
      <c r="H161" s="28"/>
      <c r="I161" s="28"/>
      <c r="J161" s="28"/>
      <c r="K161" s="28"/>
      <c r="L161" s="28"/>
    </row>
    <row r="162" spans="8:12">
      <c r="H162" s="28"/>
      <c r="I162" s="28"/>
      <c r="J162" s="28"/>
      <c r="K162" s="28"/>
      <c r="L162" s="28"/>
    </row>
    <row r="163" spans="8:12">
      <c r="H163" s="28"/>
      <c r="I163" s="28"/>
      <c r="J163" s="28"/>
      <c r="K163" s="28"/>
      <c r="L163" s="28"/>
    </row>
    <row r="164" spans="8:12">
      <c r="H164" s="28"/>
      <c r="I164" s="28"/>
      <c r="J164" s="28"/>
      <c r="K164" s="28"/>
      <c r="L164" s="28"/>
    </row>
    <row r="165" spans="8:12">
      <c r="H165" s="28"/>
      <c r="I165" s="28"/>
      <c r="J165" s="28"/>
      <c r="K165" s="28"/>
      <c r="L165" s="28"/>
    </row>
    <row r="166" spans="8:12">
      <c r="H166" s="28"/>
      <c r="I166" s="28"/>
      <c r="J166" s="28"/>
      <c r="K166" s="28"/>
      <c r="L166" s="28"/>
    </row>
    <row r="167" spans="8:12">
      <c r="H167" s="28"/>
      <c r="I167" s="28"/>
      <c r="J167" s="28"/>
      <c r="K167" s="28"/>
      <c r="L167" s="28"/>
    </row>
    <row r="168" spans="8:12">
      <c r="H168" s="28"/>
      <c r="I168" s="28"/>
      <c r="J168" s="28"/>
      <c r="K168" s="28"/>
      <c r="L168" s="28"/>
    </row>
    <row r="169" spans="8:12">
      <c r="H169" s="28"/>
      <c r="I169" s="28"/>
      <c r="J169" s="28"/>
      <c r="K169" s="28"/>
      <c r="L169" s="28"/>
    </row>
    <row r="170" spans="8:12">
      <c r="H170" s="28"/>
      <c r="I170" s="28"/>
      <c r="J170" s="28"/>
      <c r="K170" s="28"/>
      <c r="L170" s="28"/>
    </row>
    <row r="171" spans="8:12">
      <c r="H171" s="28"/>
      <c r="I171" s="28"/>
      <c r="J171" s="28"/>
      <c r="K171" s="28"/>
      <c r="L171" s="28"/>
    </row>
    <row r="172" spans="8:12">
      <c r="H172" s="28"/>
      <c r="I172" s="28"/>
      <c r="J172" s="28"/>
      <c r="K172" s="28"/>
      <c r="L172" s="28"/>
    </row>
    <row r="173" spans="8:12">
      <c r="H173" s="28"/>
      <c r="I173" s="28"/>
      <c r="J173" s="28"/>
      <c r="K173" s="28"/>
      <c r="L173" s="28"/>
    </row>
    <row r="174" spans="8:12">
      <c r="H174" s="28"/>
      <c r="I174" s="28"/>
      <c r="J174" s="28"/>
      <c r="K174" s="28"/>
      <c r="L174" s="28"/>
    </row>
    <row r="175" spans="8:12">
      <c r="H175" s="28"/>
      <c r="I175" s="28"/>
      <c r="J175" s="28"/>
      <c r="K175" s="28"/>
      <c r="L175" s="28"/>
    </row>
    <row r="176" spans="8:12">
      <c r="H176" s="28"/>
      <c r="I176" s="28"/>
      <c r="J176" s="28"/>
      <c r="K176" s="28"/>
      <c r="L176" s="28"/>
    </row>
    <row r="177" spans="8:12">
      <c r="H177" s="28"/>
      <c r="I177" s="28"/>
      <c r="J177" s="28"/>
      <c r="K177" s="28"/>
      <c r="L177" s="28"/>
    </row>
    <row r="178" spans="8:12">
      <c r="H178" s="28"/>
      <c r="I178" s="28"/>
      <c r="J178" s="28"/>
      <c r="K178" s="28"/>
      <c r="L178" s="28"/>
    </row>
    <row r="179" spans="8:12">
      <c r="H179" s="28"/>
      <c r="I179" s="28"/>
      <c r="J179" s="28"/>
      <c r="K179" s="28"/>
      <c r="L179" s="28"/>
    </row>
    <row r="180" spans="8:12">
      <c r="H180" s="28"/>
      <c r="I180" s="28"/>
      <c r="J180" s="28"/>
      <c r="K180" s="28"/>
      <c r="L180" s="28"/>
    </row>
    <row r="181" spans="8:12">
      <c r="H181" s="28"/>
      <c r="I181" s="28"/>
      <c r="J181" s="28"/>
      <c r="K181" s="28"/>
      <c r="L181" s="28"/>
    </row>
    <row r="182" spans="8:12">
      <c r="H182" s="28"/>
      <c r="I182" s="28"/>
      <c r="J182" s="28"/>
      <c r="K182" s="28"/>
      <c r="L182" s="28"/>
    </row>
    <row r="183" spans="8:12">
      <c r="H183" s="28"/>
      <c r="I183" s="28"/>
      <c r="J183" s="28"/>
      <c r="K183" s="28"/>
      <c r="L183" s="28"/>
    </row>
    <row r="184" spans="8:12">
      <c r="H184" s="28"/>
      <c r="I184" s="28"/>
      <c r="J184" s="28"/>
      <c r="K184" s="28"/>
      <c r="L184" s="28"/>
    </row>
    <row r="185" spans="8:12">
      <c r="H185" s="28"/>
      <c r="I185" s="28"/>
      <c r="J185" s="28"/>
      <c r="K185" s="28"/>
      <c r="L185" s="28"/>
    </row>
    <row r="186" spans="8:12">
      <c r="H186" s="28"/>
      <c r="I186" s="28"/>
      <c r="J186" s="28"/>
      <c r="K186" s="28"/>
      <c r="L186" s="28"/>
    </row>
    <row r="187" spans="8:12">
      <c r="H187" s="28"/>
      <c r="I187" s="28"/>
      <c r="J187" s="28"/>
      <c r="K187" s="28"/>
      <c r="L187" s="28"/>
    </row>
    <row r="188" spans="8:12">
      <c r="H188" s="28"/>
      <c r="I188" s="28"/>
      <c r="J188" s="28"/>
      <c r="K188" s="28"/>
      <c r="L188" s="28"/>
    </row>
    <row r="189" spans="8:12">
      <c r="H189" s="28"/>
      <c r="I189" s="28"/>
      <c r="J189" s="28"/>
      <c r="K189" s="28"/>
      <c r="L189" s="28"/>
    </row>
    <row r="190" spans="8:12">
      <c r="H190" s="28"/>
      <c r="I190" s="28"/>
      <c r="J190" s="28"/>
      <c r="K190" s="28"/>
      <c r="L190" s="28"/>
    </row>
    <row r="191" spans="8:12">
      <c r="H191" s="28"/>
      <c r="I191" s="28"/>
      <c r="J191" s="28"/>
      <c r="K191" s="28"/>
      <c r="L191" s="28"/>
    </row>
    <row r="192" spans="8:12">
      <c r="H192" s="28"/>
      <c r="I192" s="28"/>
      <c r="J192" s="28"/>
      <c r="K192" s="28"/>
      <c r="L192" s="28"/>
    </row>
    <row r="193" spans="8:12">
      <c r="H193" s="28"/>
      <c r="I193" s="28"/>
      <c r="J193" s="28"/>
      <c r="K193" s="28"/>
      <c r="L193" s="28"/>
    </row>
    <row r="194" spans="8:12">
      <c r="H194" s="28"/>
      <c r="I194" s="28"/>
      <c r="J194" s="28"/>
      <c r="K194" s="28"/>
      <c r="L194" s="28"/>
    </row>
    <row r="195" spans="8:12">
      <c r="H195" s="28"/>
      <c r="I195" s="28"/>
      <c r="J195" s="28"/>
      <c r="K195" s="28"/>
      <c r="L195" s="28"/>
    </row>
    <row r="196" spans="8:12">
      <c r="H196" s="28"/>
      <c r="I196" s="28"/>
      <c r="J196" s="28"/>
      <c r="K196" s="28"/>
      <c r="L196" s="28"/>
    </row>
    <row r="197" spans="8:12">
      <c r="H197" s="28"/>
      <c r="I197" s="28"/>
      <c r="J197" s="28"/>
      <c r="K197" s="28"/>
      <c r="L197" s="28"/>
    </row>
    <row r="198" spans="8:12">
      <c r="H198" s="28"/>
      <c r="I198" s="28"/>
      <c r="J198" s="28"/>
      <c r="K198" s="28"/>
      <c r="L198" s="28"/>
    </row>
    <row r="199" spans="8:12">
      <c r="H199" s="28"/>
      <c r="I199" s="28"/>
      <c r="J199" s="28"/>
      <c r="K199" s="28"/>
      <c r="L199" s="28"/>
    </row>
    <row r="200" spans="8:12">
      <c r="H200" s="28"/>
      <c r="I200" s="28"/>
      <c r="J200" s="28"/>
      <c r="K200" s="28"/>
      <c r="L200" s="28"/>
    </row>
    <row r="201" spans="8:12">
      <c r="H201" s="28"/>
      <c r="I201" s="28"/>
      <c r="J201" s="28"/>
      <c r="K201" s="28"/>
      <c r="L201" s="28"/>
    </row>
    <row r="202" spans="8:12">
      <c r="H202" s="28"/>
      <c r="I202" s="28"/>
      <c r="J202" s="28"/>
      <c r="K202" s="28"/>
      <c r="L202" s="28"/>
    </row>
    <row r="203" spans="8:12">
      <c r="H203" s="28"/>
      <c r="I203" s="28"/>
      <c r="J203" s="28"/>
      <c r="K203" s="28"/>
      <c r="L203" s="28"/>
    </row>
    <row r="204" spans="8:12">
      <c r="H204" s="28"/>
      <c r="I204" s="28"/>
      <c r="J204" s="28"/>
      <c r="K204" s="28"/>
      <c r="L204" s="28"/>
    </row>
    <row r="205" spans="8:12">
      <c r="H205" s="28"/>
      <c r="I205" s="28"/>
      <c r="J205" s="28"/>
      <c r="K205" s="28"/>
      <c r="L205" s="28"/>
    </row>
    <row r="206" spans="8:12">
      <c r="H206" s="28"/>
      <c r="I206" s="28"/>
      <c r="J206" s="28"/>
      <c r="K206" s="28"/>
      <c r="L206" s="28"/>
    </row>
    <row r="207" spans="8:12">
      <c r="H207" s="28"/>
      <c r="I207" s="28"/>
      <c r="J207" s="28"/>
      <c r="K207" s="28"/>
      <c r="L207" s="28"/>
    </row>
    <row r="208" spans="8:12">
      <c r="H208" s="28"/>
      <c r="I208" s="28"/>
      <c r="J208" s="28"/>
      <c r="K208" s="28"/>
      <c r="L208" s="28"/>
    </row>
    <row r="209" spans="8:12">
      <c r="H209" s="28"/>
      <c r="I209" s="28"/>
      <c r="J209" s="28"/>
      <c r="K209" s="28"/>
      <c r="L209" s="28"/>
    </row>
    <row r="210" spans="8:12">
      <c r="H210" s="28"/>
      <c r="I210" s="28"/>
      <c r="J210" s="28"/>
      <c r="K210" s="28"/>
      <c r="L210" s="28"/>
    </row>
    <row r="211" spans="8:12">
      <c r="H211" s="28"/>
      <c r="I211" s="28"/>
      <c r="J211" s="28"/>
      <c r="K211" s="28"/>
      <c r="L211" s="28"/>
    </row>
    <row r="212" spans="8:12">
      <c r="H212" s="28"/>
      <c r="I212" s="28"/>
      <c r="J212" s="28"/>
      <c r="K212" s="28"/>
      <c r="L212" s="28"/>
    </row>
  </sheetData>
  <mergeCells count="38">
    <mergeCell ref="E42:F42"/>
    <mergeCell ref="B3:D3"/>
    <mergeCell ref="E50:F50"/>
    <mergeCell ref="H8:P8"/>
    <mergeCell ref="A9:B9"/>
    <mergeCell ref="A10:B10"/>
    <mergeCell ref="A11:B11"/>
    <mergeCell ref="A12:B12"/>
    <mergeCell ref="A13:B13"/>
    <mergeCell ref="A14:B14"/>
    <mergeCell ref="A15:B15"/>
    <mergeCell ref="A17:B17"/>
    <mergeCell ref="A18:B18"/>
    <mergeCell ref="A16:B16"/>
    <mergeCell ref="A19:B19"/>
    <mergeCell ref="A20:B20"/>
    <mergeCell ref="A28:B28"/>
    <mergeCell ref="A21:B21"/>
    <mergeCell ref="A22:B22"/>
    <mergeCell ref="A23:B23"/>
    <mergeCell ref="A24:B24"/>
    <mergeCell ref="A25:B25"/>
    <mergeCell ref="B4:D4"/>
    <mergeCell ref="A38:B38"/>
    <mergeCell ref="A41:B41"/>
    <mergeCell ref="A40:B40"/>
    <mergeCell ref="A39:B39"/>
    <mergeCell ref="A35:B35"/>
    <mergeCell ref="A32:B32"/>
    <mergeCell ref="A33:B33"/>
    <mergeCell ref="A34:B34"/>
    <mergeCell ref="A36:B36"/>
    <mergeCell ref="A37:B37"/>
    <mergeCell ref="A26:B26"/>
    <mergeCell ref="A27:B27"/>
    <mergeCell ref="A29:B29"/>
    <mergeCell ref="A30:B30"/>
    <mergeCell ref="A31:B31"/>
  </mergeCells>
  <dataValidations count="2">
    <dataValidation type="list" allowBlank="1" showInputMessage="1" showErrorMessage="1" sqref="I4" xr:uid="{6A3506AE-CDE8-4442-9DAC-BBD30E5F286F}">
      <formula1>month_ends</formula1>
    </dataValidation>
    <dataValidation type="list" allowBlank="1" showInputMessage="1" showErrorMessage="1" sqref="B3" xr:uid="{7E5084E9-201C-FC4C-B487-CCA3E6207450}">
      <formula1>c_parties</formula1>
    </dataValidation>
  </dataValidations>
  <pageMargins left="0.7" right="0.7" top="0.75" bottom="0.75" header="0.3" footer="0.3"/>
  <pageSetup paperSize="9" scale="67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373B-CE0F-D949-9BA7-5F4A6E6CD44D}">
  <sheetPr codeName="Sheet15">
    <pageSetUpPr fitToPage="1"/>
  </sheetPr>
  <dimension ref="B2:F17"/>
  <sheetViews>
    <sheetView zoomScaleNormal="100" workbookViewId="0">
      <selection activeCell="K54" sqref="K54"/>
    </sheetView>
  </sheetViews>
  <sheetFormatPr baseColWidth="10" defaultColWidth="10.5" defaultRowHeight="16"/>
  <cols>
    <col min="1" max="1" width="2" customWidth="1"/>
    <col min="2" max="2" width="50" customWidth="1"/>
    <col min="3" max="3" width="18" customWidth="1"/>
    <col min="4" max="4" width="16.5" customWidth="1"/>
    <col min="5" max="5" width="25.6640625" customWidth="1"/>
    <col min="7" max="7" width="22" customWidth="1"/>
  </cols>
  <sheetData>
    <row r="2" spans="2:6" ht="49.5" customHeight="1">
      <c r="C2" s="283" t="s">
        <v>2122</v>
      </c>
      <c r="D2" s="283"/>
      <c r="E2" s="232">
        <f>'Billing Control'!H2</f>
        <v>44439</v>
      </c>
      <c r="F2" s="30"/>
    </row>
    <row r="4" spans="2:6" ht="24">
      <c r="D4" s="32" t="s">
        <v>2123</v>
      </c>
      <c r="E4" s="34">
        <f>GETPIVOTDATA("Number Txn",$B$10)</f>
        <v>9</v>
      </c>
    </row>
    <row r="5" spans="2:6" ht="24">
      <c r="D5" s="32" t="s">
        <v>2124</v>
      </c>
      <c r="E5" s="33">
        <f>SUMIFS('Billing Working'!L:L,'Billing Working'!L:L,"&lt;&gt;#N/A",'Billing Working'!I:I,"&lt;&gt;Types")</f>
        <v>295</v>
      </c>
    </row>
    <row r="6" spans="2:6" ht="24">
      <c r="D6" s="32"/>
      <c r="E6" s="33"/>
    </row>
    <row r="7" spans="2:6" ht="24" hidden="1">
      <c r="D7" s="32"/>
      <c r="E7" s="34"/>
    </row>
    <row r="8" spans="2:6" hidden="1">
      <c r="B8" s="16" t="s">
        <v>2</v>
      </c>
      <c r="C8" s="16" t="s">
        <v>2125</v>
      </c>
    </row>
    <row r="9" spans="2:6" ht="19" hidden="1">
      <c r="B9" s="31"/>
    </row>
    <row r="10" spans="2:6" hidden="1">
      <c r="B10" s="16"/>
      <c r="C10" s="16"/>
      <c r="D10" s="16"/>
      <c r="E10" s="16"/>
    </row>
    <row r="11" spans="2:6">
      <c r="B11" s="16"/>
      <c r="C11" s="16"/>
      <c r="D11" s="16" t="s">
        <v>2126</v>
      </c>
      <c r="E11" s="16" t="s">
        <v>2127</v>
      </c>
    </row>
    <row r="12" spans="2:6">
      <c r="B12" s="16" t="s">
        <v>87</v>
      </c>
      <c r="C12" s="16" t="s">
        <v>2128</v>
      </c>
      <c r="D12" s="157">
        <v>3</v>
      </c>
      <c r="E12" s="48">
        <v>75</v>
      </c>
    </row>
    <row r="13" spans="2:6">
      <c r="B13" s="49" t="s">
        <v>2129</v>
      </c>
      <c r="C13" s="49"/>
      <c r="D13" s="165">
        <v>3</v>
      </c>
      <c r="E13" s="50">
        <v>75</v>
      </c>
    </row>
    <row r="14" spans="2:6">
      <c r="B14" s="16" t="s">
        <v>30</v>
      </c>
      <c r="C14" s="16" t="s">
        <v>2130</v>
      </c>
      <c r="D14" s="157">
        <v>4</v>
      </c>
      <c r="E14" s="48">
        <v>120</v>
      </c>
    </row>
    <row r="15" spans="2:6">
      <c r="B15" s="16"/>
      <c r="C15" s="16" t="s">
        <v>2131</v>
      </c>
      <c r="D15" s="157">
        <v>2</v>
      </c>
      <c r="E15" s="48">
        <v>100</v>
      </c>
    </row>
    <row r="16" spans="2:6">
      <c r="B16" s="49" t="s">
        <v>2132</v>
      </c>
      <c r="C16" s="49"/>
      <c r="D16" s="165">
        <v>6</v>
      </c>
      <c r="E16" s="50">
        <v>220</v>
      </c>
    </row>
    <row r="17" spans="2:5" ht="21">
      <c r="B17" s="51" t="s">
        <v>1371</v>
      </c>
      <c r="C17" s="51"/>
      <c r="D17" s="166">
        <v>9</v>
      </c>
      <c r="E17" s="52">
        <v>295</v>
      </c>
    </row>
  </sheetData>
  <sortState xmlns:xlrd2="http://schemas.microsoft.com/office/spreadsheetml/2017/richdata2" ref="B10:E16">
    <sortCondition ref="B11"/>
  </sortState>
  <mergeCells count="1">
    <mergeCell ref="C2:D2"/>
  </mergeCells>
  <pageMargins left="0.7" right="0.7" top="0.75" bottom="0.75" header="0.3" footer="0.3"/>
  <pageSetup paperSize="9" scale="53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1699E-2B84-AC4B-A464-3A1EF7BE7D85}">
  <sheetPr codeName="Sheet13">
    <pageSetUpPr fitToPage="1"/>
  </sheetPr>
  <dimension ref="B2:G40"/>
  <sheetViews>
    <sheetView showGridLines="0" topLeftCell="B1" workbookViewId="0">
      <selection activeCell="K17" sqref="K17"/>
    </sheetView>
  </sheetViews>
  <sheetFormatPr baseColWidth="10" defaultColWidth="10.5" defaultRowHeight="16"/>
  <cols>
    <col min="1" max="1" width="3.5" customWidth="1"/>
    <col min="2" max="2" width="35" customWidth="1"/>
    <col min="3" max="3" width="9.5" customWidth="1"/>
    <col min="4" max="4" width="30" customWidth="1"/>
    <col min="5" max="5" width="11" customWidth="1"/>
    <col min="6" max="6" width="30" customWidth="1"/>
  </cols>
  <sheetData>
    <row r="2" spans="2:6" ht="32.25" customHeight="1">
      <c r="D2" s="24" t="s">
        <v>2133</v>
      </c>
      <c r="E2" s="284">
        <f>'Billing Control'!H2</f>
        <v>44439</v>
      </c>
      <c r="F2" s="284"/>
    </row>
    <row r="4" spans="2:6" s="18" customFormat="1"/>
    <row r="6" spans="2:6" s="20" customFormat="1" ht="45" customHeight="1">
      <c r="B6" s="22" t="s">
        <v>2134</v>
      </c>
      <c r="C6" s="23"/>
      <c r="D6" s="22" t="s">
        <v>2135</v>
      </c>
      <c r="E6" s="23"/>
      <c r="F6" s="22" t="s">
        <v>2136</v>
      </c>
    </row>
    <row r="7" spans="2:6" ht="75" customHeight="1">
      <c r="B7" s="233">
        <f>SUMIFS('DB - Contracting Parties'!I:I,c_parties,"&lt;&gt;Contour Pte. Ltd.")</f>
        <v>3149608</v>
      </c>
      <c r="D7" s="19">
        <f>COUNTA('DB - Identities'!B:B)-1-COUNTIFS('DB - Identities'!B:B,"Contour Pte. Ltd.")</f>
        <v>79</v>
      </c>
      <c r="F7" s="19">
        <f>COUNTIFS('DB - Identities'!V:V,"&gt;0",'DB - Identities'!F:F,"&lt;&gt;Contour Pte. Ltd.")</f>
        <v>0</v>
      </c>
    </row>
    <row r="8" spans="2:6" ht="21">
      <c r="D8" s="21">
        <f>D7/B7</f>
        <v>2.5082486455457314E-5</v>
      </c>
      <c r="F8" s="21">
        <f>F7/B7</f>
        <v>0</v>
      </c>
    </row>
    <row r="9" spans="2:6" ht="21">
      <c r="D9" s="21"/>
      <c r="F9" s="21"/>
    </row>
    <row r="10" spans="2:6" ht="42" customHeight="1">
      <c r="B10" s="22" t="s">
        <v>2137</v>
      </c>
    </row>
    <row r="11" spans="2:6" ht="88">
      <c r="B11" s="233">
        <f>SUMIF('DB - Identities'!L:L,"&lt;&gt;Contour Pte. Ltd.",'DB - Identities'!V:V)</f>
        <v>0</v>
      </c>
    </row>
    <row r="13" spans="2:6" hidden="1"/>
    <row r="14" spans="2:6" ht="33" hidden="1" customHeight="1"/>
    <row r="15" spans="2:6" ht="33" hidden="1" customHeight="1"/>
    <row r="16" spans="2:6" hidden="1"/>
    <row r="17" spans="2:7" hidden="1"/>
    <row r="19" spans="2:7" ht="236.25" customHeight="1">
      <c r="B19" s="285" t="s">
        <v>2138</v>
      </c>
      <c r="C19" s="285"/>
      <c r="D19" s="285"/>
      <c r="E19" s="285"/>
      <c r="F19" s="285"/>
      <c r="G19" s="285"/>
    </row>
    <row r="21" spans="2:7" ht="29">
      <c r="B21" s="44" t="str">
        <f>COUNTIFS('DB - Identities'!D:D,"Bank",'DB - Identities'!B:B,"&lt;&gt;Contour Pte. Ltd.")&amp;"  Bank Identities"</f>
        <v>25  Bank Identities</v>
      </c>
      <c r="C21" s="45"/>
      <c r="D21" s="45"/>
      <c r="E21" s="45"/>
      <c r="F21" s="44" t="str">
        <f>COUNTIFS('DB - Identities'!D:D,"Corporate",'DB - Identities'!B:B,"&lt;&gt;Contour Pte. Ltd.")&amp;"  Corp Identities"</f>
        <v>53  Corp Identities</v>
      </c>
    </row>
    <row r="23" spans="2:7">
      <c r="B23" s="16" t="s">
        <v>2</v>
      </c>
      <c r="C23" s="16" t="s">
        <v>31</v>
      </c>
      <c r="F23" s="16" t="s">
        <v>2</v>
      </c>
      <c r="G23" s="16" t="s">
        <v>66</v>
      </c>
    </row>
    <row r="24" spans="2:7">
      <c r="B24" s="16" t="s">
        <v>982</v>
      </c>
      <c r="C24" s="16" t="s">
        <v>2125</v>
      </c>
      <c r="D24" s="17"/>
      <c r="F24" s="16" t="s">
        <v>982</v>
      </c>
      <c r="G24" s="16" t="s">
        <v>2125</v>
      </c>
    </row>
    <row r="26" spans="2:7">
      <c r="B26" s="16" t="s">
        <v>2139</v>
      </c>
      <c r="C26" s="16"/>
      <c r="F26" s="16" t="s">
        <v>2139</v>
      </c>
      <c r="G26" s="16"/>
    </row>
    <row r="27" spans="2:7">
      <c r="B27" s="16"/>
      <c r="C27" s="16" t="s">
        <v>1344</v>
      </c>
      <c r="F27" s="16"/>
      <c r="G27" s="16" t="s">
        <v>1344</v>
      </c>
    </row>
    <row r="28" spans="2:7">
      <c r="B28" s="16" t="s">
        <v>1019</v>
      </c>
      <c r="C28" s="157">
        <v>3</v>
      </c>
      <c r="F28" s="16" t="s">
        <v>1019</v>
      </c>
      <c r="G28" s="157">
        <v>3</v>
      </c>
    </row>
    <row r="29" spans="2:7">
      <c r="B29" s="16" t="s">
        <v>1025</v>
      </c>
      <c r="C29" s="157">
        <v>3</v>
      </c>
      <c r="F29" s="16" t="s">
        <v>1025</v>
      </c>
      <c r="G29" s="157">
        <v>2</v>
      </c>
    </row>
    <row r="30" spans="2:7">
      <c r="B30" s="16" t="s">
        <v>1011</v>
      </c>
      <c r="C30" s="157">
        <v>1</v>
      </c>
      <c r="F30" s="16" t="s">
        <v>1011</v>
      </c>
      <c r="G30" s="157">
        <v>1</v>
      </c>
    </row>
    <row r="31" spans="2:7">
      <c r="B31" s="16" t="s">
        <v>1031</v>
      </c>
      <c r="C31" s="157">
        <v>2</v>
      </c>
      <c r="F31" s="16" t="s">
        <v>1036</v>
      </c>
      <c r="G31" s="157">
        <v>1</v>
      </c>
    </row>
    <row r="32" spans="2:7">
      <c r="B32" s="16" t="s">
        <v>1036</v>
      </c>
      <c r="C32" s="157">
        <v>1</v>
      </c>
      <c r="F32" s="16" t="s">
        <v>1075</v>
      </c>
      <c r="G32" s="157">
        <v>1</v>
      </c>
    </row>
    <row r="33" spans="2:7">
      <c r="B33" s="16" t="s">
        <v>1052</v>
      </c>
      <c r="C33" s="157">
        <v>1</v>
      </c>
      <c r="F33" s="16" t="s">
        <v>1150</v>
      </c>
      <c r="G33" s="157">
        <v>2</v>
      </c>
    </row>
    <row r="34" spans="2:7">
      <c r="B34" s="16" t="s">
        <v>1060</v>
      </c>
      <c r="C34" s="157">
        <v>1</v>
      </c>
      <c r="F34" s="16" t="s">
        <v>1175</v>
      </c>
      <c r="G34" s="157">
        <v>2</v>
      </c>
    </row>
    <row r="35" spans="2:7">
      <c r="B35" s="16" t="s">
        <v>1082</v>
      </c>
      <c r="C35" s="157">
        <v>1</v>
      </c>
      <c r="F35" s="16" t="s">
        <v>1371</v>
      </c>
      <c r="G35" s="157">
        <v>12</v>
      </c>
    </row>
    <row r="36" spans="2:7">
      <c r="B36" s="16" t="s">
        <v>1092</v>
      </c>
      <c r="C36" s="157">
        <v>1</v>
      </c>
    </row>
    <row r="37" spans="2:7">
      <c r="B37" s="16" t="s">
        <v>1075</v>
      </c>
      <c r="C37" s="157">
        <v>2</v>
      </c>
    </row>
    <row r="38" spans="2:7">
      <c r="B38" s="16" t="s">
        <v>1106</v>
      </c>
      <c r="C38" s="157">
        <v>2</v>
      </c>
    </row>
    <row r="39" spans="2:7">
      <c r="B39" s="16" t="s">
        <v>1164</v>
      </c>
      <c r="C39" s="157">
        <v>1</v>
      </c>
    </row>
    <row r="40" spans="2:7">
      <c r="B40" s="16" t="s">
        <v>1371</v>
      </c>
      <c r="C40" s="157">
        <v>19</v>
      </c>
    </row>
  </sheetData>
  <mergeCells count="2">
    <mergeCell ref="E2:F2"/>
    <mergeCell ref="B19:G19"/>
  </mergeCells>
  <pageMargins left="0.7" right="0.7" top="0.75" bottom="0.75" header="0.3" footer="0.3"/>
  <pageSetup paperSize="9" scale="63" orientation="portrait" r:id="rId3"/>
  <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7583-3DD4-9B47-9B53-4D51DCF9C02F}">
  <sheetPr codeName="Sheet16">
    <pageSetUpPr fitToPage="1"/>
  </sheetPr>
  <dimension ref="A1:J87"/>
  <sheetViews>
    <sheetView topLeftCell="A2" workbookViewId="0">
      <selection activeCell="M42" sqref="M42"/>
    </sheetView>
  </sheetViews>
  <sheetFormatPr baseColWidth="10" defaultColWidth="10.5" defaultRowHeight="16"/>
  <cols>
    <col min="1" max="1" width="13.5" style="176" customWidth="1"/>
    <col min="2" max="2" width="14" style="176" customWidth="1"/>
    <col min="3" max="3" width="73" style="176" customWidth="1"/>
    <col min="4" max="4" width="13.5" style="130" bestFit="1" customWidth="1"/>
    <col min="5" max="5" width="17" customWidth="1"/>
  </cols>
  <sheetData>
    <row r="1" spans="1:10" ht="41.25" customHeight="1">
      <c r="A1" s="286"/>
      <c r="B1" s="286"/>
      <c r="C1" s="288" t="s">
        <v>2140</v>
      </c>
      <c r="D1" s="288"/>
      <c r="E1" s="181">
        <f ca="1">NOW()</f>
        <v>44448.489896180552</v>
      </c>
    </row>
    <row r="2" spans="1:10" ht="41.25" customHeight="1">
      <c r="A2" s="234"/>
      <c r="B2" s="234"/>
      <c r="C2" s="178"/>
      <c r="D2" s="231"/>
      <c r="E2" s="41"/>
    </row>
    <row r="3" spans="1:10" ht="24" customHeight="1">
      <c r="A3" s="179" t="s">
        <v>2</v>
      </c>
      <c r="B3" s="179" t="s">
        <v>2139</v>
      </c>
      <c r="C3" s="179" t="s">
        <v>2114</v>
      </c>
      <c r="D3" s="131" t="s">
        <v>2141</v>
      </c>
      <c r="E3" s="81"/>
    </row>
    <row r="4" spans="1:10" hidden="1">
      <c r="A4" s="158" t="s">
        <v>983</v>
      </c>
      <c r="B4" s="158" t="s">
        <v>2142</v>
      </c>
      <c r="D4" s="228"/>
    </row>
    <row r="5" spans="1:10" hidden="1">
      <c r="A5" s="180"/>
      <c r="B5" s="180"/>
      <c r="C5" s="180"/>
      <c r="D5" s="132"/>
      <c r="G5" s="287"/>
      <c r="H5" s="287"/>
      <c r="I5" s="287"/>
      <c r="J5" s="287"/>
    </row>
    <row r="6" spans="1:10" hidden="1">
      <c r="A6" s="160"/>
      <c r="B6" s="160"/>
      <c r="C6" s="160"/>
      <c r="D6" s="160"/>
      <c r="E6" s="158"/>
      <c r="F6" s="158"/>
      <c r="G6" s="158"/>
      <c r="H6" s="158"/>
      <c r="I6" s="158"/>
      <c r="J6" s="158"/>
    </row>
    <row r="7" spans="1:10" hidden="1">
      <c r="A7" s="160" t="s">
        <v>2</v>
      </c>
      <c r="B7" s="160" t="s">
        <v>2139</v>
      </c>
      <c r="C7" s="160" t="s">
        <v>986</v>
      </c>
      <c r="D7" s="158" t="s">
        <v>442</v>
      </c>
      <c r="E7" s="158"/>
      <c r="F7" s="158"/>
      <c r="G7" s="158"/>
      <c r="H7" s="158"/>
      <c r="I7" s="158"/>
      <c r="J7" s="158"/>
    </row>
    <row r="8" spans="1:10" ht="19">
      <c r="A8" s="161" t="s">
        <v>31</v>
      </c>
      <c r="B8" s="160" t="s">
        <v>1036</v>
      </c>
      <c r="C8" s="160" t="s">
        <v>564</v>
      </c>
      <c r="D8" s="159">
        <v>44407</v>
      </c>
      <c r="E8" s="160"/>
      <c r="F8" s="160"/>
      <c r="G8" s="160"/>
      <c r="H8" s="160"/>
      <c r="I8" s="160"/>
      <c r="J8" s="160"/>
    </row>
    <row r="9" spans="1:10" ht="19">
      <c r="A9" s="161"/>
      <c r="B9" s="160" t="s">
        <v>1031</v>
      </c>
      <c r="C9" s="160" t="s">
        <v>1042</v>
      </c>
      <c r="D9" s="162">
        <v>44253</v>
      </c>
      <c r="E9" s="160"/>
      <c r="F9" s="160"/>
      <c r="G9" s="160"/>
      <c r="H9" s="160"/>
      <c r="I9" s="160"/>
      <c r="J9" s="160"/>
    </row>
    <row r="10" spans="1:10" ht="19">
      <c r="A10" s="161"/>
      <c r="B10" s="160"/>
      <c r="C10" s="160" t="s">
        <v>1028</v>
      </c>
      <c r="D10" s="162">
        <v>44228</v>
      </c>
      <c r="E10" s="160"/>
      <c r="F10" s="160"/>
      <c r="G10" s="160"/>
      <c r="H10" s="160"/>
      <c r="I10" s="160"/>
      <c r="J10" s="160"/>
    </row>
    <row r="11" spans="1:10" ht="19">
      <c r="A11" s="161"/>
      <c r="B11" s="160" t="s">
        <v>1075</v>
      </c>
      <c r="C11" s="160" t="s">
        <v>1131</v>
      </c>
      <c r="D11" s="162">
        <v>44267</v>
      </c>
      <c r="E11" s="160"/>
      <c r="F11" s="160"/>
      <c r="G11" s="160"/>
      <c r="H11" s="160"/>
      <c r="I11" s="160"/>
      <c r="J11" s="160"/>
    </row>
    <row r="12" spans="1:10" ht="19">
      <c r="A12" s="161"/>
      <c r="B12" s="160"/>
      <c r="C12" s="160" t="s">
        <v>1069</v>
      </c>
      <c r="D12" s="162">
        <v>44386</v>
      </c>
      <c r="E12" s="160"/>
      <c r="F12" s="160"/>
      <c r="G12" s="160"/>
      <c r="H12" s="160"/>
      <c r="I12" s="160"/>
      <c r="J12" s="160"/>
    </row>
    <row r="13" spans="1:10" ht="19">
      <c r="A13" s="161"/>
      <c r="B13" s="160"/>
      <c r="C13" s="160" t="s">
        <v>1300</v>
      </c>
      <c r="D13" s="159">
        <v>44434</v>
      </c>
      <c r="E13" s="160"/>
      <c r="F13" s="160"/>
      <c r="G13" s="160"/>
      <c r="H13" s="160"/>
      <c r="I13" s="160"/>
      <c r="J13" s="160"/>
    </row>
    <row r="14" spans="1:10" ht="19">
      <c r="A14" s="161"/>
      <c r="B14" s="160" t="s">
        <v>1092</v>
      </c>
      <c r="C14" s="160" t="s">
        <v>1085</v>
      </c>
      <c r="D14" s="162">
        <v>44314</v>
      </c>
      <c r="E14" s="160"/>
      <c r="F14" s="160"/>
      <c r="G14" s="160"/>
      <c r="H14" s="160"/>
      <c r="I14" s="160"/>
      <c r="J14" s="160"/>
    </row>
    <row r="15" spans="1:10" ht="19">
      <c r="A15" s="161"/>
      <c r="B15" s="160" t="s">
        <v>1019</v>
      </c>
      <c r="C15" s="160" t="s">
        <v>1124</v>
      </c>
      <c r="D15" s="162">
        <v>44260</v>
      </c>
      <c r="E15" s="160"/>
      <c r="F15" s="160"/>
      <c r="G15" s="160"/>
      <c r="H15" s="160"/>
      <c r="I15" s="160"/>
      <c r="J15" s="160"/>
    </row>
    <row r="16" spans="1:10" ht="19">
      <c r="A16" s="161"/>
      <c r="B16" s="160"/>
      <c r="C16" s="160" t="s">
        <v>1063</v>
      </c>
      <c r="D16" s="162">
        <v>44294</v>
      </c>
      <c r="E16" s="160"/>
      <c r="F16" s="160"/>
      <c r="G16" s="160"/>
      <c r="H16" s="160"/>
      <c r="I16" s="160"/>
      <c r="J16" s="160"/>
    </row>
    <row r="17" spans="1:10" ht="19">
      <c r="A17" s="161"/>
      <c r="B17" s="160"/>
      <c r="C17" s="160" t="s">
        <v>1014</v>
      </c>
      <c r="D17" s="162">
        <v>44225</v>
      </c>
      <c r="E17" s="160"/>
      <c r="F17" s="160"/>
      <c r="G17" s="160"/>
      <c r="H17" s="160"/>
      <c r="I17" s="160"/>
      <c r="J17" s="160"/>
    </row>
    <row r="18" spans="1:10" ht="19">
      <c r="A18" s="161"/>
      <c r="B18" s="160"/>
      <c r="C18" s="160" t="s">
        <v>252</v>
      </c>
      <c r="D18" s="162">
        <v>44386</v>
      </c>
      <c r="E18" s="160"/>
      <c r="F18" s="160"/>
      <c r="G18" s="160"/>
      <c r="H18" s="160"/>
      <c r="I18" s="160"/>
      <c r="J18" s="160"/>
    </row>
    <row r="19" spans="1:10" ht="19">
      <c r="A19" s="161"/>
      <c r="B19" s="160"/>
      <c r="C19" s="160" t="s">
        <v>1284</v>
      </c>
      <c r="D19" s="159">
        <v>44426</v>
      </c>
      <c r="E19" s="160"/>
      <c r="F19" s="160"/>
      <c r="G19" s="160"/>
      <c r="H19" s="160"/>
      <c r="I19" s="160"/>
      <c r="J19" s="160"/>
    </row>
    <row r="20" spans="1:10" ht="19">
      <c r="A20" s="161"/>
      <c r="B20" s="160" t="s">
        <v>1060</v>
      </c>
      <c r="C20" s="160" t="s">
        <v>1054</v>
      </c>
      <c r="D20" s="162">
        <v>44285</v>
      </c>
      <c r="E20" s="160"/>
      <c r="F20" s="160"/>
      <c r="G20" s="160"/>
      <c r="H20" s="160"/>
      <c r="I20" s="160"/>
      <c r="J20" s="160"/>
    </row>
    <row r="21" spans="1:10" ht="19">
      <c r="A21" s="161"/>
      <c r="B21" s="160" t="s">
        <v>1011</v>
      </c>
      <c r="C21" s="160" t="s">
        <v>1005</v>
      </c>
      <c r="D21" s="162">
        <v>44225</v>
      </c>
      <c r="E21" s="160"/>
      <c r="F21" s="160"/>
      <c r="G21" s="160"/>
      <c r="H21" s="160"/>
      <c r="I21" s="160"/>
      <c r="J21" s="160"/>
    </row>
    <row r="22" spans="1:10" ht="19">
      <c r="A22" s="161"/>
      <c r="B22" s="160"/>
      <c r="C22" s="160" t="s">
        <v>1095</v>
      </c>
      <c r="D22" s="162">
        <v>44395</v>
      </c>
      <c r="E22" s="160"/>
      <c r="F22" s="160"/>
      <c r="G22" s="160"/>
      <c r="H22" s="160"/>
      <c r="I22" s="160"/>
      <c r="J22" s="160"/>
    </row>
    <row r="23" spans="1:10" ht="19">
      <c r="A23" s="161"/>
      <c r="B23" s="160" t="s">
        <v>1052</v>
      </c>
      <c r="C23" s="160" t="s">
        <v>1046</v>
      </c>
      <c r="D23" s="159">
        <v>44407</v>
      </c>
      <c r="E23" s="160"/>
      <c r="F23" s="160"/>
      <c r="G23" s="160"/>
      <c r="H23" s="160"/>
      <c r="I23" s="160"/>
      <c r="J23" s="160"/>
    </row>
    <row r="24" spans="1:10" ht="19">
      <c r="A24" s="161"/>
      <c r="B24" s="160" t="s">
        <v>1082</v>
      </c>
      <c r="C24" s="160" t="s">
        <v>731</v>
      </c>
      <c r="D24" s="162">
        <v>44300</v>
      </c>
      <c r="E24" s="160"/>
      <c r="F24" s="160"/>
      <c r="G24" s="160"/>
      <c r="H24" s="160"/>
      <c r="I24" s="160"/>
      <c r="J24" s="160"/>
    </row>
    <row r="25" spans="1:10" ht="19">
      <c r="A25" s="161"/>
      <c r="B25" s="160" t="s">
        <v>1025</v>
      </c>
      <c r="C25" s="160" t="s">
        <v>1139</v>
      </c>
      <c r="D25" s="162">
        <v>44284</v>
      </c>
      <c r="E25" s="160"/>
      <c r="F25" s="160"/>
      <c r="G25" s="160"/>
      <c r="H25" s="160"/>
      <c r="I25" s="160"/>
      <c r="J25" s="160"/>
    </row>
    <row r="26" spans="1:10" ht="19">
      <c r="A26" s="161"/>
      <c r="B26" s="160"/>
      <c r="C26" s="160" t="s">
        <v>1038</v>
      </c>
      <c r="D26" s="162">
        <v>44238</v>
      </c>
      <c r="E26" s="160"/>
      <c r="F26" s="160"/>
      <c r="G26" s="160"/>
      <c r="H26" s="160"/>
      <c r="I26" s="160"/>
      <c r="J26" s="160"/>
    </row>
    <row r="27" spans="1:10" ht="19">
      <c r="A27" s="161"/>
      <c r="B27" s="160"/>
      <c r="C27" s="160" t="s">
        <v>1021</v>
      </c>
      <c r="D27" s="162">
        <v>44228</v>
      </c>
      <c r="E27" s="160"/>
      <c r="F27" s="160"/>
      <c r="G27" s="160"/>
      <c r="H27" s="160"/>
      <c r="I27" s="160"/>
      <c r="J27" s="160"/>
    </row>
    <row r="28" spans="1:10" ht="19">
      <c r="A28" s="161"/>
      <c r="B28" s="160"/>
      <c r="C28" s="160" t="s">
        <v>1248</v>
      </c>
      <c r="D28" s="159">
        <v>44406</v>
      </c>
      <c r="E28" s="160"/>
      <c r="F28" s="160"/>
      <c r="G28" s="160"/>
      <c r="H28" s="160"/>
      <c r="I28" s="160"/>
      <c r="J28" s="160"/>
    </row>
    <row r="29" spans="1:10" ht="19">
      <c r="A29" s="161"/>
      <c r="B29" s="160" t="s">
        <v>1106</v>
      </c>
      <c r="C29" s="160" t="s">
        <v>1156</v>
      </c>
      <c r="D29" s="162">
        <v>44279</v>
      </c>
      <c r="E29" s="160"/>
      <c r="F29" s="160"/>
      <c r="G29" s="160"/>
      <c r="H29" s="160"/>
      <c r="I29" s="160"/>
      <c r="J29" s="160"/>
    </row>
    <row r="30" spans="1:10" ht="19">
      <c r="A30" s="161"/>
      <c r="B30" s="160"/>
      <c r="C30" s="160" t="s">
        <v>1102</v>
      </c>
      <c r="D30" s="159">
        <v>44433</v>
      </c>
      <c r="E30" s="160"/>
      <c r="F30" s="160"/>
      <c r="G30" s="160"/>
      <c r="H30" s="160"/>
      <c r="I30" s="160"/>
      <c r="J30" s="160"/>
    </row>
    <row r="31" spans="1:10" ht="19">
      <c r="A31" s="161"/>
      <c r="B31" s="160" t="s">
        <v>1164</v>
      </c>
      <c r="C31" s="160" t="s">
        <v>1160</v>
      </c>
      <c r="D31" s="162">
        <v>44279</v>
      </c>
      <c r="E31" s="160"/>
      <c r="F31" s="160"/>
      <c r="G31" s="160"/>
      <c r="H31" s="160"/>
      <c r="I31" s="160"/>
      <c r="J31" s="160"/>
    </row>
    <row r="32" spans="1:10" ht="19">
      <c r="A32" s="161"/>
      <c r="B32" s="160"/>
      <c r="C32" s="160" t="s">
        <v>1309</v>
      </c>
      <c r="D32" s="159">
        <v>44441</v>
      </c>
      <c r="E32" s="160"/>
      <c r="F32" s="160"/>
      <c r="G32" s="160"/>
      <c r="H32" s="160"/>
      <c r="I32" s="160"/>
      <c r="J32" s="160"/>
    </row>
    <row r="33" spans="1:10" ht="19">
      <c r="A33" s="161" t="s">
        <v>66</v>
      </c>
      <c r="B33" s="160" t="s">
        <v>1036</v>
      </c>
      <c r="C33" s="160" t="s">
        <v>118</v>
      </c>
      <c r="D33" s="162">
        <v>44251</v>
      </c>
      <c r="E33" s="158"/>
      <c r="F33" s="158"/>
      <c r="G33" s="158"/>
      <c r="H33" s="158"/>
      <c r="I33" s="158"/>
      <c r="J33" s="158"/>
    </row>
    <row r="34" spans="1:10" ht="19">
      <c r="A34" s="161"/>
      <c r="B34" s="160"/>
      <c r="C34" s="160" t="s">
        <v>292</v>
      </c>
      <c r="D34" s="162">
        <v>44404</v>
      </c>
      <c r="E34" s="158"/>
      <c r="F34" s="158"/>
      <c r="G34" s="158"/>
      <c r="H34" s="158"/>
      <c r="I34" s="158"/>
      <c r="J34" s="158"/>
    </row>
    <row r="35" spans="1:10" ht="19">
      <c r="A35" s="161"/>
      <c r="B35" s="160"/>
      <c r="C35" s="160" t="s">
        <v>399</v>
      </c>
      <c r="D35" s="159">
        <v>44440</v>
      </c>
      <c r="E35" s="158"/>
      <c r="F35" s="158"/>
      <c r="G35" s="158"/>
      <c r="H35" s="158"/>
      <c r="I35" s="158"/>
      <c r="J35" s="158"/>
    </row>
    <row r="36" spans="1:10" ht="19">
      <c r="A36" s="161"/>
      <c r="B36" s="160" t="s">
        <v>1150</v>
      </c>
      <c r="C36" s="160" t="s">
        <v>1152</v>
      </c>
      <c r="D36" s="162">
        <v>44279</v>
      </c>
      <c r="E36" s="158"/>
      <c r="F36" s="158"/>
      <c r="G36" s="158"/>
      <c r="H36" s="158"/>
      <c r="I36" s="158"/>
      <c r="J36" s="158"/>
    </row>
    <row r="37" spans="1:10" ht="19">
      <c r="A37" s="161"/>
      <c r="B37" s="160"/>
      <c r="C37" s="160" t="s">
        <v>1146</v>
      </c>
      <c r="D37" s="162">
        <v>44279</v>
      </c>
      <c r="E37" s="158"/>
      <c r="F37" s="158"/>
      <c r="G37" s="158"/>
      <c r="H37" s="158"/>
      <c r="I37" s="158"/>
      <c r="J37" s="158"/>
    </row>
    <row r="38" spans="1:10" ht="19">
      <c r="A38" s="161"/>
      <c r="B38" s="160" t="s">
        <v>1031</v>
      </c>
      <c r="C38" s="160" t="s">
        <v>1209</v>
      </c>
      <c r="D38" s="162">
        <v>44379</v>
      </c>
      <c r="E38" s="158"/>
      <c r="F38" s="158"/>
      <c r="G38" s="158"/>
      <c r="H38" s="158"/>
      <c r="I38" s="158"/>
      <c r="J38" s="158"/>
    </row>
    <row r="39" spans="1:10" ht="19">
      <c r="A39" s="161"/>
      <c r="B39" s="160"/>
      <c r="C39" s="160" t="s">
        <v>335</v>
      </c>
      <c r="D39" s="159">
        <v>44420</v>
      </c>
      <c r="E39" s="158"/>
      <c r="F39" s="158"/>
      <c r="G39" s="158"/>
      <c r="H39" s="158"/>
      <c r="I39" s="158"/>
      <c r="J39" s="158"/>
    </row>
    <row r="40" spans="1:10" ht="19">
      <c r="A40" s="161"/>
      <c r="B40" s="160"/>
      <c r="C40" s="160" t="s">
        <v>405</v>
      </c>
      <c r="D40" s="159">
        <v>44442</v>
      </c>
      <c r="E40" s="158"/>
      <c r="F40" s="158"/>
      <c r="G40" s="158"/>
      <c r="H40" s="158"/>
      <c r="I40" s="158"/>
      <c r="J40" s="158"/>
    </row>
    <row r="41" spans="1:10" ht="19">
      <c r="A41" s="161"/>
      <c r="B41" s="160"/>
      <c r="C41" s="221" t="s">
        <v>415</v>
      </c>
      <c r="D41" s="159">
        <v>44446</v>
      </c>
      <c r="E41" s="158"/>
      <c r="F41" s="158"/>
      <c r="G41" s="158"/>
      <c r="H41" s="158"/>
      <c r="I41" s="158"/>
      <c r="J41" s="158"/>
    </row>
    <row r="42" spans="1:10" ht="19">
      <c r="A42" s="161"/>
      <c r="B42" s="160"/>
      <c r="C42" s="221" t="s">
        <v>1320</v>
      </c>
      <c r="D42" s="159">
        <v>44446</v>
      </c>
      <c r="E42" s="158"/>
      <c r="F42" s="158"/>
      <c r="G42" s="158"/>
      <c r="H42" s="158"/>
      <c r="I42" s="158"/>
      <c r="J42" s="158"/>
    </row>
    <row r="43" spans="1:10" ht="19">
      <c r="A43" s="161"/>
      <c r="B43" s="160"/>
      <c r="C43" s="221" t="s">
        <v>411</v>
      </c>
      <c r="D43" s="159">
        <v>44446</v>
      </c>
      <c r="E43" s="158"/>
      <c r="F43" s="158"/>
      <c r="G43" s="158"/>
      <c r="H43" s="158"/>
      <c r="I43" s="158"/>
      <c r="J43" s="158"/>
    </row>
    <row r="44" spans="1:10" ht="19">
      <c r="A44" s="161"/>
      <c r="B44" s="160"/>
      <c r="C44" s="221" t="s">
        <v>1327</v>
      </c>
      <c r="D44" s="159">
        <v>44446</v>
      </c>
      <c r="E44" s="158"/>
      <c r="F44" s="158"/>
      <c r="G44" s="158"/>
      <c r="H44" s="158"/>
      <c r="I44" s="158"/>
      <c r="J44" s="158"/>
    </row>
    <row r="45" spans="1:10" ht="19">
      <c r="A45" s="161"/>
      <c r="B45" s="160"/>
      <c r="C45" s="221" t="s">
        <v>417</v>
      </c>
      <c r="D45" s="159">
        <v>44446</v>
      </c>
      <c r="E45" s="158"/>
      <c r="F45" s="158"/>
      <c r="G45" s="158"/>
      <c r="H45" s="158"/>
      <c r="I45" s="158"/>
      <c r="J45" s="158"/>
    </row>
    <row r="46" spans="1:10" ht="19">
      <c r="A46" s="161"/>
      <c r="B46" s="160" t="s">
        <v>1175</v>
      </c>
      <c r="C46" s="160" t="s">
        <v>152</v>
      </c>
      <c r="D46" s="162">
        <v>44316</v>
      </c>
      <c r="E46" s="158"/>
      <c r="F46" s="158"/>
      <c r="G46" s="158"/>
      <c r="H46" s="158"/>
      <c r="I46" s="158"/>
      <c r="J46" s="158"/>
    </row>
    <row r="47" spans="1:10" ht="19">
      <c r="A47" s="161"/>
      <c r="B47" s="160"/>
      <c r="C47" s="160" t="s">
        <v>2143</v>
      </c>
      <c r="D47" s="159">
        <v>44316</v>
      </c>
      <c r="E47" s="158"/>
      <c r="F47" s="158"/>
      <c r="G47" s="158"/>
      <c r="H47" s="158"/>
      <c r="I47" s="158"/>
      <c r="J47" s="158"/>
    </row>
    <row r="48" spans="1:10" ht="19">
      <c r="A48" s="161"/>
      <c r="B48" s="160" t="s">
        <v>1075</v>
      </c>
      <c r="C48" s="160" t="s">
        <v>1118</v>
      </c>
      <c r="D48" s="162">
        <v>44267</v>
      </c>
      <c r="E48" s="158"/>
      <c r="F48" s="158"/>
      <c r="G48" s="158"/>
      <c r="H48" s="158"/>
      <c r="I48" s="158"/>
      <c r="J48" s="158"/>
    </row>
    <row r="49" spans="1:10" ht="19">
      <c r="A49" s="161"/>
      <c r="B49" s="160" t="s">
        <v>1019</v>
      </c>
      <c r="C49" s="160" t="s">
        <v>1166</v>
      </c>
      <c r="D49" s="162">
        <v>44295</v>
      </c>
      <c r="E49" s="158"/>
      <c r="F49" s="158"/>
      <c r="G49" s="158"/>
      <c r="H49" s="158"/>
      <c r="I49" s="158"/>
      <c r="J49" s="158"/>
    </row>
    <row r="50" spans="1:10" ht="19">
      <c r="A50" s="161"/>
      <c r="B50" s="160"/>
      <c r="C50" s="160" t="s">
        <v>1169</v>
      </c>
      <c r="D50" s="162">
        <v>44306</v>
      </c>
      <c r="E50" s="158"/>
      <c r="F50" s="158"/>
      <c r="G50" s="158"/>
      <c r="H50" s="158"/>
      <c r="I50" s="158"/>
      <c r="J50" s="158"/>
    </row>
    <row r="51" spans="1:10" ht="19">
      <c r="A51" s="161"/>
      <c r="B51" s="160"/>
      <c r="C51" s="160" t="s">
        <v>1143</v>
      </c>
      <c r="D51" s="162">
        <v>44279</v>
      </c>
      <c r="E51" s="158"/>
      <c r="F51" s="158"/>
      <c r="G51" s="158"/>
      <c r="H51" s="158"/>
      <c r="I51" s="158"/>
      <c r="J51" s="158"/>
    </row>
    <row r="52" spans="1:10" ht="19">
      <c r="A52" s="161"/>
      <c r="B52" s="160"/>
      <c r="C52" s="160" t="s">
        <v>1189</v>
      </c>
      <c r="D52" s="162">
        <v>44361</v>
      </c>
      <c r="E52" s="158"/>
      <c r="F52" s="158"/>
      <c r="G52" s="158"/>
      <c r="H52" s="158"/>
      <c r="I52" s="158"/>
      <c r="J52" s="158"/>
    </row>
    <row r="53" spans="1:10" ht="19">
      <c r="A53" s="161"/>
      <c r="B53" s="160"/>
      <c r="C53" s="160" t="s">
        <v>1191</v>
      </c>
      <c r="D53" s="162">
        <v>44362</v>
      </c>
      <c r="E53" s="158"/>
      <c r="F53" s="158"/>
      <c r="G53" s="158"/>
      <c r="H53" s="158"/>
      <c r="I53" s="158"/>
      <c r="J53" s="158"/>
    </row>
    <row r="54" spans="1:10" ht="19">
      <c r="A54" s="161"/>
      <c r="B54" s="160"/>
      <c r="C54" s="160" t="s">
        <v>324</v>
      </c>
      <c r="D54" s="159">
        <v>44419</v>
      </c>
      <c r="E54" s="158"/>
      <c r="F54" s="158"/>
      <c r="G54" s="158"/>
      <c r="H54" s="158"/>
      <c r="I54" s="158"/>
      <c r="J54" s="158"/>
    </row>
    <row r="55" spans="1:10" ht="19">
      <c r="A55" s="161"/>
      <c r="B55" s="160"/>
      <c r="C55" s="160" t="s">
        <v>1277</v>
      </c>
      <c r="D55" s="159">
        <v>44426</v>
      </c>
      <c r="E55" s="158"/>
      <c r="F55" s="158"/>
      <c r="G55" s="158"/>
      <c r="H55" s="158"/>
      <c r="I55" s="158"/>
      <c r="J55" s="158"/>
    </row>
    <row r="56" spans="1:10" ht="19">
      <c r="A56" s="161"/>
      <c r="B56" s="160"/>
      <c r="C56" s="160" t="s">
        <v>372</v>
      </c>
      <c r="D56" s="159">
        <v>44428</v>
      </c>
      <c r="E56" s="158"/>
      <c r="F56" s="158"/>
      <c r="G56" s="158"/>
      <c r="H56" s="158"/>
      <c r="I56" s="158"/>
      <c r="J56" s="158"/>
    </row>
    <row r="57" spans="1:10" ht="19">
      <c r="A57" s="161"/>
      <c r="B57" s="160" t="s">
        <v>1060</v>
      </c>
      <c r="C57" s="160" t="s">
        <v>1205</v>
      </c>
      <c r="D57" s="162">
        <v>44377</v>
      </c>
      <c r="E57" s="158"/>
      <c r="F57" s="158"/>
      <c r="G57" s="158"/>
      <c r="H57" s="158"/>
      <c r="I57" s="158"/>
      <c r="J57" s="158"/>
    </row>
    <row r="58" spans="1:10" ht="19">
      <c r="A58" s="161"/>
      <c r="B58" s="160"/>
      <c r="C58" s="160" t="s">
        <v>1271</v>
      </c>
      <c r="D58" s="159">
        <v>44420</v>
      </c>
      <c r="E58" s="158"/>
      <c r="F58" s="158"/>
      <c r="G58" s="158"/>
      <c r="H58" s="158"/>
      <c r="I58" s="158"/>
      <c r="J58" s="158"/>
    </row>
    <row r="59" spans="1:10" ht="19">
      <c r="A59" s="161"/>
      <c r="B59" s="160" t="s">
        <v>1011</v>
      </c>
      <c r="C59" s="160" t="s">
        <v>1109</v>
      </c>
      <c r="D59" s="162">
        <v>44251</v>
      </c>
      <c r="E59" s="158"/>
      <c r="F59" s="158"/>
      <c r="G59" s="158"/>
      <c r="H59" s="158"/>
      <c r="I59" s="158"/>
      <c r="J59" s="158"/>
    </row>
    <row r="60" spans="1:10" ht="19">
      <c r="A60" s="161"/>
      <c r="B60" s="160"/>
      <c r="C60" s="160" t="s">
        <v>1214</v>
      </c>
      <c r="D60" s="162">
        <v>44383</v>
      </c>
      <c r="E60" s="158"/>
      <c r="F60" s="158"/>
      <c r="G60" s="158"/>
      <c r="H60" s="158"/>
      <c r="I60" s="158"/>
      <c r="J60" s="158"/>
    </row>
    <row r="61" spans="1:10" ht="19">
      <c r="A61" s="161"/>
      <c r="B61" s="160"/>
      <c r="C61" s="160" t="s">
        <v>379</v>
      </c>
      <c r="D61" s="159">
        <v>44432</v>
      </c>
      <c r="E61" s="158"/>
      <c r="F61" s="158"/>
      <c r="G61" s="158"/>
      <c r="H61" s="158"/>
      <c r="I61" s="158"/>
      <c r="J61" s="158"/>
    </row>
    <row r="62" spans="1:10" ht="19">
      <c r="A62" s="161"/>
      <c r="B62" s="160" t="s">
        <v>1052</v>
      </c>
      <c r="C62" s="160" t="s">
        <v>212</v>
      </c>
      <c r="D62" s="162">
        <v>44382</v>
      </c>
      <c r="E62" s="158"/>
      <c r="F62" s="158"/>
      <c r="G62" s="158"/>
      <c r="H62" s="158"/>
      <c r="I62" s="158"/>
      <c r="J62" s="158"/>
    </row>
    <row r="63" spans="1:10" ht="19">
      <c r="A63" s="161"/>
      <c r="B63" s="160"/>
      <c r="C63" s="160" t="s">
        <v>245</v>
      </c>
      <c r="D63" s="162">
        <v>44404</v>
      </c>
      <c r="E63" s="158"/>
      <c r="F63" s="158"/>
      <c r="G63" s="158"/>
      <c r="H63" s="158"/>
      <c r="I63" s="158"/>
      <c r="J63" s="158"/>
    </row>
    <row r="64" spans="1:10" ht="19">
      <c r="A64" s="161"/>
      <c r="B64" s="160" t="s">
        <v>1025</v>
      </c>
      <c r="C64" s="160" t="s">
        <v>1136</v>
      </c>
      <c r="D64" s="162">
        <v>44267</v>
      </c>
      <c r="E64" s="158"/>
      <c r="F64" s="158"/>
      <c r="G64" s="158"/>
      <c r="H64" s="158"/>
      <c r="I64" s="158"/>
      <c r="J64" s="158"/>
    </row>
    <row r="65" spans="1:10" ht="19">
      <c r="A65" s="161"/>
      <c r="B65" s="160"/>
      <c r="C65" s="160" t="s">
        <v>1179</v>
      </c>
      <c r="D65" s="162">
        <v>44320</v>
      </c>
      <c r="E65" s="158"/>
      <c r="F65" s="158"/>
      <c r="G65" s="158"/>
      <c r="H65" s="158"/>
      <c r="I65" s="158"/>
      <c r="J65" s="158"/>
    </row>
    <row r="66" spans="1:10" ht="19">
      <c r="A66" s="161"/>
      <c r="B66" s="160"/>
      <c r="C66" s="160" t="s">
        <v>648</v>
      </c>
      <c r="D66" s="162">
        <v>44354</v>
      </c>
      <c r="E66" s="160"/>
      <c r="F66" s="160"/>
      <c r="G66" s="160"/>
      <c r="H66" s="160"/>
      <c r="I66" s="160"/>
      <c r="J66" s="160"/>
    </row>
    <row r="67" spans="1:10" ht="19">
      <c r="A67" s="161"/>
      <c r="B67" s="160"/>
      <c r="C67" s="160" t="s">
        <v>1185</v>
      </c>
      <c r="D67" s="162">
        <v>44354</v>
      </c>
      <c r="E67" s="158"/>
      <c r="F67" s="158"/>
      <c r="G67" s="158"/>
      <c r="H67" s="158"/>
      <c r="I67" s="158"/>
      <c r="J67" s="158"/>
    </row>
    <row r="68" spans="1:10" ht="19">
      <c r="A68" s="161"/>
      <c r="B68" s="160"/>
      <c r="C68" s="160" t="s">
        <v>1253</v>
      </c>
      <c r="D68" s="159">
        <v>44406</v>
      </c>
      <c r="E68" s="158"/>
      <c r="F68" s="158"/>
      <c r="G68" s="158"/>
      <c r="H68" s="158"/>
      <c r="I68" s="158"/>
      <c r="J68" s="158"/>
    </row>
    <row r="69" spans="1:10" ht="19">
      <c r="A69" s="161"/>
      <c r="B69" s="160"/>
      <c r="C69" s="160" t="s">
        <v>1256</v>
      </c>
      <c r="D69" s="159">
        <v>44413</v>
      </c>
      <c r="E69" s="158"/>
      <c r="F69" s="158"/>
      <c r="G69" s="158"/>
      <c r="H69" s="158"/>
      <c r="I69" s="158"/>
      <c r="J69" s="158"/>
    </row>
    <row r="70" spans="1:10" ht="19">
      <c r="A70" s="161"/>
      <c r="B70" s="160"/>
      <c r="C70" s="160" t="s">
        <v>1268</v>
      </c>
      <c r="D70" s="159">
        <v>44419</v>
      </c>
      <c r="E70" s="158"/>
      <c r="F70" s="158"/>
      <c r="G70" s="158"/>
      <c r="H70" s="158"/>
      <c r="I70" s="158"/>
      <c r="J70" s="158"/>
    </row>
    <row r="71" spans="1:10" ht="19">
      <c r="A71" s="161"/>
      <c r="B71" s="160"/>
      <c r="C71" s="160" t="s">
        <v>358</v>
      </c>
      <c r="D71" s="159">
        <v>44426</v>
      </c>
      <c r="E71" s="158"/>
      <c r="F71" s="158"/>
      <c r="G71" s="158"/>
      <c r="H71" s="158"/>
      <c r="I71" s="158"/>
      <c r="J71" s="158"/>
    </row>
    <row r="72" spans="1:10" ht="19">
      <c r="A72" s="161"/>
      <c r="B72" s="160" t="s">
        <v>1106</v>
      </c>
      <c r="C72" s="160" t="s">
        <v>1194</v>
      </c>
      <c r="D72" s="162">
        <v>44364</v>
      </c>
      <c r="E72" s="158"/>
      <c r="F72" s="158"/>
      <c r="G72" s="158"/>
      <c r="H72" s="158"/>
      <c r="I72" s="158"/>
      <c r="J72" s="158"/>
    </row>
    <row r="73" spans="1:10" ht="19">
      <c r="A73" s="161"/>
      <c r="B73" s="160"/>
      <c r="C73" s="160" t="s">
        <v>1197</v>
      </c>
      <c r="D73" s="162">
        <v>44368</v>
      </c>
      <c r="E73" s="158"/>
      <c r="F73" s="158"/>
      <c r="G73" s="158"/>
      <c r="H73" s="158"/>
      <c r="I73" s="158"/>
      <c r="J73" s="158"/>
    </row>
    <row r="74" spans="1:10" ht="19">
      <c r="A74" s="161"/>
      <c r="B74" s="160"/>
      <c r="C74" s="160" t="s">
        <v>1200</v>
      </c>
      <c r="D74" s="162">
        <v>44371</v>
      </c>
      <c r="E74" s="158"/>
      <c r="F74" s="158"/>
      <c r="G74" s="158"/>
      <c r="H74" s="158"/>
      <c r="I74" s="158"/>
      <c r="J74" s="158"/>
    </row>
    <row r="75" spans="1:10" ht="19">
      <c r="A75" s="161"/>
      <c r="B75" s="160"/>
      <c r="C75" s="160" t="s">
        <v>266</v>
      </c>
      <c r="D75" s="162">
        <v>44399</v>
      </c>
      <c r="E75" s="158"/>
      <c r="F75" s="158"/>
      <c r="G75" s="158"/>
      <c r="H75" s="158"/>
      <c r="I75" s="158"/>
      <c r="J75" s="158"/>
    </row>
    <row r="76" spans="1:10" ht="19">
      <c r="A76" s="161"/>
      <c r="B76" s="160"/>
      <c r="C76" s="160" t="s">
        <v>280</v>
      </c>
      <c r="D76" s="162">
        <v>44399</v>
      </c>
      <c r="E76" s="158"/>
      <c r="F76" s="158"/>
      <c r="G76" s="158"/>
      <c r="H76" s="158"/>
      <c r="I76" s="158"/>
      <c r="J76" s="158"/>
    </row>
    <row r="77" spans="1:10" ht="19">
      <c r="A77" s="161"/>
      <c r="B77" s="160"/>
      <c r="C77" s="160" t="s">
        <v>1244</v>
      </c>
      <c r="D77" s="159">
        <v>44406</v>
      </c>
      <c r="E77" s="158"/>
      <c r="F77" s="158"/>
      <c r="G77" s="158"/>
      <c r="H77" s="158"/>
      <c r="I77" s="158"/>
      <c r="J77" s="158"/>
    </row>
    <row r="78" spans="1:10" ht="19">
      <c r="A78" s="161"/>
      <c r="B78" s="160"/>
      <c r="C78" s="160" t="s">
        <v>1259</v>
      </c>
      <c r="D78" s="159">
        <v>44413</v>
      </c>
      <c r="E78" s="158"/>
      <c r="F78" s="158"/>
      <c r="G78" s="158"/>
      <c r="H78" s="158"/>
      <c r="I78" s="158"/>
      <c r="J78" s="158"/>
    </row>
    <row r="79" spans="1:10" ht="19">
      <c r="A79" s="161"/>
      <c r="B79" s="160"/>
      <c r="C79" s="160" t="s">
        <v>1293</v>
      </c>
      <c r="D79" s="159">
        <v>44433</v>
      </c>
      <c r="E79" s="158"/>
      <c r="F79" s="158"/>
      <c r="G79" s="158"/>
      <c r="H79" s="158"/>
      <c r="I79" s="158"/>
      <c r="J79" s="158"/>
    </row>
    <row r="80" spans="1:10" ht="19">
      <c r="A80" s="161"/>
      <c r="B80" s="160"/>
      <c r="C80" s="160" t="s">
        <v>1296</v>
      </c>
      <c r="D80" s="159">
        <v>44433</v>
      </c>
      <c r="E80" s="158"/>
      <c r="F80" s="158"/>
      <c r="G80" s="158"/>
      <c r="H80" s="158"/>
      <c r="I80" s="158"/>
      <c r="J80" s="158"/>
    </row>
    <row r="81" spans="1:10" ht="19">
      <c r="A81" s="161"/>
      <c r="B81" s="160"/>
      <c r="C81" s="160" t="s">
        <v>1298</v>
      </c>
      <c r="D81" s="159">
        <v>44432</v>
      </c>
      <c r="E81" s="158"/>
      <c r="F81" s="158"/>
      <c r="G81" s="158"/>
      <c r="H81" s="158"/>
      <c r="I81" s="158"/>
      <c r="J81" s="158"/>
    </row>
    <row r="82" spans="1:10" ht="19">
      <c r="A82" s="161"/>
      <c r="B82" s="160"/>
      <c r="C82" s="160" t="s">
        <v>1304</v>
      </c>
      <c r="D82" s="159">
        <v>44435</v>
      </c>
      <c r="E82" s="158"/>
      <c r="F82" s="158"/>
      <c r="G82" s="158"/>
      <c r="H82" s="158"/>
      <c r="I82" s="158"/>
      <c r="J82" s="158"/>
    </row>
    <row r="83" spans="1:10" ht="19">
      <c r="A83" s="161"/>
      <c r="B83" s="160" t="s">
        <v>1164</v>
      </c>
      <c r="C83" s="160" t="s">
        <v>1220</v>
      </c>
      <c r="D83" s="162">
        <v>44383</v>
      </c>
      <c r="E83" s="158"/>
      <c r="F83" s="158"/>
      <c r="G83" s="158"/>
      <c r="H83" s="158"/>
      <c r="I83" s="158"/>
      <c r="J83" s="158"/>
    </row>
    <row r="84" spans="1:10" ht="19">
      <c r="A84" s="161"/>
      <c r="B84" s="160"/>
      <c r="C84" s="160" t="s">
        <v>1224</v>
      </c>
      <c r="D84" s="162">
        <v>44382</v>
      </c>
      <c r="E84" s="158"/>
      <c r="F84" s="158"/>
      <c r="G84" s="158"/>
      <c r="H84" s="158"/>
      <c r="I84" s="158"/>
      <c r="J84" s="158"/>
    </row>
    <row r="85" spans="1:10" ht="19">
      <c r="A85" s="161"/>
      <c r="B85" s="160"/>
      <c r="C85" s="160" t="s">
        <v>286</v>
      </c>
      <c r="D85" s="162">
        <v>44404</v>
      </c>
      <c r="E85" s="158"/>
      <c r="F85" s="158"/>
      <c r="G85" s="158"/>
      <c r="H85" s="158"/>
      <c r="I85" s="158"/>
      <c r="J85" s="158"/>
    </row>
    <row r="86" spans="1:10" ht="19">
      <c r="A86" s="161"/>
      <c r="B86" s="160" t="s">
        <v>1263</v>
      </c>
      <c r="C86" s="160" t="s">
        <v>310</v>
      </c>
      <c r="D86" s="159">
        <v>44414</v>
      </c>
      <c r="E86" s="158"/>
      <c r="F86" s="158"/>
      <c r="G86" s="158"/>
      <c r="H86" s="158"/>
      <c r="I86" s="158"/>
      <c r="J86" s="158"/>
    </row>
    <row r="87" spans="1:10">
      <c r="A87" s="64" t="s">
        <v>1371</v>
      </c>
      <c r="B87" s="64"/>
      <c r="C87" s="64"/>
      <c r="D87" s="64"/>
      <c r="E87" s="64"/>
      <c r="F87" s="64"/>
      <c r="G87" s="64"/>
      <c r="H87" s="64"/>
      <c r="I87" s="64"/>
      <c r="J87" s="64"/>
    </row>
  </sheetData>
  <dataConsolidate/>
  <mergeCells count="3">
    <mergeCell ref="A1:B1"/>
    <mergeCell ref="G5:J5"/>
    <mergeCell ref="C1:D1"/>
  </mergeCells>
  <conditionalFormatting sqref="D1:D1048576">
    <cfRule type="timePeriod" dxfId="3" priority="1" timePeriod="last7Days">
      <formula>AND(TODAY()-FLOOR(D1,1)&lt;=6,FLOOR(D1,1)&lt;=TODAY())</formula>
    </cfRule>
  </conditionalFormatting>
  <pageMargins left="0.7" right="0.7" top="0.75" bottom="0.75" header="0.3" footer="0.3"/>
  <pageSetup paperSize="9" scale="6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5" name="Button 1">
              <controlPr defaultSize="0" print="0" autoFill="0" autoPict="0" macro="[0]!generateIdentityReport">
                <anchor moveWithCells="1" sizeWithCells="1">
                  <from>
                    <xdr:col>8</xdr:col>
                    <xdr:colOff>800100</xdr:colOff>
                    <xdr:row>1</xdr:row>
                    <xdr:rowOff>12700</xdr:rowOff>
                  </from>
                  <to>
                    <xdr:col>10</xdr:col>
                    <xdr:colOff>723900</xdr:colOff>
                    <xdr:row>1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EEACB-9211-B648-ACC4-5E8464D4F4F7}">
  <sheetPr codeName="Sheet11">
    <pageSetUpPr fitToPage="1"/>
  </sheetPr>
  <dimension ref="A1:I31"/>
  <sheetViews>
    <sheetView workbookViewId="0">
      <selection activeCell="B4" sqref="B4"/>
    </sheetView>
  </sheetViews>
  <sheetFormatPr baseColWidth="10" defaultColWidth="10.5" defaultRowHeight="16"/>
  <cols>
    <col min="1" max="1" width="23" customWidth="1"/>
    <col min="2" max="2" width="21.5" customWidth="1"/>
    <col min="3" max="6" width="15.5" customWidth="1"/>
  </cols>
  <sheetData>
    <row r="1" spans="1:9">
      <c r="A1" s="8"/>
      <c r="B1" s="8"/>
      <c r="C1" s="8"/>
      <c r="D1" s="8"/>
      <c r="E1" s="8"/>
      <c r="F1" s="8"/>
    </row>
    <row r="2" spans="1:9" ht="67.5" customHeight="1">
      <c r="A2" s="7" t="s">
        <v>2144</v>
      </c>
      <c r="B2" s="7"/>
      <c r="C2" s="7"/>
      <c r="D2" s="8"/>
      <c r="E2" s="8"/>
      <c r="F2" s="8"/>
    </row>
    <row r="3" spans="1:9" ht="21">
      <c r="A3" s="6" t="s">
        <v>2103</v>
      </c>
      <c r="B3" s="290" t="s">
        <v>30</v>
      </c>
      <c r="C3" s="290"/>
      <c r="D3" s="290"/>
      <c r="E3" s="8"/>
      <c r="F3" s="8"/>
    </row>
    <row r="4" spans="1:9" ht="21">
      <c r="A4" s="9" t="s">
        <v>2145</v>
      </c>
      <c r="B4" s="10">
        <v>44347</v>
      </c>
      <c r="C4" s="8"/>
      <c r="D4" s="8"/>
      <c r="E4" s="8"/>
      <c r="F4" s="8"/>
    </row>
    <row r="5" spans="1:9">
      <c r="A5" s="8"/>
      <c r="B5" s="8"/>
      <c r="C5" s="8"/>
      <c r="D5" s="8"/>
      <c r="E5" s="8"/>
      <c r="F5" s="8"/>
    </row>
    <row r="6" spans="1:9">
      <c r="A6" s="8"/>
      <c r="B6" s="8"/>
      <c r="C6" s="8"/>
      <c r="D6" s="8"/>
      <c r="E6" s="8"/>
      <c r="F6" s="8"/>
    </row>
    <row r="7" spans="1:9" ht="21">
      <c r="A7" s="2" t="s">
        <v>2146</v>
      </c>
      <c r="B7" s="8"/>
      <c r="C7" s="8"/>
      <c r="D7" s="8"/>
      <c r="E7" s="8"/>
      <c r="F7" s="8"/>
    </row>
    <row r="8" spans="1:9">
      <c r="A8" s="235" t="s">
        <v>986</v>
      </c>
      <c r="B8" s="289" t="s">
        <v>2147</v>
      </c>
      <c r="C8" s="289"/>
      <c r="D8" s="289"/>
      <c r="E8" s="235" t="s">
        <v>2</v>
      </c>
      <c r="F8" s="11" t="s">
        <v>16</v>
      </c>
    </row>
    <row r="9" spans="1:9">
      <c r="A9" s="8"/>
      <c r="B9" s="8"/>
      <c r="C9" s="8"/>
      <c r="D9" s="8"/>
      <c r="E9" s="8"/>
      <c r="F9" s="8"/>
      <c r="I9">
        <v>0</v>
      </c>
    </row>
    <row r="10" spans="1:9">
      <c r="A10" s="8"/>
      <c r="B10" s="8"/>
      <c r="C10" s="8"/>
      <c r="D10" s="8"/>
      <c r="E10" s="8"/>
      <c r="F10" s="8"/>
      <c r="I10">
        <v>1</v>
      </c>
    </row>
    <row r="11" spans="1:9">
      <c r="A11" s="291" t="s">
        <v>2148</v>
      </c>
      <c r="B11" s="291"/>
      <c r="C11" s="291"/>
      <c r="D11" s="291"/>
      <c r="E11" s="291"/>
      <c r="F11" s="291"/>
      <c r="I11">
        <v>2</v>
      </c>
    </row>
    <row r="12" spans="1:9">
      <c r="A12" s="8"/>
      <c r="B12" s="8"/>
      <c r="C12" s="8"/>
      <c r="D12" s="8"/>
      <c r="E12" s="8"/>
      <c r="F12" s="8"/>
    </row>
    <row r="13" spans="1:9">
      <c r="A13" s="8"/>
      <c r="B13" s="8"/>
      <c r="C13" s="8"/>
      <c r="D13" s="8"/>
      <c r="E13" s="8"/>
      <c r="F13" s="8"/>
    </row>
    <row r="14" spans="1:9">
      <c r="A14" s="8"/>
      <c r="B14" s="8"/>
      <c r="C14" s="8"/>
      <c r="D14" s="8"/>
      <c r="E14" s="8"/>
      <c r="F14" s="8"/>
    </row>
    <row r="15" spans="1:9">
      <c r="A15" s="8"/>
      <c r="B15" s="8"/>
      <c r="C15" s="8"/>
      <c r="D15" s="8"/>
      <c r="E15" s="8"/>
      <c r="F15" s="8"/>
    </row>
    <row r="16" spans="1:9">
      <c r="A16" s="8"/>
      <c r="B16" s="8"/>
      <c r="C16" s="8"/>
      <c r="D16" s="8"/>
      <c r="E16" s="8"/>
      <c r="F16" s="8"/>
    </row>
    <row r="17" spans="1:6">
      <c r="A17" s="8"/>
      <c r="B17" s="8"/>
      <c r="C17" s="8"/>
      <c r="D17" s="8"/>
      <c r="E17" s="8"/>
      <c r="F17" s="8"/>
    </row>
    <row r="18" spans="1:6">
      <c r="A18" s="8"/>
      <c r="B18" s="8"/>
      <c r="C18" s="8"/>
      <c r="D18" s="8"/>
      <c r="E18" s="8"/>
      <c r="F18" s="8"/>
    </row>
    <row r="19" spans="1:6">
      <c r="A19" s="8"/>
      <c r="B19" s="8"/>
      <c r="C19" s="8"/>
      <c r="D19" s="8"/>
      <c r="E19" s="8"/>
      <c r="F19" s="8"/>
    </row>
    <row r="20" spans="1:6">
      <c r="A20" s="8"/>
      <c r="B20" s="8"/>
      <c r="C20" s="8"/>
      <c r="D20" s="8"/>
      <c r="E20" s="8"/>
      <c r="F20" s="8"/>
    </row>
    <row r="21" spans="1:6">
      <c r="A21" s="8"/>
      <c r="B21" s="8"/>
      <c r="C21" s="8"/>
      <c r="D21" s="8"/>
      <c r="E21" s="8"/>
      <c r="F21" s="8"/>
    </row>
    <row r="22" spans="1:6">
      <c r="A22" s="8"/>
      <c r="B22" s="8"/>
      <c r="C22" s="8"/>
      <c r="D22" s="8"/>
      <c r="E22" s="8"/>
      <c r="F22" s="8"/>
    </row>
    <row r="23" spans="1:6">
      <c r="A23" s="8"/>
      <c r="B23" s="8"/>
      <c r="C23" s="8"/>
      <c r="D23" s="8"/>
      <c r="E23" s="8"/>
      <c r="F23" s="8"/>
    </row>
    <row r="24" spans="1:6">
      <c r="A24" s="8"/>
      <c r="B24" s="8"/>
      <c r="C24" s="8"/>
      <c r="D24" s="8"/>
      <c r="E24" s="8"/>
      <c r="F24" s="8"/>
    </row>
    <row r="25" spans="1:6" ht="21">
      <c r="A25" s="2"/>
      <c r="B25" s="8"/>
      <c r="C25" s="8"/>
      <c r="D25" s="8"/>
      <c r="E25" s="8"/>
      <c r="F25" s="8"/>
    </row>
    <row r="26" spans="1:6">
      <c r="A26" s="8"/>
      <c r="B26" s="8"/>
      <c r="C26" s="8"/>
      <c r="D26" s="8"/>
      <c r="E26" s="8"/>
      <c r="F26" s="8"/>
    </row>
    <row r="27" spans="1:6">
      <c r="A27" s="8"/>
      <c r="B27" s="8"/>
      <c r="C27" s="8"/>
      <c r="D27" s="8"/>
      <c r="E27" s="8"/>
      <c r="F27" s="8"/>
    </row>
    <row r="28" spans="1:6">
      <c r="A28" s="8"/>
      <c r="B28" s="8"/>
      <c r="C28" s="8"/>
      <c r="D28" s="8"/>
      <c r="E28" s="8"/>
      <c r="F28" s="8"/>
    </row>
    <row r="29" spans="1:6">
      <c r="A29" s="12"/>
      <c r="B29" s="12"/>
      <c r="C29" s="12"/>
      <c r="D29" s="12"/>
      <c r="E29" s="12"/>
      <c r="F29" s="12"/>
    </row>
    <row r="30" spans="1:6">
      <c r="A30" s="12"/>
      <c r="B30" s="12"/>
      <c r="C30" s="12"/>
      <c r="D30" s="12"/>
      <c r="E30" s="12"/>
      <c r="F30" s="12"/>
    </row>
    <row r="31" spans="1:6">
      <c r="A31" s="12"/>
      <c r="B31" s="12"/>
      <c r="C31" s="12"/>
      <c r="D31" s="12"/>
      <c r="E31" s="12"/>
      <c r="F31" s="12"/>
    </row>
  </sheetData>
  <mergeCells count="3">
    <mergeCell ref="B8:D8"/>
    <mergeCell ref="B3:D3"/>
    <mergeCell ref="A11:F11"/>
  </mergeCells>
  <dataValidations disablePrompts="1" count="1">
    <dataValidation type="list" allowBlank="1" showInputMessage="1" showErrorMessage="1" sqref="B3:D3" xr:uid="{E08CE30E-5964-F547-91ED-CAAC79C8DA40}">
      <formula1>c_parties</formula1>
    </dataValidation>
  </dataValidations>
  <pageMargins left="0.7" right="0.7" top="0.75" bottom="0.75" header="0.3" footer="0.3"/>
  <pageSetup paperSize="9" scale="76"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FFE4-E36C-5149-A0FB-1EFF225F29E6}">
  <sheetPr codeName="Sheet12">
    <tabColor theme="1" tint="0.499984740745262"/>
  </sheetPr>
  <dimension ref="A1"/>
  <sheetViews>
    <sheetView workbookViewId="0">
      <selection activeCell="E10" sqref="E10"/>
    </sheetView>
  </sheetViews>
  <sheetFormatPr baseColWidth="10" defaultColWidth="10.5" defaultRowHeight="16"/>
  <sheetData/>
  <pageMargins left="0.7" right="0.7" top="0.75" bottom="0.75" header="0.3" footer="0.3"/>
  <pageSetup paperSize="9"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14EB1-2D80-3043-93A9-88276C90906D}">
  <sheetPr codeName="Sheet9"/>
  <dimension ref="A1:K13"/>
  <sheetViews>
    <sheetView workbookViewId="0">
      <selection activeCell="F2" sqref="F2"/>
    </sheetView>
  </sheetViews>
  <sheetFormatPr baseColWidth="10" defaultColWidth="10.5" defaultRowHeight="16"/>
  <cols>
    <col min="2" max="2" width="19.5" bestFit="1" customWidth="1"/>
    <col min="3" max="3" width="19.5" customWidth="1"/>
    <col min="7" max="7" width="13.5" customWidth="1"/>
    <col min="8" max="9" width="23.5" customWidth="1"/>
    <col min="10" max="10" width="29.5" customWidth="1"/>
    <col min="11" max="11" width="18.5" customWidth="1"/>
  </cols>
  <sheetData>
    <row r="1" spans="1:11">
      <c r="A1" s="1" t="s">
        <v>27</v>
      </c>
      <c r="B1" s="1" t="s">
        <v>2149</v>
      </c>
      <c r="C1" s="1" t="s">
        <v>9</v>
      </c>
      <c r="D1" s="1" t="s">
        <v>2150</v>
      </c>
      <c r="E1" s="1" t="s">
        <v>2151</v>
      </c>
      <c r="F1" s="1" t="s">
        <v>2152</v>
      </c>
      <c r="G1" s="1" t="s">
        <v>16</v>
      </c>
      <c r="H1" s="1" t="s">
        <v>2153</v>
      </c>
      <c r="I1" s="1" t="s">
        <v>14</v>
      </c>
      <c r="J1" s="1" t="s">
        <v>2154</v>
      </c>
    </row>
    <row r="2" spans="1:11">
      <c r="A2" t="s">
        <v>31</v>
      </c>
      <c r="B2" t="s">
        <v>25</v>
      </c>
      <c r="C2" t="s">
        <v>2155</v>
      </c>
      <c r="D2" t="s">
        <v>29</v>
      </c>
      <c r="E2" s="35">
        <v>44197</v>
      </c>
      <c r="F2" s="35">
        <v>44227</v>
      </c>
      <c r="G2" t="s">
        <v>39</v>
      </c>
      <c r="H2" t="s">
        <v>35</v>
      </c>
      <c r="I2" t="s">
        <v>29</v>
      </c>
      <c r="J2" t="s">
        <v>1388</v>
      </c>
      <c r="K2" t="s">
        <v>2130</v>
      </c>
    </row>
    <row r="3" spans="1:11">
      <c r="A3" t="s">
        <v>66</v>
      </c>
      <c r="B3" t="s">
        <v>2156</v>
      </c>
      <c r="C3" t="s">
        <v>2157</v>
      </c>
      <c r="D3" t="s">
        <v>1366</v>
      </c>
      <c r="E3" s="35">
        <v>44228</v>
      </c>
      <c r="F3" s="35">
        <v>44255</v>
      </c>
      <c r="G3" t="s">
        <v>28</v>
      </c>
      <c r="H3" t="s">
        <v>143</v>
      </c>
      <c r="I3" t="s">
        <v>1366</v>
      </c>
      <c r="J3" t="s">
        <v>1413</v>
      </c>
      <c r="K3" t="s">
        <v>2128</v>
      </c>
    </row>
    <row r="4" spans="1:11">
      <c r="E4" s="35">
        <v>44256</v>
      </c>
      <c r="F4" s="35">
        <v>44286</v>
      </c>
      <c r="H4" t="s">
        <v>2158</v>
      </c>
      <c r="J4" t="s">
        <v>1397</v>
      </c>
      <c r="K4" t="s">
        <v>2131</v>
      </c>
    </row>
    <row r="5" spans="1:11">
      <c r="E5" s="35">
        <v>44287</v>
      </c>
      <c r="F5" s="35">
        <v>44316</v>
      </c>
    </row>
    <row r="6" spans="1:11">
      <c r="E6" s="35">
        <v>44317</v>
      </c>
      <c r="F6" s="35">
        <v>44347</v>
      </c>
      <c r="J6" s="291" t="s">
        <v>2159</v>
      </c>
      <c r="K6" s="291"/>
    </row>
    <row r="7" spans="1:11">
      <c r="E7" s="35">
        <v>44348</v>
      </c>
      <c r="F7" s="35">
        <v>44377</v>
      </c>
    </row>
    <row r="8" spans="1:11">
      <c r="E8" s="35">
        <v>44378</v>
      </c>
      <c r="F8" s="35">
        <v>44408</v>
      </c>
    </row>
    <row r="9" spans="1:11">
      <c r="E9" s="35">
        <v>44409</v>
      </c>
      <c r="F9" s="35">
        <v>44439</v>
      </c>
    </row>
    <row r="10" spans="1:11">
      <c r="A10" s="1"/>
      <c r="E10" s="35">
        <v>44440</v>
      </c>
      <c r="F10" s="35">
        <v>44469</v>
      </c>
    </row>
    <row r="11" spans="1:11">
      <c r="E11" s="35">
        <v>44470</v>
      </c>
      <c r="F11" s="35">
        <v>44500</v>
      </c>
    </row>
    <row r="12" spans="1:11">
      <c r="E12" s="35">
        <v>44501</v>
      </c>
      <c r="F12" s="35">
        <v>44530</v>
      </c>
    </row>
    <row r="13" spans="1:11">
      <c r="E13" s="35">
        <v>44531</v>
      </c>
      <c r="F13" s="35">
        <v>44561</v>
      </c>
    </row>
  </sheetData>
  <mergeCells count="1">
    <mergeCell ref="J6:K6"/>
  </mergeCells>
  <pageMargins left="0.7" right="0.7" top="0.75" bottom="0.75" header="0.3" footer="0.3"/>
  <pageSetup paperSize="9"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FB72-2DD5-6A40-AA79-0A1240420EAA}">
  <sheetPr codeName="Sheet10"/>
  <dimension ref="A1:H6"/>
  <sheetViews>
    <sheetView workbookViewId="0">
      <selection activeCell="B6" sqref="B6"/>
    </sheetView>
  </sheetViews>
  <sheetFormatPr baseColWidth="10" defaultColWidth="10.5" defaultRowHeight="16"/>
  <cols>
    <col min="2" max="2" width="12" customWidth="1"/>
    <col min="3" max="3" width="14.5" customWidth="1"/>
    <col min="7" max="7" width="11" customWidth="1"/>
    <col min="8" max="8" width="13" customWidth="1"/>
  </cols>
  <sheetData>
    <row r="1" spans="1:8">
      <c r="A1" t="s">
        <v>2160</v>
      </c>
    </row>
    <row r="3" spans="1:8">
      <c r="A3" s="292" t="s">
        <v>1722</v>
      </c>
      <c r="B3" s="292"/>
      <c r="C3" s="292"/>
      <c r="F3" s="292" t="s">
        <v>1729</v>
      </c>
      <c r="G3" s="292"/>
      <c r="H3" s="292"/>
    </row>
    <row r="4" spans="1:8">
      <c r="A4" s="1" t="s">
        <v>2139</v>
      </c>
      <c r="B4" s="1">
        <v>1000</v>
      </c>
      <c r="C4" s="1">
        <v>99999999</v>
      </c>
      <c r="F4" s="1" t="s">
        <v>2139</v>
      </c>
      <c r="G4" s="1">
        <v>1000</v>
      </c>
      <c r="H4" s="1">
        <v>99999999</v>
      </c>
    </row>
    <row r="5" spans="1:8">
      <c r="A5" t="s">
        <v>1031</v>
      </c>
      <c r="B5">
        <v>10</v>
      </c>
      <c r="C5">
        <v>10</v>
      </c>
      <c r="F5" t="s">
        <v>1031</v>
      </c>
      <c r="G5">
        <v>0</v>
      </c>
      <c r="H5">
        <v>0</v>
      </c>
    </row>
    <row r="6" spans="1:8">
      <c r="A6" t="s">
        <v>2161</v>
      </c>
      <c r="B6">
        <v>50</v>
      </c>
      <c r="C6" s="4">
        <v>35</v>
      </c>
      <c r="F6" t="s">
        <v>2161</v>
      </c>
      <c r="G6">
        <v>25</v>
      </c>
      <c r="H6" s="4">
        <v>15</v>
      </c>
    </row>
  </sheetData>
  <mergeCells count="2">
    <mergeCell ref="A3:C3"/>
    <mergeCell ref="F3:H3"/>
  </mergeCells>
  <pageMargins left="0.7" right="0.7" top="0.75" bottom="0.75" header="0.3" footer="0.3"/>
  <pageSetup paperSize="9"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9003-08B2-4347-96FC-F165337ECDD0}">
  <sheetPr codeName="Sheet25"/>
  <dimension ref="A1"/>
  <sheetViews>
    <sheetView workbookViewId="0"/>
  </sheetViews>
  <sheetFormatPr baseColWidth="10" defaultColWidth="11" defaultRowHeight="16"/>
  <sheetData/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3A29DC514C1444913030173983D8C9" ma:contentTypeVersion="13" ma:contentTypeDescription="Create a new document." ma:contentTypeScope="" ma:versionID="07550188df6b8ca5d3d4471843b181d6">
  <xsd:schema xmlns:xsd="http://www.w3.org/2001/XMLSchema" xmlns:xs="http://www.w3.org/2001/XMLSchema" xmlns:p="http://schemas.microsoft.com/office/2006/metadata/properties" xmlns:ns2="647a4d11-8a3c-452e-be7b-d43a5031073f" xmlns:ns3="60ddf0c9-2806-440d-bad0-22019675346e" targetNamespace="http://schemas.microsoft.com/office/2006/metadata/properties" ma:root="true" ma:fieldsID="531342d02e6e821a292479421a868721" ns2:_="" ns3:_="">
    <xsd:import namespace="647a4d11-8a3c-452e-be7b-d43a5031073f"/>
    <xsd:import namespace="60ddf0c9-2806-440d-bad0-2201967534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7a4d11-8a3c-452e-be7b-d43a503107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ddf0c9-2806-440d-bad0-22019675346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AC90CD-A11C-4077-8A2C-2C8379D57317}">
  <ds:schemaRefs>
    <ds:schemaRef ds:uri="http://purl.org/dc/terms/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60ddf0c9-2806-440d-bad0-22019675346e"/>
    <ds:schemaRef ds:uri="647a4d11-8a3c-452e-be7b-d43a5031073f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BDF356D-F1E1-4E94-B237-4434F5260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3BFAC9-F078-432D-8CF4-0785E13676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7a4d11-8a3c-452e-be7b-d43a5031073f"/>
    <ds:schemaRef ds:uri="60ddf0c9-2806-440d-bad0-2201967534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19</vt:i4>
      </vt:variant>
    </vt:vector>
  </HeadingPairs>
  <TitlesOfParts>
    <vt:vector size="43" baseType="lpstr">
      <vt:lpstr>DB - Contracting Parties</vt:lpstr>
      <vt:lpstr>DB - Subscriptions</vt:lpstr>
      <vt:lpstr>Codes</vt:lpstr>
      <vt:lpstr>DB - Identities</vt:lpstr>
      <vt:lpstr>Graphs</vt:lpstr>
      <vt:lpstr>Billing Input -&gt;</vt:lpstr>
      <vt:lpstr>Input 1 - Billing Run</vt:lpstr>
      <vt:lpstr>Input 2 - Transactions</vt:lpstr>
      <vt:lpstr>Input 3 - BNO Members</vt:lpstr>
      <vt:lpstr>XXX- Input 5 - Event Summary</vt:lpstr>
      <vt:lpstr>CNF Sponsorship</vt:lpstr>
      <vt:lpstr>BNO Recon</vt:lpstr>
      <vt:lpstr>Billing Control</vt:lpstr>
      <vt:lpstr>Reports -&gt;</vt:lpstr>
      <vt:lpstr>Billing Working</vt:lpstr>
      <vt:lpstr>Billing Report</vt:lpstr>
      <vt:lpstr>Billing Summary Report</vt:lpstr>
      <vt:lpstr>Sales Report</vt:lpstr>
      <vt:lpstr>New Identity Report</vt:lpstr>
      <vt:lpstr>Identity Report</vt:lpstr>
      <vt:lpstr>Config -&gt;</vt:lpstr>
      <vt:lpstr>Static</vt:lpstr>
      <vt:lpstr>Pricing Sheet</vt:lpstr>
      <vt:lpstr>hubspot_extract</vt:lpstr>
      <vt:lpstr>amodel</vt:lpstr>
      <vt:lpstr>auto</vt:lpstr>
      <vt:lpstr>billing_working</vt:lpstr>
      <vt:lpstr>'DB - Subscriptions'!c_parties</vt:lpstr>
      <vt:lpstr>c_parties</vt:lpstr>
      <vt:lpstr>hosting_type</vt:lpstr>
      <vt:lpstr>'DB - Subscriptions'!identities</vt:lpstr>
      <vt:lpstr>identities</vt:lpstr>
      <vt:lpstr>'DB - Subscriptions'!identities_table</vt:lpstr>
      <vt:lpstr>identities_table</vt:lpstr>
      <vt:lpstr>month_ends</vt:lpstr>
      <vt:lpstr>month_starts</vt:lpstr>
      <vt:lpstr>'Billing Report'!Print_Area</vt:lpstr>
      <vt:lpstr>'Billing Summary Report'!Print_Area</vt:lpstr>
      <vt:lpstr>'Identity Report'!Print_Area</vt:lpstr>
      <vt:lpstr>'New Identity Report'!Print_Area</vt:lpstr>
      <vt:lpstr>'Sales Report'!Print_Area</vt:lpstr>
      <vt:lpstr>special</vt:lpstr>
      <vt:lpstr>Types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Aaron Seabrook</cp:lastModifiedBy>
  <cp:revision/>
  <dcterms:created xsi:type="dcterms:W3CDTF">2021-05-04T08:06:02Z</dcterms:created>
  <dcterms:modified xsi:type="dcterms:W3CDTF">2021-09-09T03:45:27Z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0x010100D63A29DC514C1444913030173983D8C9</vt:lpwstr>
  </property>
  <property fmtid="{D5CDD505-2E9C-101B-9397-08002B2CF9AE}" pid="3" name="MSIP_Label_4887a51c-8d2f-4f7c-b418-4d5f0e3dc98f_Enabled">
    <vt:lpwstr>true</vt:lpwstr>
  </property>
  <property fmtid="{D5CDD505-2E9C-101B-9397-08002B2CF9AE}" pid="4" name="MSIP_Label_4887a51c-8d2f-4f7c-b418-4d5f0e3dc98f_SetDate">
    <vt:lpwstr>2021-08-05T05:58:17Z</vt:lpwstr>
  </property>
  <property fmtid="{D5CDD505-2E9C-101B-9397-08002B2CF9AE}" pid="5" name="MSIP_Label_4887a51c-8d2f-4f7c-b418-4d5f0e3dc98f_Method">
    <vt:lpwstr>Privileged</vt:lpwstr>
  </property>
  <property fmtid="{D5CDD505-2E9C-101B-9397-08002B2CF9AE}" pid="6" name="MSIP_Label_4887a51c-8d2f-4f7c-b418-4d5f0e3dc98f_Name">
    <vt:lpwstr>Confidential</vt:lpwstr>
  </property>
  <property fmtid="{D5CDD505-2E9C-101B-9397-08002B2CF9AE}" pid="7" name="MSIP_Label_4887a51c-8d2f-4f7c-b418-4d5f0e3dc98f_SiteId">
    <vt:lpwstr>f221ca9e-0ab3-46f0-a4c2-03adb9910564</vt:lpwstr>
  </property>
  <property fmtid="{D5CDD505-2E9C-101B-9397-08002B2CF9AE}" pid="8" name="MSIP_Label_4887a51c-8d2f-4f7c-b418-4d5f0e3dc98f_ActionId">
    <vt:lpwstr>9a8f8dd1-d62e-4c38-b4bc-06373f4b63ab</vt:lpwstr>
  </property>
  <property fmtid="{D5CDD505-2E9C-101B-9397-08002B2CF9AE}" pid="9" name="MSIP_Label_4887a51c-8d2f-4f7c-b418-4d5f0e3dc98f_ContentBits">
    <vt:lpwstr>0</vt:lpwstr>
  </property>
</Properties>
</file>